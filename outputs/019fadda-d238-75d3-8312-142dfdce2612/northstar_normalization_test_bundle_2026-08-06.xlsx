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efb19997a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13849284c4f4fb5"/>
    <x:sheet xmlns:r="http://schemas.openxmlformats.org/officeDocument/2006/relationships" name="TS Raw Records" sheetId="2" r:id="R571d05131b3549ad"/>
    <x:sheet xmlns:r="http://schemas.openxmlformats.org/officeDocument/2006/relationships" name="Normalized Results" sheetId="3" r:id="R1832a1a23d084031"/>
    <x:sheet xmlns:r="http://schemas.openxmlformats.org/officeDocument/2006/relationships" name="Translation Rules" sheetId="4" r:id="R75f4ce985ee848f4"/>
    <x:sheet xmlns:r="http://schemas.openxmlformats.org/officeDocument/2006/relationships" name="Base Manufacturer Catalog" sheetId="5" r:id="R3ab8afbea8b84392"/>
    <x:sheet xmlns:r="http://schemas.openxmlformats.org/officeDocument/2006/relationships" name="Effective Mfr Entities" sheetId="6" r:id="R89947a2209ce4e21"/>
    <x:sheet xmlns:r="http://schemas.openxmlformats.org/officeDocument/2006/relationships" name="Manufacturer Overrides" sheetId="7" r:id="R66fd8ac416174691"/>
    <x:sheet xmlns:r="http://schemas.openxmlformats.org/officeDocument/2006/relationships" name="Policy Overrides" sheetId="8" r:id="R7c7f7b08c7d340da"/>
    <x:sheet xmlns:r="http://schemas.openxmlformats.org/officeDocument/2006/relationships" name="Rule Version" sheetId="9" r:id="R2c3f995ac89344fe"/>
    <x:sheet xmlns:r="http://schemas.openxmlformats.org/officeDocument/2006/relationships" name="Known Issues" sheetId="10" r:id="Rc60f9648eb59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1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7A4B00"/>
      <x:name val="Carlito"/>
    </x:font>
    <x:font>
      <x:b/>
      <x:sz val="10"/>
      <x:color rgb="FF8B1E1E"/>
      <x:name val="Carlito"/>
    </x:font>
    <x:font>
      <x:b/>
      <x:sz val="11"/>
      <x:color rgb="FFFFFFFF"/>
      <x:name val="Carlito"/>
    </x:font>
    <x:font>
      <x:b/>
      <x:sz val="11"/>
      <x:color rgb="FF1F6F6D"/>
      <x:name val="Carlito"/>
    </x:font>
    <x:font>
      <x:sz val="9"/>
      <x:color rgb="FF223334"/>
      <x:name val="Carlito"/>
    </x:font>
    <x:font>
      <x:b/>
      <x:sz val="16"/>
      <x:color rgb="FFFFFFFF"/>
      <x:name val="Carlito"/>
    </x:font>
    <x:font>
      <x:i/>
      <x:sz val="9"/>
      <x:color rgb="FF223334"/>
      <x:name val="Carlito"/>
    </x:font>
    <x:font>
      <x:b/>
      <x:sz val="9"/>
      <x:color rgb="FFFFFFFF"/>
      <x:name val="Carlito"/>
    </x:font>
    <x:font>
      <x:sz val="8"/>
      <x:color rgb="FF223334"/>
      <x:name val="Carlito"/>
    </x:font>
    <x:font>
      <x:sz val="7"/>
      <x:color rgb="FF223334"/>
      <x:name val="Courier New"/>
    </x:font>
    <x:font>
      <x:b/>
      <x:sz val="8"/>
      <x:color rgb="FF8B1E1E"/>
      <x:name val="Carlito"/>
    </x:font>
    <x:font>
      <x:b/>
      <x:sz val="8"/>
      <x:color rgb="FF8B1E1E"/>
      <x:name val="Courier New"/>
    </x:font>
    <x:font>
      <x:b/>
      <x:sz val="8"/>
      <x:color rgb="FF7A4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45"/>
      </x:patternFill>
    </x:fill>
    <x:fill>
      <x:patternFill patternType="solid">
        <x:fgColor rgb="FFFFF1D6"/>
      </x:patternFill>
    </x:fill>
    <x:fill>
      <x:patternFill patternType="solid">
        <x:fgColor rgb="FFFDE7E7"/>
      </x:patternFill>
    </x:fill>
    <x:fill>
      <x:patternFill patternType="solid">
        <x:fgColor rgb="FF1F6F6D"/>
      </x:patternFill>
    </x:fill>
    <x:fill>
      <x:patternFill patternType="solid">
        <x:fgColor rgb="FFE7F3F1"/>
      </x:patternFill>
    </x:fill>
  </x:fills>
  <x:borders count="3">
    <x:border/>
    <x:border>
      <x:bottom style="thin">
        <x:color rgb="FFD7E1DF"/>
      </x:bottom>
    </x:border>
    <x:border>
      <x:top style="thin">
        <x:color rgb="FFD7E1DF"/>
      </x:top>
      <x:bottom style="thin">
        <x:color rgb="FFD7E1DF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0"/>
    </x:xf>
    <x:xf numFmtId="201" fontId="10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4" borderId="0" xfId="0" applyNumberFormat="1" applyFont="1" applyFill="1" applyBorder="1" applyAlignment="1">
      <x:alignment vertical="top"/>
    </x:xf>
    <x:xf numFmtId="0" fontId="11" fillId="4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/>
    </x:xf>
    <x:xf numFmtId="0" fontId="13" fillId="4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/>
    </x:xf>
    <x:xf numFmtId="0" fontId="14" fillId="3" borderId="0" xfId="0" applyNumberFormat="1" applyFont="1" applyFill="1" applyBorder="1" applyAlignment="1">
      <x:alignment vertical="top"/>
    </x:xf>
    <x:xf numFmtId="0" fontId="1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B1E1E"/>
      </x:font>
      <x:fill>
        <x:patternFill patternType="solid">
          <x:bgColor rgb="FFFDE7E7"/>
        </x:patternFill>
      </x:fill>
    </x:dxf>
    <x:dxf>
      <x:font>
        <x:b/>
        <x:color rgb="FF22623D"/>
      </x:font>
      <x:fill>
        <x:patternFill patternType="solid">
          <x:bgColor rgb="FFE6F5EC"/>
        </x:patternFill>
      </x:fill>
    </x:dxf>
    <x:dxf>
      <x:font>
        <x:b/>
        <x:color rgb="FF7A4B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8e99b49cb4e43" /><Relationship Type="http://schemas.openxmlformats.org/officeDocument/2006/relationships/theme" Target="/xl/theme/theme1.xml" Id="Rbec0609bc1ef4617" /><Relationship Type="http://schemas.microsoft.com/office/2022/11/relationships/FeaturePropertyBag" Target="/xl/featurePropertyBag/featurePropertyBag.xml" Id="R1c24b0ec522c41ad" /><Relationship Type="http://schemas.openxmlformats.org/officeDocument/2006/relationships/sharedStrings" Target="/xl/sharedStrings.xml" Id="R8692e70cbb994415" /><Relationship Type="http://schemas.openxmlformats.org/officeDocument/2006/relationships/worksheet" Target="/xl/worksheets/sheet1.xml" Id="R313849284c4f4fb5" /><Relationship Type="http://schemas.openxmlformats.org/officeDocument/2006/relationships/worksheet" Target="/xl/worksheets/sheet2.xml" Id="R571d05131b3549ad" /><Relationship Type="http://schemas.openxmlformats.org/officeDocument/2006/relationships/worksheet" Target="/xl/worksheets/sheet3.xml" Id="R1832a1a23d084031" /><Relationship Type="http://schemas.openxmlformats.org/officeDocument/2006/relationships/worksheet" Target="/xl/worksheets/sheet4.xml" Id="R75f4ce985ee848f4" /><Relationship Type="http://schemas.openxmlformats.org/officeDocument/2006/relationships/worksheet" Target="/xl/worksheets/sheet5.xml" Id="R3ab8afbea8b84392" /><Relationship Type="http://schemas.openxmlformats.org/officeDocument/2006/relationships/worksheet" Target="/xl/worksheets/sheet6.xml" Id="R89947a2209ce4e21" /><Relationship Type="http://schemas.openxmlformats.org/officeDocument/2006/relationships/worksheet" Target="/xl/worksheets/sheet7.xml" Id="R66fd8ac416174691" /><Relationship Type="http://schemas.openxmlformats.org/officeDocument/2006/relationships/worksheet" Target="/xl/worksheets/sheet8.xml" Id="R7c7f7b08c7d340da" /><Relationship Type="http://schemas.openxmlformats.org/officeDocument/2006/relationships/worksheet" Target="/xl/worksheets/sheet9.xml" Id="R2c3f995ac89344fe" /><Relationship Type="http://schemas.openxmlformats.org/officeDocument/2006/relationships/worksheet" Target="/xl/worksheets/sheet10.xml" Id="Rc60f9648eb5943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sRawRecordsTable" displayName="TsRawRecordsTable" ref="A4:AJ254" headerRowCount="1" totalsRowCount="0" totalsRowShown="0">
  <x:autoFilter ref="A4:AJ254"/>
  <x:tableColumns count="36">
    <x:tableColumn id="1" name="staging_id"/>
    <x:tableColumn id="2" name="source_batch_id"/>
    <x:tableColumn id="3" name="ingested_at"/>
    <x:tableColumn id="4" name="ingested_at_json"/>
    <x:tableColumn id="5" name="base_manufacturer"/>
    <x:tableColumn id="6" name="body_code"/>
    <x:tableColumn id="7" name="body_code2"/>
    <x:tableColumn id="8" name="brand"/>
    <x:tableColumn id="9" name="build_date"/>
    <x:tableColumn id="10" name="build_month"/>
    <x:tableColumn id="11" name="ccm"/>
    <x:tableColumn id="12" name="eu_category"/>
    <x:tableColumn id="13" name="ev_config"/>
    <x:tableColumn id="14" name="fab_code"/>
    <x:tableColumn id="15" name="fuel1"/>
    <x:tableColumn id="16" name="fuel2"/>
    <x:tableColumn id="17" name="fuel3"/>
    <x:tableColumn id="18" name="fuel_combo"/>
    <x:tableColumn id="19" name="gearbox"/>
    <x:tableColumn id="20" name="group_no"/>
    <x:tableColumn id="21" name="is_4wd"/>
    <x:tableColumn id="22" name="kw"/>
    <x:tableColumn id="23" name="manufacturer"/>
    <x:tableColumn id="24" name="model"/>
    <x:tableColumn id="25" name="model_no"/>
    <x:tableColumn id="26" name="model_year"/>
    <x:tableColumn id="27" name="plate"/>
    <x:tableColumn id="28" name="registration_date"/>
    <x:tableColumn id="29" name="type_text"/>
    <x:tableColumn id="30" name="variant"/>
    <x:tableColumn id="31" name="vehicle_class"/>
    <x:tableColumn id="32" name="vehicle_type"/>
    <x:tableColumn id="33" name="vehicle_year"/>
    <x:tableColumn id="34" name="version"/>
    <x:tableColumn id="35" name="vin"/>
    <x:tableColumn id="36" name="raw_record_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izedResultsTable" displayName="NormalizedResultsTable" ref="A4:AA254" headerRowCount="1" totalsRowCount="0" totalsRowShown="0">
  <x:autoFilter ref="A4:AA254"/>
  <x:tableColumns count="27">
    <x:tableColumn id="1" name="result_id"/>
    <x:tableColumn id="2" name="normalization_id"/>
    <x:tableColumn id="3" name="source_system"/>
    <x:tableColumn id="4" name="source_batch_id"/>
    <x:tableColumn id="5" name="source_table"/>
    <x:tableColumn id="6" name="source_record_id"/>
    <x:tableColumn id="7" name="mapping_version"/>
    <x:tableColumn id="8" name="rule_version"/>
    <x:tableColumn id="9" name="pipeline_version"/>
    <x:tableColumn id="10" name="status"/>
    <x:tableColumn id="11" name="confidence"/>
    <x:tableColumn id="12" name="manufacturer"/>
    <x:tableColumn id="13" name="model_family"/>
    <x:tableColumn id="14" name="bodywork_form"/>
    <x:tableColumn id="15" name="energy_sources"/>
    <x:tableColumn id="16" name="transmission_type"/>
    <x:tableColumn id="17" name="production_year"/>
    <x:tableColumn id="18" name="applied_rule_ids"/>
    <x:tableColumn id="19" name="candidate_rule_ids"/>
    <x:tableColumn id="20" name="review_reasons"/>
    <x:tableColumn id="21" name="normalized_json"/>
    <x:tableColumn id="22" name="candidates_json"/>
    <x:tableColumn id="23" name="decision_trace_json"/>
    <x:tableColumn id="24" name="rule_matches_json"/>
    <x:tableColumn id="25" name="normalized_payload_json"/>
    <x:tableColumn id="26" name="created_at"/>
    <x:tableColumn id="27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lationRulesTable" displayName="TranslationRulesTable" ref="A4:K103" headerRowCount="1" totalsRowCount="0" totalsRowShown="0">
  <x:autoFilter ref="A4:K103"/>
  <x:tableColumns count="11">
    <x:tableColumn id="1" name="rule_id"/>
    <x:tableColumn id="2" name="area"/>
    <x:tableColumn id="3" name="source_fields"/>
    <x:tableColumn id="4" name="source_terms"/>
    <x:tableColumn id="5" name="canonical_field"/>
    <x:tableColumn id="6" name="canonical_value"/>
    <x:tableColumn id="7" name="decision"/>
    <x:tableColumn id="8" name="display_value"/>
    <x:tableColumn id="9" name="vehicle_scopes"/>
    <x:tableColumn id="10" name="manufacturers"/>
    <x:tableColumn id="11" name="effective_rule_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ManufacturerCatalogTable" displayName="BaseManufacturerCatalogTable" ref="A4:L188" headerRowCount="1" totalsRowCount="0" totalsRowShown="0">
  <x:autoFilter ref="A4:L188"/>
  <x:tableColumns count="12">
    <x:tableColumn id="1" name="entity_id"/>
    <x:tableColumn id="2" name="source_field"/>
    <x:tableColumn id="3" name="source_term"/>
    <x:tableColumn id="4" name="canonical_name"/>
    <x:tableColumn id="5" name="entity_role"/>
    <x:tableColumn id="6" name="base_behavior"/>
    <x:tableColumn id="7" name="match_type"/>
    <x:tableColumn id="8" name="reviewed_examples"/>
    <x:tableColumn id="9" name="aliases"/>
    <x:tableColumn id="10" name="marketed_brand_overrides"/>
    <x:tableColumn id="11" name="fallback_manufacturer"/>
    <x:tableColumn id="12" name="base_definition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ffectiveManufacturerEntitiesTable" displayName="EffectiveManufacturerEntitiesTable" ref="A4:T193" headerRowCount="1" totalsRowCount="0" totalsRowShown="0">
  <x:autoFilter ref="A4:T193"/>
  <x:tableColumns count="20">
    <x:tableColumn id="1" name="entity_id"/>
    <x:tableColumn id="2" name="definition_origin"/>
    <x:tableColumn id="3" name="source_field"/>
    <x:tableColumn id="4" name="source_term"/>
    <x:tableColumn id="5" name="active_canonical_name"/>
    <x:tableColumn id="6" name="effective_canonical_name"/>
    <x:tableColumn id="7" name="active_entity_role"/>
    <x:tableColumn id="8" name="effective_entity_role"/>
    <x:tableColumn id="9" name="active_base_behavior"/>
    <x:tableColumn id="10" name="effective_base_behavior"/>
    <x:tableColumn id="11" name="match_type"/>
    <x:tableColumn id="12" name="occurrences"/>
    <x:tableColumn id="13" name="base_manufacturers"/>
    <x:tableColumn id="14" name="reviewed_examples"/>
    <x:tableColumn id="15" name="has_draft"/>
    <x:tableColumn id="16" name="is_discovered"/>
    <x:tableColumn id="17" name="change_note"/>
    <x:tableColumn id="18" name="created_at"/>
    <x:tableColumn id="19" name="updated_at"/>
    <x:tableColumn id="20" name="effective_entity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facturerOverridesTable" displayName="ManufacturerOverridesTable" ref="A4:K22" headerRowCount="1" totalsRowCount="0" totalsRowShown="0">
  <x:autoFilter ref="A4:K22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yOverridesTable" displayName="PolicyOverridesTable" ref="A4:K7" headerRowCount="1" totalsRowCount="0" totalsRowShown="0">
  <x:autoFilter ref="A4:K7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VersionTable" displayName="RuleVersionTable" ref="A4:F5" headerRowCount="1" totalsRowCount="0" totalsRowShown="0">
  <x:autoFilter ref="A4:F5"/>
  <x:tableColumns count="6">
    <x:tableColumn id="1" name="version"/>
    <x:tableColumn id="2" name="base_rule_version"/>
    <x:tableColumn id="3" name="activation_note"/>
    <x:tableColumn id="4" name="activated_at"/>
    <x:tableColumn id="5" name="activated_at_json"/>
    <x:tableColumn id="6" name="overrides_j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nownIssuesTable" displayName="KnownIssuesTable" ref="A4:G7" headerRowCount="1" totalsRowCount="0" totalsRowShown="0">
  <x:autoFilter ref="A4:G7"/>
  <x:tableColumns count="7">
    <x:tableColumn id="1" name="severity"/>
    <x:tableColumn id="2" name="rule_id"/>
    <x:tableColumn id="3" name="current_source"/>
    <x:tableColumn id="4" name="current_behavior"/>
    <x:tableColumn id="5" name="expected_behavior"/>
    <x:tableColumn id="6" name="affected_source_example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923cb733cb41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6c8429aa064a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c8e8c3237e42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8481f4de394b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8dbe4030ae44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93376563b94b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c362fcdda547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c9de6e672345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691508698e64b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3" hidden="0" customWidth="1"/>
    <x:col min="4" max="4" width="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NorthStar normalization · portable test bundle</x:v>
      </x:c>
    </x:row>
    <x:row r="4">
      <x:c r="A4" s="7" t="str">
        <x:v>PUBLIC-SAFE TEST DATA · Registration plates and VINs are deterministic synthetic values. VIN WMI prefixes and identifier presence are preserved so normalization behavior remains reproducible without publishing real identifiers.</x:v>
      </x:c>
    </x:row>
    <x:row r="7">
      <x:c r="A7" s="11" t="str">
        <x:v>KNOWN RULE ISSUE · This snapshot reproduces the database exactly. FIAT ADRIA and FIAT DETHLEFFS are still active as Fiat-main converter rules, but stakeholder evidence indicates the main manufacturers should be Adria and Dethleffs. Do not treat these two definitions as final approval.</x:v>
      </x:c>
    </x:row>
    <x:row r="11">
      <x:c r="A11" s="13" t="str">
        <x:v>Snapshot</x:v>
      </x:c>
      <x:c r="B11" s="13" t="str">
        <x:v>Value</x:v>
      </x:c>
      <x:c r="D11" s="13" t="str">
        <x:v>Recommended database test workflow</x:v>
      </x:c>
    </x:row>
    <x:row r="12" ht="32" customHeight="1">
      <x:c r="A12" s="14" t="str">
        <x:v>Source batch</x:v>
      </x:c>
      <x:c r="B12" s="14" t="str">
        <x:v>normalization-review-passenger-250-v1-rules-20260805T184409855703Z</x:v>
      </x:c>
      <x:c r="D12" s="20" t="str">
        <x:v>1</x:v>
      </x:c>
      <x:c r="E12" s="23" t="str">
        <x:v>Use an isolated test database; never run this bootstrap against production.</x:v>
      </x:c>
      <x:c r="F12" s="23"/>
      <x:c r="G12" s="23"/>
      <x:c r="H12" s="23"/>
    </x:row>
    <x:row r="13" ht="32" customHeight="1">
      <x:c r="A13" s="15" t="str">
        <x:v>Active rule version</x:v>
      </x:c>
      <x:c r="B13" s="15" t="str">
        <x:v>ts-review-20260805T184254528647Z</x:v>
      </x:c>
      <x:c r="D13" s="20" t="str">
        <x:v>2</x:v>
      </x:c>
      <x:c r="E13" s="23" t="str">
        <x:v>Install the matching PR/application version, including base rules ts-translation-v4.</x:v>
      </x:c>
      <x:c r="F13" s="23"/>
      <x:c r="G13" s="23"/>
      <x:c r="H13" s="23"/>
    </x:row>
    <x:row r="14" ht="32" customHeight="1">
      <x:c r="A14" s="15" t="str">
        <x:v>Base rule version</x:v>
      </x:c>
      <x:c r="B14" s="15" t="str">
        <x:v>ts-translation-v4</x:v>
      </x:c>
      <x:c r="D14" s="20" t="str">
        <x:v>3</x:v>
      </x:c>
      <x:c r="E14" s="23" t="str">
        <x:v>Run: northstar-ingest import-normalization-bundle --file &lt;this-workbook.xlsx&gt;</x:v>
      </x:c>
      <x:c r="F14" s="23"/>
      <x:c r="G14" s="23"/>
      <x:c r="H14" s="23"/>
    </x:row>
    <x:row r="15" ht="32" customHeight="1">
      <x:c r="A15" s="15" t="str">
        <x:v>Raw records</x:v>
      </x:c>
      <x:c r="B15" s="16" t="n">
        <x:f>COUNTA('TS Raw Records'!A5:A254)</x:f>
        <x:v>250</x:v>
      </x:c>
      <x:c r="D15" s="20" t="str">
        <x:v>4</x:v>
      </x:c>
      <x:c r="E15" s="23" t="str">
        <x:v>The command validates every required sheet and ensures the workbook matches the application catalogs.</x:v>
      </x:c>
      <x:c r="F15" s="23"/>
      <x:c r="G15" s="23"/>
      <x:c r="H15" s="23"/>
    </x:row>
    <x:row r="16" ht="32" customHeight="1">
      <x:c r="A16" s="15" t="str">
        <x:v>Normalized results</x:v>
      </x:c>
      <x:c r="B16" s="16" t="n">
        <x:f>COUNTA('Normalized Results'!A5:A254)</x:f>
        <x:v>250</x:v>
      </x:c>
      <x:c r="D16" s="20" t="str">
        <x:v>5</x:v>
      </x:c>
      <x:c r="E16" s="23" t="str">
        <x:v>It applies migrations, imports the exact rule version and synthetic TS source rows, then runs normalization.</x:v>
      </x:c>
      <x:c r="F16" s="23"/>
      <x:c r="G16" s="23"/>
      <x:c r="H16" s="23"/>
    </x:row>
    <x:row r="17" ht="32" customHeight="1">
      <x:c r="A17" s="15" t="str">
        <x:v>Resolved</x:v>
      </x:c>
      <x:c r="B17" s="16" t="n">
        <x:f>COUNTIF('Normalized Results'!J5:J254,"resolved")</x:f>
        <x:v>37</x:v>
      </x:c>
      <x:c r="D17" s="20" t="str">
        <x:v>6</x:v>
      </x:c>
      <x:c r="E17" s="23" t="str">
        <x:v>It exits successfully only when every generated result matches Normalized Results and prints a JSON summary.</x:v>
      </x:c>
      <x:c r="F17" s="23"/>
      <x:c r="G17" s="23"/>
      <x:c r="H17" s="23"/>
    </x:row>
    <x:row r="18" ht="32" customHeight="1">
      <x:c r="A18" s="15" t="str">
        <x:v>Provisional</x:v>
      </x:c>
      <x:c r="B18" s="16" t="n">
        <x:f>COUNTIF('Normalized Results'!J5:J254,"provisional")</x:f>
        <x:v>212</x:v>
      </x:c>
      <x:c r="D18" s="20" t="str">
        <x:v>7</x:v>
      </x:c>
      <x:c r="E18" s="23" t="str">
        <x:v>Keep the two flagged Adria/Dethleffs results out of approval until corrected rules are activated.</x:v>
      </x:c>
      <x:c r="F18" s="23"/>
      <x:c r="G18" s="23"/>
      <x:c r="H18" s="23"/>
    </x:row>
    <x:row r="19">
      <x:c r="A19" s="15" t="str">
        <x:v>Requires review</x:v>
      </x:c>
      <x:c r="B19" s="16" t="n">
        <x:f>COUNTIF('Normalized Results'!J5:J254,"review_required")</x:f>
        <x:v>1</x:v>
      </x:c>
    </x:row>
    <x:row r="20">
      <x:c r="A20" s="15" t="str">
        <x:v>Failed</x:v>
      </x:c>
      <x:c r="B20" s="16" t="n">
        <x:f>COUNTIF('Normalized Results'!J5:J254,"failed")</x:f>
        <x:v>0</x:v>
      </x:c>
    </x:row>
    <x:row r="21">
      <x:c r="A21" s="15" t="str">
        <x:v>Effective translation rules</x:v>
      </x:c>
      <x:c r="B21" s="16" t="n">
        <x:f>COUNTA('Translation Rules'!A5:A103)</x:f>
        <x:v>99</x:v>
      </x:c>
    </x:row>
    <x:row r="22">
      <x:c r="A22" s="15" t="str">
        <x:v>Built-in manufacturer catalog</x:v>
      </x:c>
      <x:c r="B22" s="16" t="n">
        <x:f>COUNTA('Base Manufacturer Catalog'!A5:A188)</x:f>
        <x:v>184</x:v>
      </x:c>
    </x:row>
    <x:row r="23">
      <x:c r="A23" s="15" t="str">
        <x:v>Effective manufacturer entities</x:v>
      </x:c>
      <x:c r="B23" s="16" t="n">
        <x:f>COUNTA('Effective Mfr Entities'!A5:A193)</x:f>
        <x:v>189</x:v>
      </x:c>
    </x:row>
    <x:row r="24">
      <x:c r="A24" s="15" t="str">
        <x:v>Active manufacturer overrides</x:v>
      </x:c>
      <x:c r="B24" s="16" t="n">
        <x:f>COUNTA('Manufacturer Overrides'!A5:A22)</x:f>
        <x:v>18</x:v>
      </x:c>
    </x:row>
    <x:row r="25">
      <x:c r="A25" s="15" t="str">
        <x:v>Other policy overrides</x:v>
      </x:c>
      <x:c r="B25" s="16" t="n">
        <x:f>COUNTA('Policy Overrides'!A5:A7)</x:f>
        <x:v>3</x:v>
      </x:c>
    </x:row>
    <x:row r="28">
      <x:c r="A28" s="13" t="str">
        <x:v>Sheet map</x:v>
      </x:c>
    </x:row>
    <x:row r="29" ht="28" customHeight="1">
      <x:c r="A29" s="25" t="str">
        <x:v>TS Raw Records</x:v>
      </x:c>
      <x:c r="B29" s="26" t="str">
        <x:v>Complete raw staging snapshot; raw_record_json is the lossless import column.</x:v>
      </x:c>
    </x:row>
    <x:row r="30" ht="28" customHeight="1">
      <x:c r="A30" s="25" t="str">
        <x:v>Normalized Results</x:v>
      </x:c>
      <x:c r="B30" s="26" t="str">
        <x:v>Expected normalization outputs and complete normalized_payload_json.</x:v>
      </x:c>
    </x:row>
    <x:row r="31" ht="28" customHeight="1">
      <x:c r="A31" s="25" t="str">
        <x:v>Translation Rules</x:v>
      </x:c>
      <x:c r="B31" s="26" t="str">
        <x:v>All 99 effective translation rules for the active version.</x:v>
      </x:c>
    </x:row>
    <x:row r="32" ht="28" customHeight="1">
      <x:c r="A32" s="25" t="str">
        <x:v>Base Manufacturer Catalog</x:v>
      </x:c>
      <x:c r="B32" s="26" t="str">
        <x:v>All built-in manufacturer definitions supplied by application version ts-translation-v4.</x:v>
      </x:c>
    </x:row>
    <x:row r="33" ht="28" customHeight="1">
      <x:c r="A33" s="25" t="str">
        <x:v>Effective Mfr Entities</x:v>
      </x:c>
      <x:c r="B33" s="26" t="str">
        <x:v>Complete runtime manufacturer view after combining built-ins, overrides, and discovered evidence.</x:v>
      </x:c>
    </x:row>
    <x:row r="34" ht="28" customHeight="1">
      <x:c r="A34" s="25" t="str">
        <x:v>Manufacturer Overrides</x:v>
      </x:c>
      <x:c r="B34" s="26" t="str">
        <x:v>Database-persisted manufacturer overrides in the active immutable rule version.</x:v>
      </x:c>
    </x:row>
    <x:row r="35" ht="28" customHeight="1">
      <x:c r="A35" s="25" t="str">
        <x:v>Policy Overrides</x:v>
      </x:c>
      <x:c r="B35" s="26" t="str">
        <x:v>Three non-entity overrides stored in the immutable rule version.</x:v>
      </x:c>
    </x:row>
    <x:row r="36" ht="28" customHeight="1">
      <x:c r="A36" s="25" t="str">
        <x:v>Rule Version</x:v>
      </x:c>
      <x:c r="B36" s="26" t="str">
        <x:v>Exact immutable version metadata and overrides_json for PostgreSQL.</x:v>
      </x:c>
    </x:row>
    <x:row r="37" ht="28" customHeight="1">
      <x:c r="A37" s="25" t="str">
        <x:v>Known Issues</x:v>
      </x:c>
      <x:c r="B37" s="26" t="str">
        <x:v>Rules or records that must not be treated as final approval.</x:v>
      </x:c>
    </x:row>
  </x:sheetData>
  <x:mergeCells>
    <x:mergeCell ref="A1:H2"/>
    <x:mergeCell ref="A4:H5"/>
    <x:mergeCell ref="A7:H9"/>
    <x:mergeCell ref="D11:H11"/>
    <x:mergeCell ref="E12:H12"/>
    <x:mergeCell ref="E13:H13"/>
    <x:mergeCell ref="E14:H14"/>
    <x:mergeCell ref="E15:H15"/>
    <x:mergeCell ref="E16:H16"/>
    <x:mergeCell ref="E17:H17"/>
    <x:mergeCell ref="E18:H18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3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22" hidden="0" customWidth="1"/>
    <x:col min="36" max="36" width="75" hidden="0" customWidth="1"/>
  </x:cols>
  <x:sheetData>
    <x:row r="1" ht="34" customHeight="1">
      <x:c r="A1" s="28" t="str">
        <x:v>Sanitized Transportstyrelsen staging records</x:v>
      </x:c>
    </x:row>
    <x:row r="2" ht="34" customHeight="1">
      <x:c r="A2" s="31" t="str">
        <x:v>Target: staging.transportstyrelsen_raw. Plate and VIN values are deterministic synthetic replacements; VIN WMI prefixes and identifier presence are preserved. raw_record_json is the import payload.</x:v>
      </x:c>
    </x:row>
    <x:row r="4" ht="30" customHeight="1">
      <x:c r="A4" s="34" t="str">
        <x:v>staging_id</x:v>
      </x:c>
      <x:c r="B4" s="34" t="str">
        <x:v>source_batch_id</x:v>
      </x:c>
      <x:c r="C4" s="34" t="str">
        <x:v>ingested_at</x:v>
      </x:c>
      <x:c r="D4" s="34" t="str">
        <x:v>ingested_at_json</x:v>
      </x:c>
      <x:c r="E4" s="34" t="str">
        <x:v>base_manufacturer</x:v>
      </x:c>
      <x:c r="F4" s="34" t="str">
        <x:v>body_code</x:v>
      </x:c>
      <x:c r="G4" s="34" t="str">
        <x:v>body_code2</x:v>
      </x:c>
      <x:c r="H4" s="34" t="str">
        <x:v>brand</x:v>
      </x:c>
      <x:c r="I4" s="34" t="str">
        <x:v>build_date</x:v>
      </x:c>
      <x:c r="J4" s="34" t="str">
        <x:v>build_month</x:v>
      </x:c>
      <x:c r="K4" s="34" t="str">
        <x:v>ccm</x:v>
      </x:c>
      <x:c r="L4" s="34" t="str">
        <x:v>eu_category</x:v>
      </x:c>
      <x:c r="M4" s="34" t="str">
        <x:v>ev_config</x:v>
      </x:c>
      <x:c r="N4" s="34" t="str">
        <x:v>fab_code</x:v>
      </x:c>
      <x:c r="O4" s="34" t="str">
        <x:v>fuel1</x:v>
      </x:c>
      <x:c r="P4" s="34" t="str">
        <x:v>fuel2</x:v>
      </x:c>
      <x:c r="Q4" s="34" t="str">
        <x:v>fuel3</x:v>
      </x:c>
      <x:c r="R4" s="34" t="str">
        <x:v>fuel_combo</x:v>
      </x:c>
      <x:c r="S4" s="34" t="str">
        <x:v>gearbox</x:v>
      </x:c>
      <x:c r="T4" s="34" t="str">
        <x:v>group_no</x:v>
      </x:c>
      <x:c r="U4" s="34" t="str">
        <x:v>is_4wd</x:v>
      </x:c>
      <x:c r="V4" s="34" t="str">
        <x:v>kw</x:v>
      </x:c>
      <x:c r="W4" s="34" t="str">
        <x:v>manufacturer</x:v>
      </x:c>
      <x:c r="X4" s="34" t="str">
        <x:v>model</x:v>
      </x:c>
      <x:c r="Y4" s="34" t="str">
        <x:v>model_no</x:v>
      </x:c>
      <x:c r="Z4" s="34" t="str">
        <x:v>model_year</x:v>
      </x:c>
      <x:c r="AA4" s="34" t="str">
        <x:v>plate</x:v>
      </x:c>
      <x:c r="AB4" s="34" t="str">
        <x:v>registration_date</x:v>
      </x:c>
      <x:c r="AC4" s="34" t="str">
        <x:v>type_text</x:v>
      </x:c>
      <x:c r="AD4" s="34" t="str">
        <x:v>variant</x:v>
      </x:c>
      <x:c r="AE4" s="34" t="str">
        <x:v>vehicle_class</x:v>
      </x:c>
      <x:c r="AF4" s="34" t="str">
        <x:v>vehicle_type</x:v>
      </x:c>
      <x:c r="AG4" s="34" t="str">
        <x:v>vehicle_year</x:v>
      </x:c>
      <x:c r="AH4" s="34" t="str">
        <x:v>version</x:v>
      </x:c>
      <x:c r="AI4" s="34" t="str">
        <x:v>vin</x:v>
      </x:c>
      <x:c r="AJ4" s="34" t="str">
        <x:v>raw_record_json</x:v>
      </x:c>
    </x:row>
    <x:row r="5" ht="18" customHeight="1">
      <x:c r="A5" s="36" t="n">
        <x:v>2725</x:v>
      </x:c>
      <x:c r="B5" s="36" t="str">
        <x:v>normalization-review-passenger-250-v1-rules-20260805T184409855703Z</x:v>
      </x:c>
      <x:c r="C5" s="36" t="n">
        <x:v>46239.78067008102</x:v>
      </x:c>
      <x:c r="D5" s="38" t="str">
        <x:v>"2026-08-05T18:44:09.895308+00:00"</x:v>
      </x:c>
      <x:c r="E5" s="36" t="str">
        <x:v>KIAMOTORSCORPORATION</x:v>
      </x:c>
      <x:c r="F5" s="36" t="str">
        <x:v>AC</x:v>
      </x:c>
      <x:c r="G5" s="36"/>
      <x:c r="H5" s="36" t="str">
        <x:v>KIA</x:v>
      </x:c>
      <x:c r="I5" s="36"/>
      <x:c r="J5" s="36" t="str">
        <x:v>201908</x:v>
      </x:c>
      <x:c r="K5" s="36"/>
      <x:c r="L5" s="36" t="str">
        <x:v>M1</x:v>
      </x:c>
      <x:c r="M5" s="36" t="str">
        <x:v>EL</x:v>
      </x:c>
      <x:c r="N5" s="36" t="str">
        <x:v>KG</x:v>
      </x:c>
      <x:c r="O5" s="36" t="str">
        <x:v>3</x:v>
      </x:c>
      <x:c r="P5" s="36" t="str">
        <x:v>0</x:v>
      </x:c>
      <x:c r="Q5" s="36" t="str">
        <x:v>0</x:v>
      </x:c>
      <x:c r="R5" s="36"/>
      <x:c r="S5" s="36" t="str">
        <x:v>A</x:v>
      </x:c>
      <x:c r="T5" s="36" t="str">
        <x:v>210003</x:v>
      </x:c>
      <x:c r="U5" s="36" t="str">
        <x:v>0</x:v>
      </x:c>
      <x:c r="V5" s="36"/>
      <x:c r="W5" s="36" t="str">
        <x:v>KIAMOTORSCORPORATION</x:v>
      </x:c>
      <x:c r="X5" s="36" t="str">
        <x:v>NIRO</x:v>
      </x:c>
      <x:c r="Y5" s="36"/>
      <x:c r="Z5" s="36"/>
      <x:c r="AA5" s="36" t="str">
        <x:v>TEST-2725</x:v>
      </x:c>
      <x:c r="AB5" s="36" t="str">
        <x:v>20200130</x:v>
      </x:c>
      <x:c r="AC5" s="36" t="str">
        <x:v>DE</x:v>
      </x:c>
      <x:c r="AD5" s="36" t="str">
        <x:v>C5E11</x:v>
      </x:c>
      <x:c r="AE5" s="36" t="str">
        <x:v>I</x:v>
      </x:c>
      <x:c r="AF5" s="36" t="str">
        <x:v>PB</x:v>
      </x:c>
      <x:c r="AG5" s="36" t="n">
        <x:v>2019</x:v>
      </x:c>
      <x:c r="AH5" s="36" t="str">
        <x:v>E11DZ1</x:v>
      </x:c>
      <x:c r="AI5" s="36" t="str">
        <x:v>KNA00000000002725</x:v>
      </x:c>
      <x:c r="AJ5" s="38" t="str">
        <x:v>{"vin":"KNA00000000002725","brand":"KIA","fuel1":"3","fuel2":"0","fuel3":"0","model":"NIRO","plate":"TEST-2725","is_4wd":"0","gearbox":"A","variant":"C5E11","version":"E11DZ1","fab_code":"KG","group_no":"210003","body_code":"AC","ev_config":"EL","type_text":"DE","build_month":"201908","eu_category":"M1","manufacturer":"KIAMOTORSCORPORATION","vehicle_type":"PB","vehicle_year":2019,"vehicle_class":"I","base_manufacturer":"KIAMOTORSCORPORATION","registration_date":"20200130"}</x:v>
      </x:c>
    </x:row>
    <x:row r="6" ht="18" customHeight="1">
      <x:c r="A6" s="36" t="n">
        <x:v>2726</x:v>
      </x:c>
      <x:c r="B6" s="36" t="str">
        <x:v>normalization-review-passenger-250-v1-rules-20260805T184409855703Z</x:v>
      </x:c>
      <x:c r="C6" s="36" t="n">
        <x:v>46239.78067008102</x:v>
      </x:c>
      <x:c r="D6" s="38" t="str">
        <x:v>"2026-08-05T18:44:09.895308+00:00"</x:v>
      </x:c>
      <x:c r="E6" s="36"/>
      <x:c r="F6" s="36" t="str">
        <x:v>AE</x:v>
      </x:c>
      <x:c r="G6" s="36"/>
      <x:c r="H6" s="36" t="str">
        <x:v>MINI</x:v>
      </x:c>
      <x:c r="I6" s="36" t="str">
        <x:v>20230330</x:v>
      </x:c>
      <x:c r="J6" s="36" t="str">
        <x:v>202303</x:v>
      </x:c>
      <x:c r="K6" s="36" t="n">
        <x:v>1499</x:v>
      </x:c>
      <x:c r="L6" s="36" t="str">
        <x:v>M1</x:v>
      </x:c>
      <x:c r="M6" s="36"/>
      <x:c r="N6" s="36" t="str">
        <x:v>M5</x:v>
      </x:c>
      <x:c r="O6" s="36" t="str">
        <x:v>1</x:v>
      </x:c>
      <x:c r="P6" s="36" t="str">
        <x:v>0</x:v>
      </x:c>
      <x:c r="Q6" s="36" t="str">
        <x:v>0</x:v>
      </x:c>
      <x:c r="R6" s="36"/>
      <x:c r="S6" s="36" t="str">
        <x:v>A</x:v>
      </x:c>
      <x:c r="T6" s="36" t="str">
        <x:v>370012</x:v>
      </x:c>
      <x:c r="U6" s="36" t="str">
        <x:v>0</x:v>
      </x:c>
      <x:c r="V6" s="36" t="n">
        <x:v>100</x:v>
      </x:c>
      <x:c r="W6" s="36" t="str">
        <x:v>BAYERISCHE MOTOREN WERKE AG, DE-80788 MÅNCHEN</x:v>
      </x:c>
      <x:c r="X6" s="36" t="str">
        <x:v>COOPER</x:v>
      </x:c>
      <x:c r="Y6" s="36"/>
      <x:c r="Z6" s="36"/>
      <x:c r="AA6" s="36" t="str">
        <x:v>TEST-2726</x:v>
      </x:c>
      <x:c r="AB6" s="36" t="str">
        <x:v>20230529</x:v>
      </x:c>
      <x:c r="AC6" s="36" t="str">
        <x:v>FMCA</x:v>
      </x:c>
      <x:c r="AD6" s="36" t="str">
        <x:v>21DL</x:v>
      </x:c>
      <x:c r="AE6" s="36" t="str">
        <x:v>I</x:v>
      </x:c>
      <x:c r="AF6" s="36" t="str">
        <x:v>PB</x:v>
      </x:c>
      <x:c r="AG6" s="36" t="n">
        <x:v>2023</x:v>
      </x:c>
      <x:c r="AH6" s="36" t="str">
        <x:v>IAW40000</x:v>
      </x:c>
      <x:c r="AI6" s="36" t="str">
        <x:v>WMW00000000002726</x:v>
      </x:c>
      <x:c r="AJ6" s="38" t="str">
        <x:v>{"kw":100,"ccm":1499,"vin":"WMW00000000002726","brand":"MINI","fuel1":"1","fuel2":"0","fuel3":"0","model":"COOPER","plate":"TEST-2726","is_4wd":"0","gearbox":"A","variant":"21DL","version":"IAW40000","fab_code":"M5","group_no":"370012","body_code":"AE","type_text":"FMCA","build_date":"20230330","build_month":"202303","eu_category":"M1","manufacturer":"BAYERISCHE MOTOREN WERKE AG, DE-80788 MÅNCHEN","vehicle_type":"PB","vehicle_year":2023,"vehicle_class":"I","registration_date":"20230529"}</x:v>
      </x:c>
    </x:row>
    <x:row r="7" ht="18" customHeight="1">
      <x:c r="A7" s="36" t="n">
        <x:v>2727</x:v>
      </x:c>
      <x:c r="B7" s="36" t="str">
        <x:v>normalization-review-passenger-250-v1-rules-20260805T184409855703Z</x:v>
      </x:c>
      <x:c r="C7" s="36" t="n">
        <x:v>46239.78067008102</x:v>
      </x:c>
      <x:c r="D7" s="38" t="str">
        <x:v>"2026-08-05T18:44:09.895308+00:00"</x:v>
      </x:c>
      <x:c r="E7" s="36"/>
      <x:c r="F7" s="36" t="str">
        <x:v>01</x:v>
      </x:c>
      <x:c r="G7" s="36"/>
      <x:c r="H7" s="36" t="str">
        <x:v>VOLVO 211341 P</x:v>
      </x:c>
      <x:c r="I7" s="36"/>
      <x:c r="J7" s="36"/>
      <x:c r="K7" s="36"/>
      <x:c r="L7" s="36" t="str">
        <x:v>M1</x:v>
      </x:c>
      <x:c r="M7" s="36"/>
      <x:c r="N7" s="36" t="str">
        <x:v>VO</x:v>
      </x:c>
      <x:c r="O7" s="36" t="str">
        <x:v>1</x:v>
      </x:c>
      <x:c r="P7" s="36" t="str">
        <x:v>0</x:v>
      </x:c>
      <x:c r="Q7" s="36" t="str">
        <x:v>0</x:v>
      </x:c>
      <x:c r="R7" s="36"/>
      <x:c r="S7" s="36" t="str">
        <x:v>M</x:v>
      </x:c>
      <x:c r="T7" s="36" t="str">
        <x:v>000319</x:v>
      </x:c>
      <x:c r="U7" s="36" t="str">
        <x:v>0</x:v>
      </x:c>
      <x:c r="V7" s="36" t="n">
        <x:v>55</x:v>
      </x:c>
      <x:c r="W7" s="36"/>
      <x:c r="X7" s="36"/>
      <x:c r="Y7" s="36" t="str">
        <x:v>000319</x:v>
      </x:c>
      <x:c r="Z7" s="36" t="n">
        <x:v>1968</x:v>
      </x:c>
      <x:c r="AA7" s="36" t="str">
        <x:v>TEST-2727</x:v>
      </x:c>
      <x:c r="AB7" s="36" t="str">
        <x:v>19680101</x:v>
      </x:c>
      <x:c r="AC7" s="36"/>
      <x:c r="AD7" s="36"/>
      <x:c r="AE7" s="36" t="str">
        <x:v>I</x:v>
      </x:c>
      <x:c r="AF7" s="36" t="str">
        <x:v>PB</x:v>
      </x:c>
      <x:c r="AG7" s="36" t="n">
        <x:v>1968</x:v>
      </x:c>
      <x:c r="AH7" s="36"/>
      <x:c r="AI7" s="36" t="str">
        <x:v>91400000000002727</x:v>
      </x:c>
      <x:c r="AJ7" s="38" t="str">
        <x:v>{"kw":55,"vin":"91400000000002727","brand":"VOLVO 211341 P","fuel1":"1","fuel2":"0","fuel3":"0","plate":"TEST-2727","is_4wd":"0","gearbox":"M","fab_code":"VO","group_no":"000319","model_no":"000319","body_code":"01","model_year":1968,"eu_category":"M1","vehicle_type":"PB","vehicle_year":1968,"vehicle_class":"I","registration_date":"19680101"}</x:v>
      </x:c>
    </x:row>
    <x:row r="8" ht="18" customHeight="1">
      <x:c r="A8" s="36" t="n">
        <x:v>2728</x:v>
      </x:c>
      <x:c r="B8" s="36" t="str">
        <x:v>normalization-review-passenger-250-v1-rules-20260805T184409855703Z</x:v>
      </x:c>
      <x:c r="C8" s="36" t="n">
        <x:v>46239.78067008102</x:v>
      </x:c>
      <x:c r="D8" s="38" t="str">
        <x:v>"2026-08-05T18:44:09.895308+00:00"</x:v>
      </x:c>
      <x:c r="E8" s="36"/>
      <x:c r="F8" s="36"/>
      <x:c r="G8" s="36"/>
      <x:c r="H8" s="36" t="str">
        <x:v>ALFA ROMEO GIULIETTA SPR</x:v>
      </x:c>
      <x:c r="I8" s="36"/>
      <x:c r="J8" s="36"/>
      <x:c r="K8" s="36"/>
      <x:c r="L8" s="36" t="str">
        <x:v>M1</x:v>
      </x:c>
      <x:c r="M8" s="36"/>
      <x:c r="N8" s="36" t="str">
        <x:v>AR</x:v>
      </x:c>
      <x:c r="O8" s="36" t="str">
        <x:v>1</x:v>
      </x:c>
      <x:c r="P8" s="36" t="str">
        <x:v>0</x:v>
      </x:c>
      <x:c r="Q8" s="36" t="str">
        <x:v>0</x:v>
      </x:c>
      <x:c r="R8" s="36"/>
      <x:c r="S8" s="36" t="str">
        <x:v>M</x:v>
      </x:c>
      <x:c r="T8" s="36"/>
      <x:c r="U8" s="36" t="str">
        <x:v>0</x:v>
      </x:c>
      <x:c r="V8" s="36" t="n">
        <x:v>50</x:v>
      </x:c>
      <x:c r="W8" s="36"/>
      <x:c r="X8" s="36"/>
      <x:c r="Y8" s="36"/>
      <x:c r="Z8" s="36" t="n">
        <x:v>1955</x:v>
      </x:c>
      <x:c r="AA8" s="36" t="str">
        <x:v>TEST-2728</x:v>
      </x:c>
      <x:c r="AB8" s="36" t="str">
        <x:v>19551011</x:v>
      </x:c>
      <x:c r="AC8" s="36"/>
      <x:c r="AD8" s="36"/>
      <x:c r="AE8" s="36" t="str">
        <x:v>I</x:v>
      </x:c>
      <x:c r="AF8" s="36" t="str">
        <x:v>PB</x:v>
      </x:c>
      <x:c r="AG8" s="36" t="n">
        <x:v>1955</x:v>
      </x:c>
      <x:c r="AH8" s="36"/>
      <x:c r="AI8" s="36" t="str">
        <x:v>14900000000002728</x:v>
      </x:c>
      <x:c r="AJ8" s="38" t="str">
        <x:v>{"kw":50,"vin":"14900000000002728","brand":"ALFA ROMEO GIULIETTA SPR","fuel1":"1","fuel2":"0","fuel3":"0","plate":"TEST-2728","is_4wd":"0","gearbox":"M","fab_code":"AR","model_year":1955,"eu_category":"M1","vehicle_type":"PB","vehicle_year":1955,"vehicle_class":"I","registration_date":"19551011"}</x:v>
      </x:c>
    </x:row>
    <x:row r="9" ht="18" customHeight="1">
      <x:c r="A9" s="36" t="n">
        <x:v>2729</x:v>
      </x:c>
      <x:c r="B9" s="36" t="str">
        <x:v>normalization-review-passenger-250-v1-rules-20260805T184409855703Z</x:v>
      </x:c>
      <x:c r="C9" s="36" t="n">
        <x:v>46239.78067008102</x:v>
      </x:c>
      <x:c r="D9" s="38" t="str">
        <x:v>"2026-08-05T18:44:09.895308+00:00"</x:v>
      </x:c>
      <x:c r="E9" s="36"/>
      <x:c r="F9" s="36" t="str">
        <x:v>AC</x:v>
      </x:c>
      <x:c r="G9" s="36"/>
      <x:c r="H9" s="36" t="str">
        <x:v>VOLVO B + XC70</x:v>
      </x:c>
      <x:c r="I9" s="36"/>
      <x:c r="J9" s="36" t="str">
        <x:v>201003</x:v>
      </x:c>
      <x:c r="K9" s="36" t="n">
        <x:v>2400</x:v>
      </x:c>
      <x:c r="L9" s="36" t="str">
        <x:v>M1</x:v>
      </x:c>
      <x:c r="M9" s="36"/>
      <x:c r="N9" s="36" t="str">
        <x:v>VO</x:v>
      </x:c>
      <x:c r="O9" s="36" t="str">
        <x:v>2</x:v>
      </x:c>
      <x:c r="P9" s="36" t="str">
        <x:v>0</x:v>
      </x:c>
      <x:c r="Q9" s="36" t="str">
        <x:v>0</x:v>
      </x:c>
      <x:c r="R9" s="36"/>
      <x:c r="S9" s="36" t="str">
        <x:v>A</x:v>
      </x:c>
      <x:c r="T9" s="36" t="str">
        <x:v>010488</x:v>
      </x:c>
      <x:c r="U9" s="36" t="str">
        <x:v>1</x:v>
      </x:c>
      <x:c r="V9" s="36" t="n">
        <x:v>120</x:v>
      </x:c>
      <x:c r="W9" s="36"/>
      <x:c r="X9" s="36" t="str">
        <x:v>XC70</x:v>
      </x:c>
      <x:c r="Y9" s="36"/>
      <x:c r="Z9" s="36"/>
      <x:c r="AA9" s="36" t="str">
        <x:v>TEST-2729</x:v>
      </x:c>
      <x:c r="AB9" s="36" t="str">
        <x:v>20100401</x:v>
      </x:c>
      <x:c r="AC9" s="36" t="str">
        <x:v>B</x:v>
      </x:c>
      <x:c r="AD9" s="36" t="str">
        <x:v>BZ80</x:v>
      </x:c>
      <x:c r="AE9" s="36" t="str">
        <x:v>I</x:v>
      </x:c>
      <x:c r="AF9" s="36" t="str">
        <x:v>PB</x:v>
      </x:c>
      <x:c r="AG9" s="36" t="n">
        <x:v>2010</x:v>
      </x:c>
      <x:c r="AH9" s="36" t="str">
        <x:v>BZ8046??</x:v>
      </x:c>
      <x:c r="AI9" s="36" t="str">
        <x:v>YV100000000002729</x:v>
      </x:c>
      <x:c r="AJ9" s="38" t="str">
        <x:v>{"kw":120,"ccm":2400,"vin":"YV100000000002729","brand":"VOLVO B + XC70","fuel1":"2","fuel2":"0","fuel3":"0","model":"XC70","plate":"TEST-2729","is_4wd":"1","gearbox":"A","variant":"BZ80","version":"BZ8046??","fab_code":"VO","group_no":"010488","body_code":"AC","type_text":"B","build_month":"201003","eu_category":"M1","vehicle_type":"PB","vehicle_year":2010,"vehicle_class":"I","registration_date":"20100401"}</x:v>
      </x:c>
    </x:row>
    <x:row r="10" ht="18" customHeight="1">
      <x:c r="A10" s="36" t="n">
        <x:v>2730</x:v>
      </x:c>
      <x:c r="B10" s="36" t="str">
        <x:v>normalization-review-passenger-250-v1-rules-20260805T184409855703Z</x:v>
      </x:c>
      <x:c r="C10" s="36" t="n">
        <x:v>46239.78067008102</x:v>
      </x:c>
      <x:c r="D10" s="38" t="str">
        <x:v>"2026-08-05T18:44:09.895308+00:00"</x:v>
      </x:c>
      <x:c r="E10" s="36"/>
      <x:c r="F10" s="36" t="str">
        <x:v>01</x:v>
      </x:c>
      <x:c r="G10" s="36"/>
      <x:c r="H10" s="36" t="str">
        <x:v>SAAB SPORT</x:v>
      </x:c>
      <x:c r="I10" s="36"/>
      <x:c r="J10" s="36"/>
      <x:c r="K10" s="36"/>
      <x:c r="L10" s="36" t="str">
        <x:v>M1</x:v>
      </x:c>
      <x:c r="M10" s="36"/>
      <x:c r="N10" s="36" t="str">
        <x:v>SA</x:v>
      </x:c>
      <x:c r="O10" s="36" t="str">
        <x:v>1</x:v>
      </x:c>
      <x:c r="P10" s="36" t="str">
        <x:v>0</x:v>
      </x:c>
      <x:c r="Q10" s="36" t="str">
        <x:v>0</x:v>
      </x:c>
      <x:c r="R10" s="36"/>
      <x:c r="S10" s="36" t="str">
        <x:v>M</x:v>
      </x:c>
      <x:c r="T10" s="36" t="str">
        <x:v>000403</x:v>
      </x:c>
      <x:c r="U10" s="36" t="str">
        <x:v>0</x:v>
      </x:c>
      <x:c r="V10" s="36" t="n">
        <x:v>40</x:v>
      </x:c>
      <x:c r="W10" s="36"/>
      <x:c r="X10" s="36"/>
      <x:c r="Y10" s="36" t="str">
        <x:v>000403</x:v>
      </x:c>
      <x:c r="Z10" s="36" t="n">
        <x:v>1965</x:v>
      </x:c>
      <x:c r="AA10" s="36" t="str">
        <x:v>TEST-2730</x:v>
      </x:c>
      <x:c r="AB10" s="36" t="str">
        <x:v>19641211</x:v>
      </x:c>
      <x:c r="AC10" s="36"/>
      <x:c r="AD10" s="36"/>
      <x:c r="AE10" s="36" t="str">
        <x:v>I</x:v>
      </x:c>
      <x:c r="AF10" s="36" t="str">
        <x:v>PB</x:v>
      </x:c>
      <x:c r="AG10" s="36" t="n">
        <x:v>1965</x:v>
      </x:c>
      <x:c r="AH10" s="36"/>
      <x:c r="AI10" s="36" t="str">
        <x:v>32400000000002730</x:v>
      </x:c>
      <x:c r="AJ10" s="38" t="str">
        <x:v>{"kw":40,"vin":"32400000000002730","brand":"SAAB SPORT","fuel1":"1","fuel2":"0","fuel3":"0","plate":"TEST-2730","is_4wd":"0","gearbox":"M","fab_code":"SA","group_no":"000403","model_no":"000403","body_code":"01","model_year":1965,"eu_category":"M1","vehicle_type":"PB","vehicle_year":1965,"vehicle_class":"I","registration_date":"19641211"}</x:v>
      </x:c>
    </x:row>
    <x:row r="11" ht="18" customHeight="1">
      <x:c r="A11" s="36" t="n">
        <x:v>2731</x:v>
      </x:c>
      <x:c r="B11" s="36" t="str">
        <x:v>normalization-review-passenger-250-v1-rules-20260805T184409855703Z</x:v>
      </x:c>
      <x:c r="C11" s="36" t="n">
        <x:v>46239.78067008102</x:v>
      </x:c>
      <x:c r="D11" s="38" t="str">
        <x:v>"2026-08-05T18:44:09.895308+00:00"</x:v>
      </x:c>
      <x:c r="E11" s="36"/>
      <x:c r="F11" s="36" t="str">
        <x:v>01</x:v>
      </x:c>
      <x:c r="G11" s="36"/>
      <x:c r="H11" s="36" t="str">
        <x:v>OPEL ASTRA 5D CLUB</x:v>
      </x:c>
      <x:c r="I11" s="36"/>
      <x:c r="J11" s="36"/>
      <x:c r="K11" s="36"/>
      <x:c r="L11" s="36" t="str">
        <x:v>M1</x:v>
      </x:c>
      <x:c r="M11" s="36"/>
      <x:c r="N11" s="36" t="str">
        <x:v>OP</x:v>
      </x:c>
      <x:c r="O11" s="36" t="str">
        <x:v>1</x:v>
      </x:c>
      <x:c r="P11" s="36" t="str">
        <x:v>0</x:v>
      </x:c>
      <x:c r="Q11" s="36" t="str">
        <x:v>0</x:v>
      </x:c>
      <x:c r="R11" s="36"/>
      <x:c r="S11" s="36" t="str">
        <x:v>M</x:v>
      </x:c>
      <x:c r="T11" s="36" t="str">
        <x:v>030404</x:v>
      </x:c>
      <x:c r="U11" s="36" t="str">
        <x:v>0</x:v>
      </x:c>
      <x:c r="V11" s="36" t="n">
        <x:v>74</x:v>
      </x:c>
      <x:c r="W11" s="36"/>
      <x:c r="X11" s="36"/>
      <x:c r="Y11" s="36"/>
      <x:c r="Z11" s="36" t="n">
        <x:v>1999</x:v>
      </x:c>
      <x:c r="AA11" s="36" t="str">
        <x:v>TEST-2731</x:v>
      </x:c>
      <x:c r="AB11" s="36" t="str">
        <x:v>19981211</x:v>
      </x:c>
      <x:c r="AC11" s="36"/>
      <x:c r="AD11" s="36" t="str">
        <x:v>CD11</x:v>
      </x:c>
      <x:c r="AE11" s="36" t="str">
        <x:v>I</x:v>
      </x:c>
      <x:c r="AF11" s="36" t="str">
        <x:v>PB</x:v>
      </x:c>
      <x:c r="AG11" s="36" t="n">
        <x:v>1999</x:v>
      </x:c>
      <x:c r="AH11" s="36" t="str">
        <x:v>2A30AR35FDH5</x:v>
      </x:c>
      <x:c r="AI11" s="36" t="str">
        <x:v>0TG00000000002731</x:v>
      </x:c>
      <x:c r="AJ11" s="38" t="str">
        <x:v>{"kw":74,"vin":"0TG00000000002731","brand":"OPEL ASTRA 5D CLUB","fuel1":"1","fuel2":"0","fuel3":"0","plate":"TEST-2731","is_4wd":"0","gearbox":"M","variant":"CD11","version":"2A30AR35FDH5","fab_code":"OP","group_no":"030404","body_code":"01","model_year":1999,"eu_category":"M1","vehicle_type":"PB","vehicle_year":1999,"vehicle_class":"I","registration_date":"19981211"}</x:v>
      </x:c>
    </x:row>
    <x:row r="12" ht="18" customHeight="1">
      <x:c r="A12" s="36" t="n">
        <x:v>2732</x:v>
      </x:c>
      <x:c r="B12" s="36" t="str">
        <x:v>normalization-review-passenger-250-v1-rules-20260805T184409855703Z</x:v>
      </x:c>
      <x:c r="C12" s="36" t="n">
        <x:v>46239.78067008102</x:v>
      </x:c>
      <x:c r="D12" s="38" t="str">
        <x:v>"2026-08-05T18:44:09.895308+00:00"</x:v>
      </x:c>
      <x:c r="E12" s="36"/>
      <x:c r="F12" s="36" t="str">
        <x:v>01</x:v>
      </x:c>
      <x:c r="G12" s="36"/>
      <x:c r="H12" s="36" t="str">
        <x:v>SKODA FELICIA</x:v>
      </x:c>
      <x:c r="I12" s="36"/>
      <x:c r="J12" s="36"/>
      <x:c r="K12" s="36"/>
      <x:c r="L12" s="36" t="str">
        <x:v>M1</x:v>
      </x:c>
      <x:c r="M12" s="36"/>
      <x:c r="N12" s="36" t="str">
        <x:v>SK</x:v>
      </x:c>
      <x:c r="O12" s="36" t="str">
        <x:v>1</x:v>
      </x:c>
      <x:c r="P12" s="36" t="str">
        <x:v>0</x:v>
      </x:c>
      <x:c r="Q12" s="36" t="str">
        <x:v>0</x:v>
      </x:c>
      <x:c r="R12" s="36"/>
      <x:c r="S12" s="36" t="str">
        <x:v>M</x:v>
      </x:c>
      <x:c r="T12" s="36" t="str">
        <x:v>001117</x:v>
      </x:c>
      <x:c r="U12" s="36" t="str">
        <x:v>0</x:v>
      </x:c>
      <x:c r="V12" s="36" t="n">
        <x:v>50</x:v>
      </x:c>
      <x:c r="W12" s="36"/>
      <x:c r="X12" s="36"/>
      <x:c r="Y12" s="36" t="str">
        <x:v>001117</x:v>
      </x:c>
      <x:c r="Z12" s="36" t="n">
        <x:v>1997</x:v>
      </x:c>
      <x:c r="AA12" s="36" t="str">
        <x:v>TEST-2732</x:v>
      </x:c>
      <x:c r="AB12" s="36" t="str">
        <x:v>19970516</x:v>
      </x:c>
      <x:c r="AC12" s="36"/>
      <x:c r="AD12" s="36"/>
      <x:c r="AE12" s="36" t="str">
        <x:v>I</x:v>
      </x:c>
      <x:c r="AF12" s="36" t="str">
        <x:v>PB</x:v>
      </x:c>
      <x:c r="AG12" s="36" t="n">
        <x:v>1997</x:v>
      </x:c>
      <x:c r="AH12" s="36"/>
      <x:c r="AI12" s="36" t="str">
        <x:v>EFF00000000002732</x:v>
      </x:c>
      <x:c r="AJ12" s="38" t="str">
        <x:v>{"kw":50,"vin":"EFF00000000002732","brand":"SKODA FELICIA","fuel1":"1","fuel2":"0","fuel3":"0","plate":"TEST-2732","is_4wd":"0","gearbox":"M","fab_code":"SK","group_no":"001117","model_no":"001117","body_code":"01","model_year":1997,"eu_category":"M1","vehicle_type":"PB","vehicle_year":1997,"vehicle_class":"I","registration_date":"19970516"}</x:v>
      </x:c>
    </x:row>
    <x:row r="13" ht="18" customHeight="1">
      <x:c r="A13" s="36" t="n">
        <x:v>2733</x:v>
      </x:c>
      <x:c r="B13" s="36" t="str">
        <x:v>normalization-review-passenger-250-v1-rules-20260805T184409855703Z</x:v>
      </x:c>
      <x:c r="C13" s="36" t="n">
        <x:v>46239.78067008102</x:v>
      </x:c>
      <x:c r="D13" s="38" t="str">
        <x:v>"2026-08-05T18:44:09.895308+00:00"</x:v>
      </x:c>
      <x:c r="E13" s="36"/>
      <x:c r="F13" s="36" t="str">
        <x:v>01</x:v>
      </x:c>
      <x:c r="G13" s="36"/>
      <x:c r="H13" s="36" t="str">
        <x:v>PLYMOUTH SPECIAL DE LUXE</x:v>
      </x:c>
      <x:c r="I13" s="36"/>
      <x:c r="J13" s="36"/>
      <x:c r="K13" s="36"/>
      <x:c r="L13" s="36" t="str">
        <x:v>M1</x:v>
      </x:c>
      <x:c r="M13" s="36"/>
      <x:c r="N13" s="36" t="str">
        <x:v>PL</x:v>
      </x:c>
      <x:c r="O13" s="36" t="str">
        <x:v>1</x:v>
      </x:c>
      <x:c r="P13" s="36" t="str">
        <x:v>0</x:v>
      </x:c>
      <x:c r="Q13" s="36" t="str">
        <x:v>0</x:v>
      </x:c>
      <x:c r="R13" s="36"/>
      <x:c r="S13" s="36" t="str">
        <x:v>M</x:v>
      </x:c>
      <x:c r="T13" s="36"/>
      <x:c r="U13" s="36" t="str">
        <x:v>0</x:v>
      </x:c>
      <x:c r="V13" s="36" t="n">
        <x:v>67</x:v>
      </x:c>
      <x:c r="W13" s="36"/>
      <x:c r="X13" s="36"/>
      <x:c r="Y13" s="36"/>
      <x:c r="Z13" s="36" t="n">
        <x:v>1946</x:v>
      </x:c>
      <x:c r="AA13" s="36" t="str">
        <x:v>TEST-2733</x:v>
      </x:c>
      <x:c r="AB13" s="36" t="str">
        <x:v>20070913</x:v>
      </x:c>
      <x:c r="AC13" s="36"/>
      <x:c r="AD13" s="36"/>
      <x:c r="AE13" s="36" t="str">
        <x:v>I</x:v>
      </x:c>
      <x:c r="AF13" s="36" t="str">
        <x:v>PB</x:v>
      </x:c>
      <x:c r="AG13" s="36" t="n">
        <x:v>1946</x:v>
      </x:c>
      <x:c r="AH13" s="36"/>
      <x:c r="AI13" s="36" t="str">
        <x:v>11600000000002733</x:v>
      </x:c>
      <x:c r="AJ13" s="38" t="str">
        <x:v>{"kw":67,"vin":"11600000000002733","brand":"PLYMOUTH SPECIAL DE LUXE","fuel1":"1","fuel2":"0","fuel3":"0","plate":"TEST-2733","is_4wd":"0","gearbox":"M","fab_code":"PL","body_code":"01","model_year":1946,"eu_category":"M1","vehicle_type":"PB","vehicle_year":1946,"vehicle_class":"I","registration_date":"20070913"}</x:v>
      </x:c>
    </x:row>
    <x:row r="14" ht="18" customHeight="1">
      <x:c r="A14" s="36" t="n">
        <x:v>2734</x:v>
      </x:c>
      <x:c r="B14" s="36" t="str">
        <x:v>normalization-review-passenger-250-v1-rules-20260805T184409855703Z</x:v>
      </x:c>
      <x:c r="C14" s="36" t="n">
        <x:v>46239.78067008102</x:v>
      </x:c>
      <x:c r="D14" s="38" t="str">
        <x:v>"2026-08-05T18:44:09.895308+00:00"</x:v>
      </x:c>
      <x:c r="E14" s="36"/>
      <x:c r="F14" s="36" t="str">
        <x:v>AC</x:v>
      </x:c>
      <x:c r="G14" s="36"/>
      <x:c r="H14" s="36" t="str">
        <x:v>VOLVO B + V70</x:v>
      </x:c>
      <x:c r="I14" s="36"/>
      <x:c r="J14" s="36" t="str">
        <x:v>201409</x:v>
      </x:c>
      <x:c r="K14" s="36" t="n">
        <x:v>2400</x:v>
      </x:c>
      <x:c r="L14" s="36" t="str">
        <x:v>M1</x:v>
      </x:c>
      <x:c r="M14" s="36"/>
      <x:c r="N14" s="36" t="str">
        <x:v>VO</x:v>
      </x:c>
      <x:c r="O14" s="36" t="str">
        <x:v>2</x:v>
      </x:c>
      <x:c r="P14" s="36" t="str">
        <x:v>0</x:v>
      </x:c>
      <x:c r="Q14" s="36" t="str">
        <x:v>0</x:v>
      </x:c>
      <x:c r="R14" s="36"/>
      <x:c r="S14" s="36" t="str">
        <x:v>A</x:v>
      </x:c>
      <x:c r="T14" s="36" t="str">
        <x:v>015416</x:v>
      </x:c>
      <x:c r="U14" s="36" t="str">
        <x:v>1</x:v>
      </x:c>
      <x:c r="V14" s="36" t="n">
        <x:v>133</x:v>
      </x:c>
      <x:c r="W14" s="36"/>
      <x:c r="X14" s="36" t="str">
        <x:v>V70</x:v>
      </x:c>
      <x:c r="Y14" s="36"/>
      <x:c r="Z14" s="36"/>
      <x:c r="AA14" s="36" t="str">
        <x:v>TEST-2734</x:v>
      </x:c>
      <x:c r="AB14" s="36" t="str">
        <x:v>20141030</x:v>
      </x:c>
      <x:c r="AC14" s="36" t="str">
        <x:v>B</x:v>
      </x:c>
      <x:c r="AD14" s="36" t="str">
        <x:v>BW81</x:v>
      </x:c>
      <x:c r="AE14" s="36" t="str">
        <x:v>I</x:v>
      </x:c>
      <x:c r="AF14" s="36" t="str">
        <x:v>PB</x:v>
      </x:c>
      <x:c r="AG14" s="36" t="n">
        <x:v>2014</x:v>
      </x:c>
      <x:c r="AH14" s="36" t="str">
        <x:v>BW8156??</x:v>
      </x:c>
      <x:c r="AI14" s="36" t="str">
        <x:v>YV100000000002734</x:v>
      </x:c>
      <x:c r="AJ14" s="38" t="str">
        <x:v>{"kw":133,"ccm":2400,"vin":"YV100000000002734","brand":"VOLVO B + V70","fuel1":"2","fuel2":"0","fuel3":"0","model":"V70","plate":"TEST-2734","is_4wd":"1","gearbox":"A","variant":"BW81","version":"BW8156??","fab_code":"VO","group_no":"015416","body_code":"AC","type_text":"B","build_month":"201409","eu_category":"M1","vehicle_type":"PB","vehicle_year":2014,"vehicle_class":"I","registration_date":"20141030"}</x:v>
      </x:c>
    </x:row>
    <x:row r="15" ht="18" customHeight="1">
      <x:c r="A15" s="36" t="n">
        <x:v>2735</x:v>
      </x:c>
      <x:c r="B15" s="36" t="str">
        <x:v>normalization-review-passenger-250-v1-rules-20260805T184409855703Z</x:v>
      </x:c>
      <x:c r="C15" s="36" t="n">
        <x:v>46239.78067008102</x:v>
      </x:c>
      <x:c r="D15" s="38" t="str">
        <x:v>"2026-08-05T18:44:09.895308+00:00"</x:v>
      </x:c>
      <x:c r="E15" s="36"/>
      <x:c r="F15" s="36" t="str">
        <x:v>AF</x:v>
      </x:c>
      <x:c r="G15" s="36"/>
      <x:c r="H15" s="36" t="str">
        <x:v>HYUNDAI I10 1.1 M5E-SENS</x:v>
      </x:c>
      <x:c r="I15" s="36"/>
      <x:c r="J15" s="36" t="str">
        <x:v>200807</x:v>
      </x:c>
      <x:c r="K15" s="36" t="n">
        <x:v>1086</x:v>
      </x:c>
      <x:c r="L15" s="36" t="str">
        <x:v>M1</x:v>
      </x:c>
      <x:c r="M15" s="36"/>
      <x:c r="N15" s="36" t="str">
        <x:v>HK</x:v>
      </x:c>
      <x:c r="O15" s="36" t="str">
        <x:v>1</x:v>
      </x:c>
      <x:c r="P15" s="36" t="str">
        <x:v>0</x:v>
      </x:c>
      <x:c r="Q15" s="36" t="str">
        <x:v>0</x:v>
      </x:c>
      <x:c r="R15" s="36"/>
      <x:c r="S15" s="36" t="str">
        <x:v>M</x:v>
      </x:c>
      <x:c r="T15" s="36" t="str">
        <x:v>119400</x:v>
      </x:c>
      <x:c r="U15" s="36" t="str">
        <x:v>0</x:v>
      </x:c>
      <x:c r="V15" s="36" t="n">
        <x:v>48</x:v>
      </x:c>
      <x:c r="W15" s="36"/>
      <x:c r="X15" s="36"/>
      <x:c r="Y15" s="36"/>
      <x:c r="Z15" s="36"/>
      <x:c r="AA15" s="36" t="str">
        <x:v>TEST-2735</x:v>
      </x:c>
      <x:c r="AB15" s="36" t="str">
        <x:v>20080905</x:v>
      </x:c>
      <x:c r="AC15" s="36" t="str">
        <x:v>PA</x:v>
      </x:c>
      <x:c r="AD15" s="36" t="str">
        <x:v>F5P11</x:v>
      </x:c>
      <x:c r="AE15" s="36" t="str">
        <x:v>I</x:v>
      </x:c>
      <x:c r="AF15" s="36" t="str">
        <x:v>PB</x:v>
      </x:c>
      <x:c r="AG15" s="36" t="n">
        <x:v>2008</x:v>
      </x:c>
      <x:c r="AH15" s="36" t="str">
        <x:v>M51AZ1</x:v>
      </x:c>
      <x:c r="AI15" s="36" t="str">
        <x:v>MAL00000000002735</x:v>
      </x:c>
      <x:c r="AJ15" s="38" t="str">
        <x:v>{"kw":48,"ccm":1086,"vin":"MAL00000000002735","brand":"HYUNDAI I10 1.1 M5E-SENS","fuel1":"1","fuel2":"0","fuel3":"0","plate":"TEST-2735","is_4wd":"0","gearbox":"M","variant":"F5P11","version":"M51AZ1","fab_code":"HK","group_no":"119400","body_code":"AF","type_text":"PA","build_month":"200807","eu_category":"M1","vehicle_type":"PB","vehicle_year":2008,"vehicle_class":"I","registration_date":"20080905"}</x:v>
      </x:c>
    </x:row>
    <x:row r="16" ht="18" customHeight="1">
      <x:c r="A16" s="36" t="n">
        <x:v>2736</x:v>
      </x:c>
      <x:c r="B16" s="36" t="str">
        <x:v>normalization-review-passenger-250-v1-rules-20260805T184409855703Z</x:v>
      </x:c>
      <x:c r="C16" s="36" t="n">
        <x:v>46239.78067008102</x:v>
      </x:c>
      <x:c r="D16" s="38" t="str">
        <x:v>"2026-08-05T18:44:09.895308+00:00"</x:v>
      </x:c>
      <x:c r="E16" s="36"/>
      <x:c r="F16" s="36" t="str">
        <x:v>AB</x:v>
      </x:c>
      <x:c r="G16" s="36"/>
      <x:c r="H16" s="36" t="str">
        <x:v>RENAULT</x:v>
      </x:c>
      <x:c r="I16" s="36"/>
      <x:c r="J16" s="36" t="str">
        <x:v>201602</x:v>
      </x:c>
      <x:c r="K16" s="36" t="n">
        <x:v>1197</x:v>
      </x:c>
      <x:c r="L16" s="36" t="str">
        <x:v>M1</x:v>
      </x:c>
      <x:c r="M16" s="36"/>
      <x:c r="N16" s="36" t="str">
        <x:v>RN</x:v>
      </x:c>
      <x:c r="O16" s="36" t="str">
        <x:v>1</x:v>
      </x:c>
      <x:c r="P16" s="36" t="str">
        <x:v>0</x:v>
      </x:c>
      <x:c r="Q16" s="36" t="str">
        <x:v>0</x:v>
      </x:c>
      <x:c r="R16" s="36"/>
      <x:c r="S16" s="36"/>
      <x:c r="T16" s="36" t="str">
        <x:v>304039</x:v>
      </x:c>
      <x:c r="U16" s="36" t="str">
        <x:v>0</x:v>
      </x:c>
      <x:c r="V16" s="36" t="n">
        <x:v>87</x:v>
      </x:c>
      <x:c r="W16" s="36"/>
      <x:c r="X16" s="36" t="str">
        <x:v>CAPTUR</x:v>
      </x:c>
      <x:c r="Y16" s="36"/>
      <x:c r="Z16" s="36"/>
      <x:c r="AA16" s="36" t="str">
        <x:v>TEST-2736</x:v>
      </x:c>
      <x:c r="AB16" s="36" t="str">
        <x:v>20160630</x:v>
      </x:c>
      <x:c r="AC16" s="36" t="str">
        <x:v>R</x:v>
      </x:c>
      <x:c r="AD16" s="36" t="str">
        <x:v>2RBU</x:v>
      </x:c>
      <x:c r="AE16" s="36" t="str">
        <x:v>I</x:v>
      </x:c>
      <x:c r="AF16" s="36" t="str">
        <x:v>PB</x:v>
      </x:c>
      <x:c r="AG16" s="36" t="n">
        <x:v>2016</x:v>
      </x:c>
      <x:c r="AH16" s="36" t="str">
        <x:v>2RBU1D</x:v>
      </x:c>
      <x:c r="AI16" s="36" t="str">
        <x:v>VF100000000002736</x:v>
      </x:c>
      <x:c r="AJ16" s="38" t="str">
        <x:v>{"kw":87,"ccm":1197,"vin":"VF100000000002736","brand":"RENAULT","fuel1":"1","fuel2":"0","fuel3":"0","model":"CAPTUR","plate":"TEST-2736","is_4wd":"0","variant":"2RBU","version":"2RBU1D","fab_code":"RN","group_no":"304039","body_code":"AB","type_text":"R","build_month":"201602","eu_category":"M1","vehicle_type":"PB","vehicle_year":2016,"vehicle_class":"I","registration_date":"20160630"}</x:v>
      </x:c>
    </x:row>
    <x:row r="17" ht="18" customHeight="1">
      <x:c r="A17" s="36" t="n">
        <x:v>2737</x:v>
      </x:c>
      <x:c r="B17" s="36" t="str">
        <x:v>normalization-review-passenger-250-v1-rules-20260805T184409855703Z</x:v>
      </x:c>
      <x:c r="C17" s="36" t="n">
        <x:v>46239.78067008102</x:v>
      </x:c>
      <x:c r="D17" s="38" t="str">
        <x:v>"2026-08-05T18:44:09.895308+00:00"</x:v>
      </x:c>
      <x:c r="E17" s="36"/>
      <x:c r="F17" s="36" t="str">
        <x:v>01</x:v>
      </x:c>
      <x:c r="G17" s="36"/>
      <x:c r="H17" s="36" t="str">
        <x:v>SAAB 99-2,0 CM 2</x:v>
      </x:c>
      <x:c r="I17" s="36"/>
      <x:c r="J17" s="36"/>
      <x:c r="K17" s="36"/>
      <x:c r="L17" s="36" t="str">
        <x:v>M1</x:v>
      </x:c>
      <x:c r="M17" s="36"/>
      <x:c r="N17" s="36" t="str">
        <x:v>SA</x:v>
      </x:c>
      <x:c r="O17" s="36" t="str">
        <x:v>1</x:v>
      </x:c>
      <x:c r="P17" s="36" t="str">
        <x:v>0</x:v>
      </x:c>
      <x:c r="Q17" s="36" t="str">
        <x:v>0</x:v>
      </x:c>
      <x:c r="R17" s="36"/>
      <x:c r="S17" s="36" t="str">
        <x:v>M</x:v>
      </x:c>
      <x:c r="T17" s="36" t="str">
        <x:v>000733</x:v>
      </x:c>
      <x:c r="U17" s="36" t="str">
        <x:v>0</x:v>
      </x:c>
      <x:c r="V17" s="36" t="n">
        <x:v>70</x:v>
      </x:c>
      <x:c r="W17" s="36"/>
      <x:c r="X17" s="36"/>
      <x:c r="Y17" s="36" t="str">
        <x:v>000733</x:v>
      </x:c>
      <x:c r="Z17" s="36" t="n">
        <x:v>1972</x:v>
      </x:c>
      <x:c r="AA17" s="36" t="str">
        <x:v>TEST-2737</x:v>
      </x:c>
      <x:c r="AB17" s="36" t="str">
        <x:v>19720905</x:v>
      </x:c>
      <x:c r="AC17" s="36"/>
      <x:c r="AD17" s="36"/>
      <x:c r="AE17" s="36" t="str">
        <x:v>I</x:v>
      </x:c>
      <x:c r="AF17" s="36" t="str">
        <x:v>PB</x:v>
      </x:c>
      <x:c r="AG17" s="36" t="n">
        <x:v>1972</x:v>
      </x:c>
      <x:c r="AH17" s="36"/>
      <x:c r="AI17" s="36" t="str">
        <x:v>99700000000002737</x:v>
      </x:c>
      <x:c r="AJ17" s="38" t="str">
        <x:v>{"kw":70,"vin":"99700000000002737","brand":"SAAB 99-2,0 CM 2","fuel1":"1","fuel2":"0","fuel3":"0","plate":"TEST-2737","is_4wd":"0","gearbox":"M","fab_code":"SA","group_no":"000733","model_no":"000733","body_code":"01","model_year":1972,"eu_category":"M1","vehicle_type":"PB","vehicle_year":1972,"vehicle_class":"I","registration_date":"19720905"}</x:v>
      </x:c>
    </x:row>
    <x:row r="18" ht="18" customHeight="1">
      <x:c r="A18" s="36" t="n">
        <x:v>2738</x:v>
      </x:c>
      <x:c r="B18" s="36" t="str">
        <x:v>normalization-review-passenger-250-v1-rules-20260805T184409855703Z</x:v>
      </x:c>
      <x:c r="C18" s="36" t="n">
        <x:v>46239.78067008102</x:v>
      </x:c>
      <x:c r="D18" s="38" t="str">
        <x:v>"2026-08-05T18:44:09.895308+00:00"</x:v>
      </x:c>
      <x:c r="E18" s="36"/>
      <x:c r="F18" s="36" t="str">
        <x:v>03</x:v>
      </x:c>
      <x:c r="G18" s="36"/>
      <x:c r="H18" s="36" t="str">
        <x:v>VOLVO 1451641 U</x:v>
      </x:c>
      <x:c r="I18" s="36"/>
      <x:c r="J18" s="36"/>
      <x:c r="K18" s="36"/>
      <x:c r="L18" s="36" t="str">
        <x:v>M1</x:v>
      </x:c>
      <x:c r="M18" s="36"/>
      <x:c r="N18" s="36" t="str">
        <x:v>VO</x:v>
      </x:c>
      <x:c r="O18" s="36" t="str">
        <x:v>1</x:v>
      </x:c>
      <x:c r="P18" s="36" t="str">
        <x:v>0</x:v>
      </x:c>
      <x:c r="Q18" s="36" t="str">
        <x:v>0</x:v>
      </x:c>
      <x:c r="R18" s="36"/>
      <x:c r="S18" s="36" t="str">
        <x:v>M</x:v>
      </x:c>
      <x:c r="T18" s="36"/>
      <x:c r="U18" s="36" t="str">
        <x:v>0</x:v>
      </x:c>
      <x:c r="V18" s="36" t="n">
        <x:v>60</x:v>
      </x:c>
      <x:c r="W18" s="36"/>
      <x:c r="X18" s="36"/>
      <x:c r="Y18" s="36"/>
      <x:c r="Z18" s="36" t="n">
        <x:v>1971</x:v>
      </x:c>
      <x:c r="AA18" s="36" t="str">
        <x:v>TEST-2738</x:v>
      </x:c>
      <x:c r="AB18" s="36" t="str">
        <x:v>19710401</x:v>
      </x:c>
      <x:c r="AC18" s="36"/>
      <x:c r="AD18" s="36"/>
      <x:c r="AE18" s="36" t="str">
        <x:v>I</x:v>
      </x:c>
      <x:c r="AF18" s="36" t="str">
        <x:v>PB</x:v>
      </x:c>
      <x:c r="AG18" s="36" t="n">
        <x:v>1971</x:v>
      </x:c>
      <x:c r="AH18" s="36"/>
      <x:c r="AI18" s="36" t="str">
        <x:v>07600000000002738</x:v>
      </x:c>
      <x:c r="AJ18" s="38" t="str">
        <x:v>{"kw":60,"vin":"07600000000002738","brand":"VOLVO 1451641 U","fuel1":"1","fuel2":"0","fuel3":"0","plate":"TEST-2738","is_4wd":"0","gearbox":"M","fab_code":"VO","body_code":"03","model_year":1971,"eu_category":"M1","vehicle_type":"PB","vehicle_year":1971,"vehicle_class":"I","registration_date":"19710401"}</x:v>
      </x:c>
    </x:row>
    <x:row r="19" ht="18" customHeight="1">
      <x:c r="A19" s="36" t="n">
        <x:v>2739</x:v>
      </x:c>
      <x:c r="B19" s="36" t="str">
        <x:v>normalization-review-passenger-250-v1-rules-20260805T184409855703Z</x:v>
      </x:c>
      <x:c r="C19" s="36" t="n">
        <x:v>46239.78067008102</x:v>
      </x:c>
      <x:c r="D19" s="38" t="str">
        <x:v>"2026-08-05T18:44:09.895308+00:00"</x:v>
      </x:c>
      <x:c r="E19" s="36"/>
      <x:c r="F19" s="36" t="str">
        <x:v>AF</x:v>
      </x:c>
      <x:c r="G19" s="36"/>
      <x:c r="H19" s="36" t="str">
        <x:v>FORD</x:v>
      </x:c>
      <x:c r="I19" s="36"/>
      <x:c r="J19" s="36" t="str">
        <x:v>202007</x:v>
      </x:c>
      <x:c r="K19" s="36" t="n">
        <x:v>2488</x:v>
      </x:c>
      <x:c r="L19" s="36" t="str">
        <x:v>M1</x:v>
      </x:c>
      <x:c r="M19" s="36" t="str">
        <x:v>LADDHYBRID</x:v>
      </x:c>
      <x:c r="N19" s="36" t="str">
        <x:v>FO</x:v>
      </x:c>
      <x:c r="O19" s="36" t="str">
        <x:v>1</x:v>
      </x:c>
      <x:c r="P19" s="36" t="str">
        <x:v>3</x:v>
      </x:c>
      <x:c r="Q19" s="36" t="str">
        <x:v>0</x:v>
      </x:c>
      <x:c r="R19" s="36"/>
      <x:c r="S19" s="36" t="str">
        <x:v>V</x:v>
      </x:c>
      <x:c r="T19" s="36" t="str">
        <x:v>017102</x:v>
      </x:c>
      <x:c r="U19" s="36" t="str">
        <x:v>0</x:v>
      </x:c>
      <x:c r="V19" s="36" t="n">
        <x:v>112</x:v>
      </x:c>
      <x:c r="W19" s="36" t="str">
        <x:v>FORD-WERKE GMBH</x:v>
      </x:c>
      <x:c r="X19" s="36" t="str">
        <x:v>KUGA</x:v>
      </x:c>
      <x:c r="Y19" s="36"/>
      <x:c r="Z19" s="36"/>
      <x:c r="AA19" s="36" t="str">
        <x:v>TEST-2739</x:v>
      </x:c>
      <x:c r="AB19" s="36" t="str">
        <x:v>20210329</x:v>
      </x:c>
      <x:c r="AC19" s="36" t="str">
        <x:v>DFK</x:v>
      </x:c>
      <x:c r="AD19" s="36" t="str">
        <x:v>BGDA1HX</x:v>
      </x:c>
      <x:c r="AE19" s="36" t="str">
        <x:v>I</x:v>
      </x:c>
      <x:c r="AF19" s="36" t="str">
        <x:v>PB</x:v>
      </x:c>
      <x:c r="AG19" s="36" t="n">
        <x:v>2020</x:v>
      </x:c>
      <x:c r="AH19" s="36" t="str">
        <x:v>566DA6AP6AF</x:v>
      </x:c>
      <x:c r="AI19" s="36" t="str">
        <x:v>WF000000000002739</x:v>
      </x:c>
      <x:c r="AJ19" s="38" t="str">
        <x:v>{"kw":112,"ccm":2488,"vin":"WF000000000002739","brand":"FORD","fuel1":"1","fuel2":"3","fuel3":"0","model":"KUGA","plate":"TEST-2739","is_4wd":"0","gearbox":"V","variant":"BGDA1HX","version":"566DA6AP6AF","fab_code":"FO","group_no":"017102","body_code":"AF","ev_config":"LADDHYBRID","type_text":"DFK","build_month":"202007","eu_category":"M1","manufacturer":"FORD-WERKE GMBH","vehicle_type":"PB","vehicle_year":2020,"vehicle_class":"I","registration_date":"20210329"}</x:v>
      </x:c>
    </x:row>
    <x:row r="20" ht="18" customHeight="1">
      <x:c r="A20" s="36" t="n">
        <x:v>2740</x:v>
      </x:c>
      <x:c r="B20" s="36" t="str">
        <x:v>normalization-review-passenger-250-v1-rules-20260805T184409855703Z</x:v>
      </x:c>
      <x:c r="C20" s="36" t="n">
        <x:v>46239.78067008102</x:v>
      </x:c>
      <x:c r="D20" s="38" t="str">
        <x:v>"2026-08-05T18:44:09.895308+00:00"</x:v>
      </x:c>
      <x:c r="E20" s="36"/>
      <x:c r="F20" s="36" t="str">
        <x:v>AC</x:v>
      </x:c>
      <x:c r="G20" s="36"/>
      <x:c r="H20" s="36" t="str">
        <x:v>CHEVROLET VAN</x:v>
      </x:c>
      <x:c r="I20" s="36"/>
      <x:c r="J20" s="36"/>
      <x:c r="K20" s="36"/>
      <x:c r="L20" s="36" t="str">
        <x:v>M1</x:v>
      </x:c>
      <x:c r="M20" s="36"/>
      <x:c r="N20" s="36" t="str">
        <x:v>CV</x:v>
      </x:c>
      <x:c r="O20" s="36" t="str">
        <x:v>1</x:v>
      </x:c>
      <x:c r="P20" s="36" t="str">
        <x:v>0</x:v>
      </x:c>
      <x:c r="Q20" s="36" t="str">
        <x:v>0</x:v>
      </x:c>
      <x:c r="R20" s="36"/>
      <x:c r="S20" s="36" t="str">
        <x:v>A</x:v>
      </x:c>
      <x:c r="T20" s="36"/>
      <x:c r="U20" s="36" t="str">
        <x:v>0</x:v>
      </x:c>
      <x:c r="V20" s="36" t="n">
        <x:v>101</x:v>
      </x:c>
      <x:c r="W20" s="36"/>
      <x:c r="X20" s="36"/>
      <x:c r="Y20" s="36"/>
      <x:c r="Z20" s="36" t="n">
        <x:v>1961</x:v>
      </x:c>
      <x:c r="AA20" s="36" t="str">
        <x:v>TEST-2740</x:v>
      </x:c>
      <x:c r="AB20" s="36" t="str">
        <x:v>20150220</x:v>
      </x:c>
      <x:c r="AC20" s="36"/>
      <x:c r="AD20" s="36"/>
      <x:c r="AE20" s="36" t="str">
        <x:v>I</x:v>
      </x:c>
      <x:c r="AF20" s="36" t="str">
        <x:v>PB</x:v>
      </x:c>
      <x:c r="AG20" s="36" t="n">
        <x:v>1961</x:v>
      </x:c>
      <x:c r="AH20" s="36"/>
      <x:c r="AI20" s="36" t="str">
        <x:v>1C100000000002740</x:v>
      </x:c>
      <x:c r="AJ20" s="38" t="str">
        <x:v>{"kw":101,"vin":"1C100000000002740","brand":"CHEVROLET VAN","fuel1":"1","fuel2":"0","fuel3":"0","plate":"TEST-2740","is_4wd":"0","gearbox":"A","fab_code":"CV","body_code":"AC","model_year":1961,"eu_category":"M1","vehicle_type":"PB","vehicle_year":1961,"vehicle_class":"I","registration_date":"20150220"}</x:v>
      </x:c>
    </x:row>
    <x:row r="21" ht="18" customHeight="1">
      <x:c r="A21" s="36" t="n">
        <x:v>2741</x:v>
      </x:c>
      <x:c r="B21" s="36" t="str">
        <x:v>normalization-review-passenger-250-v1-rules-20260805T184409855703Z</x:v>
      </x:c>
      <x:c r="C21" s="36" t="n">
        <x:v>46239.78067008102</x:v>
      </x:c>
      <x:c r="D21" s="38" t="str">
        <x:v>"2026-08-05T18:44:09.895308+00:00"</x:v>
      </x:c>
      <x:c r="E21" s="36"/>
      <x:c r="F21" s="36" t="str">
        <x:v>01</x:v>
      </x:c>
      <x:c r="G21" s="36"/>
      <x:c r="H21" s="36" t="str">
        <x:v>FIAT 131 SUPER 1600</x:v>
      </x:c>
      <x:c r="I21" s="36"/>
      <x:c r="J21" s="36"/>
      <x:c r="K21" s="36"/>
      <x:c r="L21" s="36" t="str">
        <x:v>M1</x:v>
      </x:c>
      <x:c r="M21" s="36"/>
      <x:c r="N21" s="36" t="str">
        <x:v>FI</x:v>
      </x:c>
      <x:c r="O21" s="36" t="str">
        <x:v>1</x:v>
      </x:c>
      <x:c r="P21" s="36" t="str">
        <x:v>0</x:v>
      </x:c>
      <x:c r="Q21" s="36" t="str">
        <x:v>0</x:v>
      </x:c>
      <x:c r="R21" s="36"/>
      <x:c r="S21" s="36" t="str">
        <x:v>M</x:v>
      </x:c>
      <x:c r="T21" s="36" t="str">
        <x:v>003036</x:v>
      </x:c>
      <x:c r="U21" s="36" t="str">
        <x:v>0</x:v>
      </x:c>
      <x:c r="V21" s="36" t="n">
        <x:v>68</x:v>
      </x:c>
      <x:c r="W21" s="36"/>
      <x:c r="X21" s="36"/>
      <x:c r="Y21" s="36" t="str">
        <x:v>003036</x:v>
      </x:c>
      <x:c r="Z21" s="36" t="n">
        <x:v>1979</x:v>
      </x:c>
      <x:c r="AA21" s="36" t="str">
        <x:v>TEST-2741</x:v>
      </x:c>
      <x:c r="AB21" s="36" t="str">
        <x:v>19800225</x:v>
      </x:c>
      <x:c r="AC21" s="36"/>
      <x:c r="AD21" s="36"/>
      <x:c r="AE21" s="36" t="str">
        <x:v>I</x:v>
      </x:c>
      <x:c r="AF21" s="36" t="str">
        <x:v>PB</x:v>
      </x:c>
      <x:c r="AG21" s="36" t="n">
        <x:v>1979</x:v>
      </x:c>
      <x:c r="AH21" s="36"/>
      <x:c r="AI21" s="36" t="str">
        <x:v>13100000000002741</x:v>
      </x:c>
      <x:c r="AJ21" s="38" t="str">
        <x:v>{"kw":68,"vin":"13100000000002741","brand":"FIAT 131 SUPER 1600","fuel1":"1","fuel2":"0","fuel3":"0","plate":"TEST-2741","is_4wd":"0","gearbox":"M","fab_code":"FI","group_no":"003036","model_no":"003036","body_code":"01","model_year":1979,"eu_category":"M1","vehicle_type":"PB","vehicle_year":1979,"vehicle_class":"I","registration_date":"19800225"}</x:v>
      </x:c>
    </x:row>
    <x:row r="22" ht="18" customHeight="1">
      <x:c r="A22" s="36" t="n">
        <x:v>2742</x:v>
      </x:c>
      <x:c r="B22" s="36" t="str">
        <x:v>normalization-review-passenger-250-v1-rules-20260805T184409855703Z</x:v>
      </x:c>
      <x:c r="C22" s="36" t="n">
        <x:v>46239.78067008102</x:v>
      </x:c>
      <x:c r="D22" s="38" t="str">
        <x:v>"2026-08-05T18:44:09.895308+00:00"</x:v>
      </x:c>
      <x:c r="E22" s="36"/>
      <x:c r="F22" s="36" t="str">
        <x:v>01</x:v>
      </x:c>
      <x:c r="G22" s="36"/>
      <x:c r="H22" s="36" t="str">
        <x:v>SAAB V 4</x:v>
      </x:c>
      <x:c r="I22" s="36"/>
      <x:c r="J22" s="36"/>
      <x:c r="K22" s="36"/>
      <x:c r="L22" s="36" t="str">
        <x:v>M1</x:v>
      </x:c>
      <x:c r="M22" s="36"/>
      <x:c r="N22" s="36" t="str">
        <x:v>SA</x:v>
      </x:c>
      <x:c r="O22" s="36" t="str">
        <x:v>1</x:v>
      </x:c>
      <x:c r="P22" s="36" t="str">
        <x:v>0</x:v>
      </x:c>
      <x:c r="Q22" s="36" t="str">
        <x:v>0</x:v>
      </x:c>
      <x:c r="R22" s="36"/>
      <x:c r="S22" s="36" t="str">
        <x:v>M</x:v>
      </x:c>
      <x:c r="T22" s="36" t="str">
        <x:v>000417</x:v>
      </x:c>
      <x:c r="U22" s="36" t="str">
        <x:v>0</x:v>
      </x:c>
      <x:c r="V22" s="36" t="n">
        <x:v>48</x:v>
      </x:c>
      <x:c r="W22" s="36"/>
      <x:c r="X22" s="36"/>
      <x:c r="Y22" s="36" t="str">
        <x:v>000417</x:v>
      </x:c>
      <x:c r="Z22" s="36" t="n">
        <x:v>1969</x:v>
      </x:c>
      <x:c r="AA22" s="36" t="str">
        <x:v>TEST-2742</x:v>
      </x:c>
      <x:c r="AB22" s="36" t="str">
        <x:v>19680902</x:v>
      </x:c>
      <x:c r="AC22" s="36"/>
      <x:c r="AD22" s="36"/>
      <x:c r="AE22" s="36" t="str">
        <x:v>I</x:v>
      </x:c>
      <x:c r="AF22" s="36" t="str">
        <x:v>PB</x:v>
      </x:c>
      <x:c r="AG22" s="36" t="n">
        <x:v>1969</x:v>
      </x:c>
      <x:c r="AH22" s="36"/>
      <x:c r="AI22" s="36" t="str">
        <x:v>52100000000002742</x:v>
      </x:c>
      <x:c r="AJ22" s="38" t="str">
        <x:v>{"kw":48,"vin":"52100000000002742","brand":"SAAB V 4","fuel1":"1","fuel2":"0","fuel3":"0","plate":"TEST-2742","is_4wd":"0","gearbox":"M","fab_code":"SA","group_no":"000417","model_no":"000417","body_code":"01","model_year":1969,"eu_category":"M1","vehicle_type":"PB","vehicle_year":1969,"vehicle_class":"I","registration_date":"19680902"}</x:v>
      </x:c>
    </x:row>
    <x:row r="23" ht="18" customHeight="1">
      <x:c r="A23" s="36" t="n">
        <x:v>2743</x:v>
      </x:c>
      <x:c r="B23" s="36" t="str">
        <x:v>normalization-review-passenger-250-v1-rules-20260805T184409855703Z</x:v>
      </x:c>
      <x:c r="C23" s="36" t="n">
        <x:v>46239.78067008102</x:v>
      </x:c>
      <x:c r="D23" s="38" t="str">
        <x:v>"2026-08-05T18:44:09.895308+00:00"</x:v>
      </x:c>
      <x:c r="E23" s="36"/>
      <x:c r="F23" s="36" t="str">
        <x:v>AF</x:v>
      </x:c>
      <x:c r="G23" s="36"/>
      <x:c r="H23" s="36" t="str">
        <x:v>HYUNDAI JC</x:v>
      </x:c>
      <x:c r="I23" s="36"/>
      <x:c r="J23" s="36" t="str">
        <x:v>201403</x:v>
      </x:c>
      <x:c r="K23" s="36" t="n">
        <x:v>1591</x:v>
      </x:c>
      <x:c r="L23" s="36" t="str">
        <x:v>M1</x:v>
      </x:c>
      <x:c r="M23" s="36"/>
      <x:c r="N23" s="36" t="str">
        <x:v>HK</x:v>
      </x:c>
      <x:c r="O23" s="36" t="str">
        <x:v>1</x:v>
      </x:c>
      <x:c r="P23" s="36" t="str">
        <x:v>0</x:v>
      </x:c>
      <x:c r="Q23" s="36" t="str">
        <x:v>0</x:v>
      </x:c>
      <x:c r="R23" s="36"/>
      <x:c r="S23" s="36" t="str">
        <x:v>M</x:v>
      </x:c>
      <x:c r="T23" s="36" t="str">
        <x:v>122601</x:v>
      </x:c>
      <x:c r="U23" s="36" t="str">
        <x:v>0</x:v>
      </x:c>
      <x:c r="V23" s="36" t="n">
        <x:v>91</x:v>
      </x:c>
      <x:c r="W23" s="36"/>
      <x:c r="X23" s="36" t="str">
        <x:v>IX20</x:v>
      </x:c>
      <x:c r="Y23" s="36"/>
      <x:c r="Z23" s="36"/>
      <x:c r="AA23" s="36" t="str">
        <x:v>TEST-2743</x:v>
      </x:c>
      <x:c r="AB23" s="36" t="str">
        <x:v>20140416</x:v>
      </x:c>
      <x:c r="AC23" s="36" t="str">
        <x:v>JC</x:v>
      </x:c>
      <x:c r="AD23" s="36" t="str">
        <x:v>F5P31</x:v>
      </x:c>
      <x:c r="AE23" s="36" t="str">
        <x:v>I</x:v>
      </x:c>
      <x:c r="AF23" s="36" t="str">
        <x:v>PB</x:v>
      </x:c>
      <x:c r="AG23" s="36" t="n">
        <x:v>2014</x:v>
      </x:c>
      <x:c r="AH23" s="36" t="str">
        <x:v>M61AZ1</x:v>
      </x:c>
      <x:c r="AI23" s="36" t="str">
        <x:v>TMA00000000002743</x:v>
      </x:c>
      <x:c r="AJ23" s="38" t="str">
        <x:v>{"kw":91,"ccm":1591,"vin":"TMA00000000002743","brand":"HYUNDAI JC","fuel1":"1","fuel2":"0","fuel3":"0","model":"IX20","plate":"TEST-2743","is_4wd":"0","gearbox":"M","variant":"F5P31","version":"M61AZ1","fab_code":"HK","group_no":"122601","body_code":"AF","type_text":"JC","build_month":"201403","eu_category":"M1","vehicle_type":"PB","vehicle_year":2014,"vehicle_class":"I","registration_date":"20140416"}</x:v>
      </x:c>
    </x:row>
    <x:row r="24" ht="18" customHeight="1">
      <x:c r="A24" s="36" t="n">
        <x:v>2744</x:v>
      </x:c>
      <x:c r="B24" s="36" t="str">
        <x:v>normalization-review-passenger-250-v1-rules-20260805T184409855703Z</x:v>
      </x:c>
      <x:c r="C24" s="36" t="n">
        <x:v>46239.78067008102</x:v>
      </x:c>
      <x:c r="D24" s="38" t="str">
        <x:v>"2026-08-05T18:44:09.895308+00:00"</x:v>
      </x:c>
      <x:c r="E24" s="36"/>
      <x:c r="F24" s="36" t="str">
        <x:v>AF</x:v>
      </x:c>
      <x:c r="G24" s="36"/>
      <x:c r="H24" s="36" t="str">
        <x:v>PEUGEOT</x:v>
      </x:c>
      <x:c r="I24" s="36" t="str">
        <x:v>20220922</x:v>
      </x:c>
      <x:c r="J24" s="36" t="str">
        <x:v>202209</x:v>
      </x:c>
      <x:c r="K24" s="36" t="n">
        <x:v>1199</x:v>
      </x:c>
      <x:c r="L24" s="36" t="str">
        <x:v>M1</x:v>
      </x:c>
      <x:c r="M24" s="36"/>
      <x:c r="N24" s="36" t="str">
        <x:v>PG</x:v>
      </x:c>
      <x:c r="O24" s="36" t="str">
        <x:v>1</x:v>
      </x:c>
      <x:c r="P24" s="36" t="str">
        <x:v>0</x:v>
      </x:c>
      <x:c r="Q24" s="36" t="str">
        <x:v>0</x:v>
      </x:c>
      <x:c r="R24" s="36"/>
      <x:c r="S24" s="36" t="str">
        <x:v>M</x:v>
      </x:c>
      <x:c r="T24" s="36" t="str">
        <x:v>010000</x:v>
      </x:c>
      <x:c r="U24" s="36" t="str">
        <x:v>0</x:v>
      </x:c>
      <x:c r="V24" s="36" t="n">
        <x:v>96</x:v>
      </x:c>
      <x:c r="W24" s="36" t="str">
        <x:v>PSA AUTOMOBILES SA</x:v>
      </x:c>
      <x:c r="X24" s="36" t="str">
        <x:v>2008</x:v>
      </x:c>
      <x:c r="Y24" s="36"/>
      <x:c r="Z24" s="36"/>
      <x:c r="AA24" s="36" t="str">
        <x:v>TEST-2744</x:v>
      </x:c>
      <x:c r="AB24" s="36" t="str">
        <x:v>20221111</x:v>
      </x:c>
      <x:c r="AC24" s="36" t="str">
        <x:v>U</x:v>
      </x:c>
      <x:c r="AD24" s="36" t="str">
        <x:v>S</x:v>
      </x:c>
      <x:c r="AE24" s="36" t="str">
        <x:v>I</x:v>
      </x:c>
      <x:c r="AF24" s="36" t="str">
        <x:v>PB</x:v>
      </x:c>
      <x:c r="AG24" s="36" t="n">
        <x:v>2022</x:v>
      </x:c>
      <x:c r="AH24" s="36" t="str">
        <x:v>HNSK-R1B500</x:v>
      </x:c>
      <x:c r="AI24" s="36" t="str">
        <x:v>VR300000000002744</x:v>
      </x:c>
      <x:c r="AJ24" s="38" t="str">
        <x:v>{"kw":96,"ccm":1199,"vin":"VR300000000002744","brand":"PEUGEOT","fuel1":"1","fuel2":"0","fuel3":"0","model":"2008","plate":"TEST-2744","is_4wd":"0","gearbox":"M","variant":"S","version":"HNSK-R1B500","fab_code":"PG","group_no":"010000","body_code":"AF","type_text":"U","build_date":"20220922","build_month":"202209","eu_category":"M1","manufacturer":"PSA AUTOMOBILES SA","vehicle_type":"PB","vehicle_year":2022,"vehicle_class":"I","registration_date":"20221111"}</x:v>
      </x:c>
    </x:row>
    <x:row r="25" ht="18" customHeight="1">
      <x:c r="A25" s="36" t="n">
        <x:v>2745</x:v>
      </x:c>
      <x:c r="B25" s="36" t="str">
        <x:v>normalization-review-passenger-250-v1-rules-20260805T184409855703Z</x:v>
      </x:c>
      <x:c r="C25" s="36" t="n">
        <x:v>46239.78067008102</x:v>
      </x:c>
      <x:c r="D25" s="38" t="str">
        <x:v>"2026-08-05T18:44:09.895308+00:00"</x:v>
      </x:c>
      <x:c r="E25" s="36"/>
      <x:c r="F25" s="36" t="str">
        <x:v>01</x:v>
      </x:c>
      <x:c r="G25" s="36"/>
      <x:c r="H25" s="36" t="str">
        <x:v>VOLVO 1421341 Y</x:v>
      </x:c>
      <x:c r="I25" s="36"/>
      <x:c r="J25" s="36"/>
      <x:c r="K25" s="36"/>
      <x:c r="L25" s="36" t="str">
        <x:v>M1</x:v>
      </x:c>
      <x:c r="M25" s="36"/>
      <x:c r="N25" s="36" t="str">
        <x:v>VO</x:v>
      </x:c>
      <x:c r="O25" s="36" t="str">
        <x:v>1</x:v>
      </x:c>
      <x:c r="P25" s="36" t="str">
        <x:v>0</x:v>
      </x:c>
      <x:c r="Q25" s="36" t="str">
        <x:v>0</x:v>
      </x:c>
      <x:c r="R25" s="36"/>
      <x:c r="S25" s="36" t="str">
        <x:v>M</x:v>
      </x:c>
      <x:c r="T25" s="36" t="str">
        <x:v>001313</x:v>
      </x:c>
      <x:c r="U25" s="36" t="str">
        <x:v>0</x:v>
      </x:c>
      <x:c r="V25" s="36" t="n">
        <x:v>60</x:v>
      </x:c>
      <x:c r="W25" s="36"/>
      <x:c r="X25" s="36"/>
      <x:c r="Y25" s="36" t="str">
        <x:v>001313</x:v>
      </x:c>
      <x:c r="Z25" s="36" t="n">
        <x:v>1973</x:v>
      </x:c>
      <x:c r="AA25" s="36" t="str">
        <x:v>TEST-2745</x:v>
      </x:c>
      <x:c r="AB25" s="36" t="str">
        <x:v>19730717</x:v>
      </x:c>
      <x:c r="AC25" s="36"/>
      <x:c r="AD25" s="36"/>
      <x:c r="AE25" s="36" t="str">
        <x:v>I</x:v>
      </x:c>
      <x:c r="AF25" s="36" t="str">
        <x:v>PB</x:v>
      </x:c>
      <x:c r="AG25" s="36" t="n">
        <x:v>1973</x:v>
      </x:c>
      <x:c r="AH25" s="36"/>
      <x:c r="AI25" s="36" t="str">
        <x:v>42000000000002745</x:v>
      </x:c>
      <x:c r="AJ25" s="38" t="str">
        <x:v>{"kw":60,"vin":"42000000000002745","brand":"VOLVO 1421341 Y","fuel1":"1","fuel2":"0","fuel3":"0","plate":"TEST-2745","is_4wd":"0","gearbox":"M","fab_code":"VO","group_no":"001313","model_no":"001313","body_code":"01","model_year":1973,"eu_category":"M1","vehicle_type":"PB","vehicle_year":1973,"vehicle_class":"I","registration_date":"19730717"}</x:v>
      </x:c>
    </x:row>
    <x:row r="26" ht="18" customHeight="1">
      <x:c r="A26" s="36" t="n">
        <x:v>2746</x:v>
      </x:c>
      <x:c r="B26" s="36" t="str">
        <x:v>normalization-review-passenger-250-v1-rules-20260805T184409855703Z</x:v>
      </x:c>
      <x:c r="C26" s="36" t="n">
        <x:v>46239.78067008102</x:v>
      </x:c>
      <x:c r="D26" s="38" t="str">
        <x:v>"2026-08-05T18:44:09.895308+00:00"</x:v>
      </x:c>
      <x:c r="E26" s="36"/>
      <x:c r="F26" s="36" t="str">
        <x:v>AB</x:v>
      </x:c>
      <x:c r="G26" s="36"/>
      <x:c r="H26" s="36" t="str">
        <x:v>AUDI</x:v>
      </x:c>
      <x:c r="I26" s="36"/>
      <x:c r="J26" s="36" t="str">
        <x:v>202006</x:v>
      </x:c>
      <x:c r="K26" s="36" t="n">
        <x:v>1498</x:v>
      </x:c>
      <x:c r="L26" s="36" t="str">
        <x:v>M1</x:v>
      </x:c>
      <x:c r="M26" s="36"/>
      <x:c r="N26" s="36" t="str">
        <x:v>AU</x:v>
      </x:c>
      <x:c r="O26" s="36" t="str">
        <x:v>1</x:v>
      </x:c>
      <x:c r="P26" s="36" t="str">
        <x:v>0</x:v>
      </x:c>
      <x:c r="Q26" s="36" t="str">
        <x:v>0</x:v>
      </x:c>
      <x:c r="R26" s="36"/>
      <x:c r="S26" s="36" t="str">
        <x:v>M</x:v>
      </x:c>
      <x:c r="T26" s="36" t="str">
        <x:v>344233</x:v>
      </x:c>
      <x:c r="U26" s="36" t="str">
        <x:v>0</x:v>
      </x:c>
      <x:c r="V26" s="36" t="n">
        <x:v>110</x:v>
      </x:c>
      <x:c r="W26" s="36" t="str">
        <x:v>AUDI AG</x:v>
      </x:c>
      <x:c r="X26" s="36" t="str">
        <x:v>A3 SPORTBACK</x:v>
      </x:c>
      <x:c r="Y26" s="36"/>
      <x:c r="Z26" s="36"/>
      <x:c r="AA26" s="36" t="str">
        <x:v>TEST-2746</x:v>
      </x:c>
      <x:c r="AB26" s="36" t="str">
        <x:v>20200821</x:v>
      </x:c>
      <x:c r="AC26" s="36" t="str">
        <x:v>GY</x:v>
      </x:c>
      <x:c r="AD26" s="36" t="str">
        <x:v>SDPCAF1</x:v>
      </x:c>
      <x:c r="AE26" s="36" t="str">
        <x:v>I</x:v>
      </x:c>
      <x:c r="AF26" s="36" t="str">
        <x:v>PB</x:v>
      </x:c>
      <x:c r="AG26" s="36" t="n">
        <x:v>2020</x:v>
      </x:c>
      <x:c r="AH26" s="36" t="str">
        <x:v>FM6FM6C9003RT011B174BFAEM1MLN1B0</x:v>
      </x:c>
      <x:c r="AI26" s="36" t="str">
        <x:v>WAU00000000002746</x:v>
      </x:c>
      <x:c r="AJ26" s="38" t="str">
        <x:v>{"kw":110,"ccm":1498,"vin":"WAU00000000002746","brand":"AUDI","fuel1":"1","fuel2":"0","fuel3":"0","model":"A3 SPORTBACK","plate":"TEST-2746","is_4wd":"0","gearbox":"M","variant":"SDPCAF1","version":"FM6FM6C9003RT011B174BFAEM1MLN1B0","fab_code":"AU","group_no":"344233","body_code":"AB","type_text":"GY","build_month":"202006","eu_category":"M1","manufacturer":"AUDI AG","vehicle_type":"PB","vehicle_year":2020,"vehicle_class":"I","registration_date":"20200821"}</x:v>
      </x:c>
    </x:row>
    <x:row r="27" ht="18" customHeight="1">
      <x:c r="A27" s="36" t="n">
        <x:v>2747</x:v>
      </x:c>
      <x:c r="B27" s="36" t="str">
        <x:v>normalization-review-passenger-250-v1-rules-20260805T184409855703Z</x:v>
      </x:c>
      <x:c r="C27" s="36" t="n">
        <x:v>46239.78067008102</x:v>
      </x:c>
      <x:c r="D27" s="38" t="str">
        <x:v>"2026-08-05T18:44:09.895308+00:00"</x:v>
      </x:c>
      <x:c r="E27" s="36"/>
      <x:c r="F27" s="36" t="str">
        <x:v>01</x:v>
      </x:c>
      <x:c r="G27" s="36"/>
      <x:c r="H27" s="36" t="str">
        <x:v>VOLVO 9 + 940 1998</x:v>
      </x:c>
      <x:c r="I27" s="36"/>
      <x:c r="J27" s="36"/>
      <x:c r="K27" s="36"/>
      <x:c r="L27" s="36" t="str">
        <x:v>M1</x:v>
      </x:c>
      <x:c r="M27" s="36"/>
      <x:c r="N27" s="36" t="str">
        <x:v>VO</x:v>
      </x:c>
      <x:c r="O27" s="36" t="str">
        <x:v>1</x:v>
      </x:c>
      <x:c r="P27" s="36" t="str">
        <x:v>0</x:v>
      </x:c>
      <x:c r="Q27" s="36" t="str">
        <x:v>0</x:v>
      </x:c>
      <x:c r="R27" s="36"/>
      <x:c r="S27" s="36" t="str">
        <x:v>M</x:v>
      </x:c>
      <x:c r="T27" s="36" t="str">
        <x:v>105024</x:v>
      </x:c>
      <x:c r="U27" s="36" t="str">
        <x:v>0</x:v>
      </x:c>
      <x:c r="V27" s="36" t="n">
        <x:v>99</x:v>
      </x:c>
      <x:c r="W27" s="36"/>
      <x:c r="X27" s="36"/>
      <x:c r="Y27" s="36"/>
      <x:c r="Z27" s="36" t="n">
        <x:v>1998</x:v>
      </x:c>
      <x:c r="AA27" s="36" t="str">
        <x:v>TEST-2747</x:v>
      </x:c>
      <x:c r="AB27" s="36" t="str">
        <x:v>19970917</x:v>
      </x:c>
      <x:c r="AC27" s="36"/>
      <x:c r="AD27" s="36" t="str">
        <x:v>94481</x:v>
      </x:c>
      <x:c r="AE27" s="36" t="str">
        <x:v>I</x:v>
      </x:c>
      <x:c r="AF27" s="36" t="str">
        <x:v>PB</x:v>
      </x:c>
      <x:c r="AG27" s="36" t="n">
        <x:v>1998</x:v>
      </x:c>
      <x:c r="AH27" s="36" t="str">
        <x:v>944811</x:v>
      </x:c>
      <x:c r="AI27" s="36" t="str">
        <x:v>94400000000002747</x:v>
      </x:c>
      <x:c r="AJ27" s="38" t="str">
        <x:v>{"kw":99,"vin":"94400000000002747","brand":"VOLVO 9 + 940 1998","fuel1":"1","fuel2":"0","fuel3":"0","plate":"TEST-2747","is_4wd":"0","gearbox":"M","variant":"94481","version":"944811","fab_code":"VO","group_no":"105024","body_code":"01","model_year":1998,"eu_category":"M1","vehicle_type":"PB","vehicle_year":1998,"vehicle_class":"I","registration_date":"19970917"}</x:v>
      </x:c>
    </x:row>
    <x:row r="28" ht="18" customHeight="1">
      <x:c r="A28" s="36" t="n">
        <x:v>2748</x:v>
      </x:c>
      <x:c r="B28" s="36" t="str">
        <x:v>normalization-review-passenger-250-v1-rules-20260805T184409855703Z</x:v>
      </x:c>
      <x:c r="C28" s="36" t="n">
        <x:v>46239.78067008102</x:v>
      </x:c>
      <x:c r="D28" s="38" t="str">
        <x:v>"2026-08-05T18:44:09.895308+00:00"</x:v>
      </x:c>
      <x:c r="E28" s="36"/>
      <x:c r="F28" s="36" t="str">
        <x:v>AC</x:v>
      </x:c>
      <x:c r="G28" s="36"/>
      <x:c r="H28" s="36" t="str">
        <x:v>FORD DA3    FOCUS</x:v>
      </x:c>
      <x:c r="I28" s="36"/>
      <x:c r="J28" s="36" t="str">
        <x:v>200906</x:v>
      </x:c>
      <x:c r="K28" s="36" t="n">
        <x:v>1798</x:v>
      </x:c>
      <x:c r="L28" s="36" t="str">
        <x:v>M1</x:v>
      </x:c>
      <x:c r="M28" s="36"/>
      <x:c r="N28" s="36" t="str">
        <x:v>FO</x:v>
      </x:c>
      <x:c r="O28" s="36" t="str">
        <x:v>1</x:v>
      </x:c>
      <x:c r="P28" s="36" t="str">
        <x:v>7</x:v>
      </x:c>
      <x:c r="Q28" s="36" t="str">
        <x:v>0</x:v>
      </x:c>
      <x:c r="R28" s="36"/>
      <x:c r="S28" s="36" t="str">
        <x:v>M</x:v>
      </x:c>
      <x:c r="T28" s="36" t="str">
        <x:v>017532</x:v>
      </x:c>
      <x:c r="U28" s="36" t="str">
        <x:v>0</x:v>
      </x:c>
      <x:c r="V28" s="36" t="n">
        <x:v>92</x:v>
      </x:c>
      <x:c r="W28" s="36"/>
      <x:c r="X28" s="36" t="str">
        <x:v>FORD FOCUS</x:v>
      </x:c>
      <x:c r="Y28" s="36"/>
      <x:c r="Z28" s="36"/>
      <x:c r="AA28" s="36" t="str">
        <x:v>TEST-2748</x:v>
      </x:c>
      <x:c r="AB28" s="36" t="str">
        <x:v>20090904</x:v>
      </x:c>
      <x:c r="AC28" s="36" t="str">
        <x:v>DA3</x:v>
      </x:c>
      <x:c r="AD28" s="36" t="str">
        <x:v>Q7DA1S</x:v>
      </x:c>
      <x:c r="AE28" s="36" t="str">
        <x:v>I</x:v>
      </x:c>
      <x:c r="AF28" s="36" t="str">
        <x:v>PB</x:v>
      </x:c>
      <x:c r="AG28" s="36" t="n">
        <x:v>2009</x:v>
      </x:c>
      <x:c r="AH28" s="36" t="str">
        <x:v>5ABAMS</x:v>
      </x:c>
      <x:c r="AI28" s="36" t="str">
        <x:v>WF000000000002748</x:v>
      </x:c>
      <x:c r="AJ28" s="38" t="str">
        <x:v>{"kw":92,"ccm":1798,"vin":"WF000000000002748","brand":"FORD DA3    FOCUS","fuel1":"1","fuel2":"7","fuel3":"0","model":"FORD FOCUS","plate":"TEST-2748","is_4wd":"0","gearbox":"M","variant":"Q7DA1S","version":"5ABAMS","fab_code":"FO","group_no":"017532","body_code":"AC","type_text":"DA3","build_month":"200906","eu_category":"M1","vehicle_type":"PB","vehicle_year":2009,"vehicle_class":"I","registration_date":"20090904"}</x:v>
      </x:c>
    </x:row>
    <x:row r="29" ht="18" customHeight="1">
      <x:c r="A29" s="36" t="n">
        <x:v>2749</x:v>
      </x:c>
      <x:c r="B29" s="36" t="str">
        <x:v>normalization-review-passenger-250-v1-rules-20260805T184409855703Z</x:v>
      </x:c>
      <x:c r="C29" s="36" t="n">
        <x:v>46239.78067008102</x:v>
      </x:c>
      <x:c r="D29" s="38" t="str">
        <x:v>"2026-08-05T18:44:09.895308+00:00"</x:v>
      </x:c>
      <x:c r="E29" s="36"/>
      <x:c r="F29" s="36" t="str">
        <x:v>AC</x:v>
      </x:c>
      <x:c r="G29" s="36"/>
      <x:c r="H29" s="36" t="str">
        <x:v>AUDI</x:v>
      </x:c>
      <x:c r="I29" s="36" t="str">
        <x:v>20211209</x:v>
      </x:c>
      <x:c r="J29" s="36" t="str">
        <x:v>202112</x:v>
      </x:c>
      <x:c r="K29" s="36" t="n">
        <x:v>2967</x:v>
      </x:c>
      <x:c r="L29" s="36" t="str">
        <x:v>M1</x:v>
      </x:c>
      <x:c r="M29" s="36" t="str">
        <x:v>ELHYBRID</x:v>
      </x:c>
      <x:c r="N29" s="36" t="str">
        <x:v>AU</x:v>
      </x:c>
      <x:c r="O29" s="36" t="str">
        <x:v>2</x:v>
      </x:c>
      <x:c r="P29" s="36" t="str">
        <x:v>0</x:v>
      </x:c>
      <x:c r="Q29" s="36" t="str">
        <x:v>0</x:v>
      </x:c>
      <x:c r="R29" s="36"/>
      <x:c r="S29" s="36" t="str">
        <x:v>A</x:v>
      </x:c>
      <x:c r="T29" s="36" t="str">
        <x:v>626012</x:v>
      </x:c>
      <x:c r="U29" s="36" t="str">
        <x:v>1</x:v>
      </x:c>
      <x:c r="V29" s="36" t="n">
        <x:v>253</x:v>
      </x:c>
      <x:c r="W29" s="36" t="str">
        <x:v>AUDI AG</x:v>
      </x:c>
      <x:c r="X29" s="36" t="str">
        <x:v>S6 AVANT</x:v>
      </x:c>
      <x:c r="Y29" s="36"/>
      <x:c r="Z29" s="36"/>
      <x:c r="AA29" s="36" t="str">
        <x:v>TEST-2749</x:v>
      </x:c>
      <x:c r="AB29" s="36" t="str">
        <x:v>20220228</x:v>
      </x:c>
      <x:c r="AC29" s="36" t="str">
        <x:v>F2</x:v>
      </x:c>
      <x:c r="AD29" s="36" t="str">
        <x:v>ADMKDQ1</x:v>
      </x:c>
      <x:c r="AE29" s="36" t="str">
        <x:v>I</x:v>
      </x:c>
      <x:c r="AF29" s="36" t="str">
        <x:v>PB</x:v>
      </x:c>
      <x:c r="AG29" s="36" t="n">
        <x:v>2021</x:v>
      </x:c>
      <x:c r="AH29" s="36" t="str">
        <x:v>QA8QA8D5024051C20S54BIBEM1H66FSD2</x:v>
      </x:c>
      <x:c r="AI29" s="36" t="str">
        <x:v>WAU00000000002749</x:v>
      </x:c>
      <x:c r="AJ29" s="38" t="str">
        <x:v>{"kw":253,"ccm":2967,"vin":"WAU00000000002749","brand":"AUDI","fuel1":"2","fuel2":"0","fuel3":"0","model":"S6 AVANT","plate":"TEST-2749","is_4wd":"1","gearbox":"A","variant":"ADMKDQ1","version":"QA8QA8D5024051C20S54BIBEM1H66FSD2","fab_code":"AU","group_no":"626012","body_code":"AC","ev_config":"ELHYBRID","type_text":"F2","build_date":"20211209","build_month":"202112","eu_category":"M1","manufacturer":"AUDI AG","vehicle_type":"PB","vehicle_year":2021,"vehicle_class":"I","registration_date":"20220228"}</x:v>
      </x:c>
    </x:row>
    <x:row r="30" ht="18" customHeight="1">
      <x:c r="A30" s="36" t="n">
        <x:v>2750</x:v>
      </x:c>
      <x:c r="B30" s="36" t="str">
        <x:v>normalization-review-passenger-250-v1-rules-20260805T184409855703Z</x:v>
      </x:c>
      <x:c r="C30" s="36" t="n">
        <x:v>46239.78067008102</x:v>
      </x:c>
      <x:c r="D30" s="38" t="str">
        <x:v>"2026-08-05T18:44:09.895308+00:00"</x:v>
      </x:c>
      <x:c r="E30" s="36"/>
      <x:c r="F30" s="36" t="str">
        <x:v>01</x:v>
      </x:c>
      <x:c r="G30" s="36"/>
      <x:c r="H30" s="36" t="str">
        <x:v>FIAT 850 SPORT COUPÉ 100</x:v>
      </x:c>
      <x:c r="I30" s="36"/>
      <x:c r="J30" s="36"/>
      <x:c r="K30" s="36"/>
      <x:c r="L30" s="36" t="str">
        <x:v>M1</x:v>
      </x:c>
      <x:c r="M30" s="36"/>
      <x:c r="N30" s="36" t="str">
        <x:v>FI</x:v>
      </x:c>
      <x:c r="O30" s="36" t="str">
        <x:v>1</x:v>
      </x:c>
      <x:c r="P30" s="36" t="str">
        <x:v>0</x:v>
      </x:c>
      <x:c r="Q30" s="36" t="str">
        <x:v>0</x:v>
      </x:c>
      <x:c r="R30" s="36"/>
      <x:c r="S30" s="36" t="str">
        <x:v>M</x:v>
      </x:c>
      <x:c r="T30" s="36" t="str">
        <x:v>001206</x:v>
      </x:c>
      <x:c r="U30" s="36" t="str">
        <x:v>0</x:v>
      </x:c>
      <x:c r="V30" s="36" t="n">
        <x:v>38</x:v>
      </x:c>
      <x:c r="W30" s="36"/>
      <x:c r="X30" s="36"/>
      <x:c r="Y30" s="36" t="str">
        <x:v>001206</x:v>
      </x:c>
      <x:c r="Z30" s="36" t="n">
        <x:v>1970</x:v>
      </x:c>
      <x:c r="AA30" s="36" t="str">
        <x:v>TEST-2750</x:v>
      </x:c>
      <x:c r="AB30" s="36" t="str">
        <x:v>19700422</x:v>
      </x:c>
      <x:c r="AC30" s="36"/>
      <x:c r="AD30" s="36"/>
      <x:c r="AE30" s="36" t="str">
        <x:v>I</x:v>
      </x:c>
      <x:c r="AF30" s="36" t="str">
        <x:v>PB</x:v>
      </x:c>
      <x:c r="AG30" s="36" t="n">
        <x:v>1970</x:v>
      </x:c>
      <x:c r="AH30" s="36"/>
      <x:c r="AI30" s="36" t="str">
        <x:v>31100000000002750</x:v>
      </x:c>
      <x:c r="AJ30" s="38" t="str">
        <x:v>{"kw":38,"vin":"31100000000002750","brand":"FIAT 850 SPORT COUPÉ 100","fuel1":"1","fuel2":"0","fuel3":"0","plate":"TEST-2750","is_4wd":"0","gearbox":"M","fab_code":"FI","group_no":"001206","model_no":"001206","body_code":"01","model_year":1970,"eu_category":"M1","vehicle_type":"PB","vehicle_year":1970,"vehicle_class":"I","registration_date":"19700422"}</x:v>
      </x:c>
    </x:row>
    <x:row r="31" ht="18" customHeight="1">
      <x:c r="A31" s="36" t="n">
        <x:v>2751</x:v>
      </x:c>
      <x:c r="B31" s="36" t="str">
        <x:v>normalization-review-passenger-250-v1-rules-20260805T184409855703Z</x:v>
      </x:c>
      <x:c r="C31" s="36" t="n">
        <x:v>46239.78067008102</x:v>
      </x:c>
      <x:c r="D31" s="38" t="str">
        <x:v>"2026-08-05T18:44:09.895308+00:00"</x:v>
      </x:c>
      <x:c r="E31" s="36"/>
      <x:c r="F31" s="36" t="str">
        <x:v>AF</x:v>
      </x:c>
      <x:c r="G31" s="36"/>
      <x:c r="H31" s="36" t="str">
        <x:v>ALFA ROMEO     940</x:v>
      </x:c>
      <x:c r="I31" s="36"/>
      <x:c r="J31" s="36" t="str">
        <x:v>201101</x:v>
      </x:c>
      <x:c r="K31" s="36" t="n">
        <x:v>1956</x:v>
      </x:c>
      <x:c r="L31" s="36" t="str">
        <x:v>M1</x:v>
      </x:c>
      <x:c r="M31" s="36"/>
      <x:c r="N31" s="36" t="str">
        <x:v>AR</x:v>
      </x:c>
      <x:c r="O31" s="36" t="str">
        <x:v>2</x:v>
      </x:c>
      <x:c r="P31" s="36" t="str">
        <x:v>0</x:v>
      </x:c>
      <x:c r="Q31" s="36" t="str">
        <x:v>0</x:v>
      </x:c>
      <x:c r="R31" s="36"/>
      <x:c r="S31" s="36" t="str">
        <x:v>M</x:v>
      </x:c>
      <x:c r="T31" s="36" t="str">
        <x:v>840126</x:v>
      </x:c>
      <x:c r="U31" s="36" t="str">
        <x:v>0</x:v>
      </x:c>
      <x:c r="V31" s="36" t="n">
        <x:v>103</x:v>
      </x:c>
      <x:c r="W31" s="36"/>
      <x:c r="X31" s="36" t="str">
        <x:v>ALFA GIULIETTA</x:v>
      </x:c>
      <x:c r="Y31" s="36"/>
      <x:c r="Z31" s="36"/>
      <x:c r="AA31" s="36" t="str">
        <x:v>TEST-2751</x:v>
      </x:c>
      <x:c r="AB31" s="36" t="str">
        <x:v>20110401</x:v>
      </x:c>
      <x:c r="AC31" s="36" t="str">
        <x:v>940</x:v>
      </x:c>
      <x:c r="AD31" s="36" t="str">
        <x:v>FXL1A</x:v>
      </x:c>
      <x:c r="AE31" s="36" t="str">
        <x:v>I</x:v>
      </x:c>
      <x:c r="AF31" s="36" t="str">
        <x:v>PB</x:v>
      </x:c>
      <x:c r="AG31" s="36" t="n">
        <x:v>2011</x:v>
      </x:c>
      <x:c r="AH31" s="36" t="str">
        <x:v>08</x:v>
      </x:c>
      <x:c r="AI31" s="36" t="str">
        <x:v>ZAR00000000002751</x:v>
      </x:c>
      <x:c r="AJ31" s="38" t="str">
        <x:v>{"kw":103,"ccm":1956,"vin":"ZAR00000000002751","brand":"ALFA ROMEO     940","fuel1":"2","fuel2":"0","fuel3":"0","model":"ALFA GIULIETTA","plate":"TEST-2751","is_4wd":"0","gearbox":"M","variant":"FXL1A","version":"08","fab_code":"AR","group_no":"840126","body_code":"AF","type_text":"940","build_month":"201101","eu_category":"M1","vehicle_type":"PB","vehicle_year":2011,"vehicle_class":"I","registration_date":"20110401"}</x:v>
      </x:c>
    </x:row>
    <x:row r="32" ht="18" customHeight="1">
      <x:c r="A32" s="36" t="n">
        <x:v>2752</x:v>
      </x:c>
      <x:c r="B32" s="36" t="str">
        <x:v>normalization-review-passenger-250-v1-rules-20260805T184409855703Z</x:v>
      </x:c>
      <x:c r="C32" s="36" t="n">
        <x:v>46239.78067008102</x:v>
      </x:c>
      <x:c r="D32" s="38" t="str">
        <x:v>"2026-08-05T18:44:09.895308+00:00"</x:v>
      </x:c>
      <x:c r="E32" s="36"/>
      <x:c r="F32" s="36" t="str">
        <x:v>AA</x:v>
      </x:c>
      <x:c r="G32" s="36"/>
      <x:c r="H32" s="36" t="str">
        <x:v>VOLKSWAGEN, VW  3CC</x:v>
      </x:c>
      <x:c r="I32" s="36"/>
      <x:c r="J32" s="36" t="str">
        <x:v>201102</x:v>
      </x:c>
      <x:c r="K32" s="36" t="n">
        <x:v>1968</x:v>
      </x:c>
      <x:c r="L32" s="36" t="str">
        <x:v>M1</x:v>
      </x:c>
      <x:c r="M32" s="36"/>
      <x:c r="N32" s="36" t="str">
        <x:v>VW</x:v>
      </x:c>
      <x:c r="O32" s="36" t="str">
        <x:v>2</x:v>
      </x:c>
      <x:c r="P32" s="36" t="str">
        <x:v>0</x:v>
      </x:c>
      <x:c r="Q32" s="36" t="str">
        <x:v>0</x:v>
      </x:c>
      <x:c r="R32" s="36"/>
      <x:c r="S32" s="36" t="str">
        <x:v>A</x:v>
      </x:c>
      <x:c r="T32" s="36" t="str">
        <x:v>831015</x:v>
      </x:c>
      <x:c r="U32" s="36" t="str">
        <x:v>1</x:v>
      </x:c>
      <x:c r="V32" s="36" t="n">
        <x:v>125</x:v>
      </x:c>
      <x:c r="W32" s="36"/>
      <x:c r="X32" s="36" t="str">
        <x:v>PASSAT CC</x:v>
      </x:c>
      <x:c r="Y32" s="36"/>
      <x:c r="Z32" s="36"/>
      <x:c r="AA32" s="36" t="str">
        <x:v>TEST-2752</x:v>
      </x:c>
      <x:c r="AB32" s="36" t="str">
        <x:v>20110307</x:v>
      </x:c>
      <x:c r="AC32" s="36" t="str">
        <x:v>3CC</x:v>
      </x:c>
      <x:c r="AD32" s="36" t="str">
        <x:v>AACFGBX1</x:v>
      </x:c>
      <x:c r="AE32" s="36" t="str">
        <x:v>I</x:v>
      </x:c>
      <x:c r="AF32" s="36" t="str">
        <x:v>PB</x:v>
      </x:c>
      <x:c r="AG32" s="36" t="n">
        <x:v>2011</x:v>
      </x:c>
      <x:c r="AH32" s="36" t="str">
        <x:v>AD6AD62E083ST7MGVR25</x:v>
      </x:c>
      <x:c r="AI32" s="36" t="str">
        <x:v>WVW00000000002752</x:v>
      </x:c>
      <x:c r="AJ32" s="38" t="str">
        <x:v>{"kw":125,"ccm":1968,"vin":"WVW00000000002752","brand":"VOLKSWAGEN, VW  3CC","fuel1":"2","fuel2":"0","fuel3":"0","model":"PASSAT CC","plate":"TEST-2752","is_4wd":"1","gearbox":"A","variant":"AACFGBX1","version":"AD6AD62E083ST7MGVR25","fab_code":"VW","group_no":"831015","body_code":"AA","type_text":"3CC","build_month":"201102","eu_category":"M1","vehicle_type":"PB","vehicle_year":2011,"vehicle_class":"I","registration_date":"20110307"}</x:v>
      </x:c>
    </x:row>
    <x:row r="33" ht="18" customHeight="1">
      <x:c r="A33" s="36" t="n">
        <x:v>2753</x:v>
      </x:c>
      <x:c r="B33" s="36" t="str">
        <x:v>normalization-review-passenger-250-v1-rules-20260805T184409855703Z</x:v>
      </x:c>
      <x:c r="C33" s="36" t="n">
        <x:v>46239.78067008102</x:v>
      </x:c>
      <x:c r="D33" s="38" t="str">
        <x:v>"2026-08-05T18:44:09.895308+00:00"</x:v>
      </x:c>
      <x:c r="E33" s="36"/>
      <x:c r="F33" s="36" t="str">
        <x:v>AC</x:v>
      </x:c>
      <x:c r="G33" s="36"/>
      <x:c r="H33" s="36" t="str">
        <x:v>VOLKSWAGEN, VW  5N</x:v>
      </x:c>
      <x:c r="I33" s="36"/>
      <x:c r="J33" s="36" t="str">
        <x:v>201403</x:v>
      </x:c>
      <x:c r="K33" s="36" t="n">
        <x:v>1968</x:v>
      </x:c>
      <x:c r="L33" s="36" t="str">
        <x:v>M1</x:v>
      </x:c>
      <x:c r="M33" s="36"/>
      <x:c r="N33" s="36" t="str">
        <x:v>VW</x:v>
      </x:c>
      <x:c r="O33" s="36" t="str">
        <x:v>2</x:v>
      </x:c>
      <x:c r="P33" s="36" t="str">
        <x:v>0</x:v>
      </x:c>
      <x:c r="Q33" s="36" t="str">
        <x:v>0</x:v>
      </x:c>
      <x:c r="R33" s="36"/>
      <x:c r="S33" s="36" t="str">
        <x:v>A</x:v>
      </x:c>
      <x:c r="T33" s="36" t="str">
        <x:v>844009</x:v>
      </x:c>
      <x:c r="U33" s="36" t="str">
        <x:v>1</x:v>
      </x:c>
      <x:c r="V33" s="36" t="n">
        <x:v>130</x:v>
      </x:c>
      <x:c r="W33" s="36"/>
      <x:c r="X33" s="36" t="str">
        <x:v>TIGUAN</x:v>
      </x:c>
      <x:c r="Y33" s="36"/>
      <x:c r="Z33" s="36"/>
      <x:c r="AA33" s="36" t="str">
        <x:v>TEST-2753</x:v>
      </x:c>
      <x:c r="AB33" s="36" t="str">
        <x:v>20140516</x:v>
      </x:c>
      <x:c r="AC33" s="36" t="str">
        <x:v>5N</x:v>
      </x:c>
      <x:c r="AD33" s="36" t="str">
        <x:v>ACCFGCX1</x:v>
      </x:c>
      <x:c r="AE33" s="36" t="str">
        <x:v>I</x:v>
      </x:c>
      <x:c r="AF33" s="36" t="str">
        <x:v>PB</x:v>
      </x:c>
      <x:c r="AG33" s="36" t="n">
        <x:v>2014</x:v>
      </x:c>
      <x:c r="AH33" s="36" t="str">
        <x:v>AD7AD7BH003NDVIVR27MJO</x:v>
      </x:c>
      <x:c r="AI33" s="36" t="str">
        <x:v>WVG00000000002753</x:v>
      </x:c>
      <x:c r="AJ33" s="38" t="str">
        <x:v>{"kw":130,"ccm":1968,"vin":"WVG00000000002753","brand":"VOLKSWAGEN, VW  5N","fuel1":"2","fuel2":"0","fuel3":"0","model":"TIGUAN","plate":"TEST-2753","is_4wd":"1","gearbox":"A","variant":"ACCFGCX1","version":"AD7AD7BH003NDVIVR27MJO","fab_code":"VW","group_no":"844009","body_code":"AC","type_text":"5N","build_month":"201403","eu_category":"M1","vehicle_type":"PB","vehicle_year":2014,"vehicle_class":"I","registration_date":"20140516"}</x:v>
      </x:c>
    </x:row>
    <x:row r="34" ht="18" customHeight="1">
      <x:c r="A34" s="36" t="n">
        <x:v>2754</x:v>
      </x:c>
      <x:c r="B34" s="36" t="str">
        <x:v>normalization-review-passenger-250-v1-rules-20260805T184409855703Z</x:v>
      </x:c>
      <x:c r="C34" s="36" t="n">
        <x:v>46239.78067008102</x:v>
      </x:c>
      <x:c r="D34" s="38" t="str">
        <x:v>"2026-08-05T18:44:09.895308+00:00"</x:v>
      </x:c>
      <x:c r="E34" s="36"/>
      <x:c r="F34" s="36" t="str">
        <x:v>AA</x:v>
      </x:c>
      <x:c r="G34" s="36"/>
      <x:c r="H34" s="36" t="str">
        <x:v>TESLA</x:v>
      </x:c>
      <x:c r="I34" s="36" t="str">
        <x:v>20220112</x:v>
      </x:c>
      <x:c r="J34" s="36" t="str">
        <x:v>202201</x:v>
      </x:c>
      <x:c r="K34" s="36"/>
      <x:c r="L34" s="36" t="str">
        <x:v>M1</x:v>
      </x:c>
      <x:c r="M34" s="36" t="str">
        <x:v>EL</x:v>
      </x:c>
      <x:c r="N34" s="36" t="str">
        <x:v>T-</x:v>
      </x:c>
      <x:c r="O34" s="36" t="str">
        <x:v>3</x:v>
      </x:c>
      <x:c r="P34" s="36" t="str">
        <x:v>0</x:v>
      </x:c>
      <x:c r="Q34" s="36" t="str">
        <x:v>0</x:v>
      </x:c>
      <x:c r="R34" s="36"/>
      <x:c r="S34" s="36"/>
      <x:c r="T34" s="36" t="str">
        <x:v>221110</x:v>
      </x:c>
      <x:c r="U34" s="36" t="str">
        <x:v>0</x:v>
      </x:c>
      <x:c r="V34" s="36"/>
      <x:c r="W34" s="36" t="str">
        <x:v>TESLA, INC.</x:v>
      </x:c>
      <x:c r="X34" s="36" t="str">
        <x:v>MODEL 3</x:v>
      </x:c>
      <x:c r="Y34" s="36"/>
      <x:c r="Z34" s="36"/>
      <x:c r="AA34" s="36" t="str">
        <x:v>TEST-2754</x:v>
      </x:c>
      <x:c r="AB34" s="36" t="str">
        <x:v>20220302</x:v>
      </x:c>
      <x:c r="AC34" s="36" t="str">
        <x:v>003</x:v>
      </x:c>
      <x:c r="AD34" s="36" t="str">
        <x:v>E6LR</x:v>
      </x:c>
      <x:c r="AE34" s="36" t="str">
        <x:v>I</x:v>
      </x:c>
      <x:c r="AF34" s="36" t="str">
        <x:v>PB</x:v>
      </x:c>
      <x:c r="AG34" s="36" t="n">
        <x:v>2022</x:v>
      </x:c>
      <x:c r="AH34" s="36" t="str">
        <x:v>BGB1S5N</x:v>
      </x:c>
      <x:c r="AI34" s="36" t="str">
        <x:v>LRW00000000002754</x:v>
      </x:c>
      <x:c r="AJ34" s="38" t="str">
        <x:v>{"vin":"LRW00000000002754","brand":"TESLA","fuel1":"3","fuel2":"0","fuel3":"0","model":"MODEL 3","plate":"TEST-2754","is_4wd":"0","variant":"E6LR","version":"BGB1S5N","fab_code":"T-","group_no":"221110","body_code":"AA","ev_config":"EL","type_text":"003","build_date":"20220112","build_month":"202201","eu_category":"M1","manufacturer":"TESLA, INC.","vehicle_type":"PB","vehicle_year":2022,"vehicle_class":"I","registration_date":"20220302"}</x:v>
      </x:c>
    </x:row>
    <x:row r="35" ht="18" customHeight="1">
      <x:c r="A35" s="36" t="n">
        <x:v>2755</x:v>
      </x:c>
      <x:c r="B35" s="36" t="str">
        <x:v>normalization-review-passenger-250-v1-rules-20260805T184409855703Z</x:v>
      </x:c>
      <x:c r="C35" s="36" t="n">
        <x:v>46239.78067008102</x:v>
      </x:c>
      <x:c r="D35" s="38" t="str">
        <x:v>"2026-08-05T18:44:09.895308+00:00"</x:v>
      </x:c>
      <x:c r="E35" s="36" t="str">
        <x:v>TOYOTA MOTOR EUROPE NV/SA</x:v>
      </x:c>
      <x:c r="F35" s="36" t="str">
        <x:v>AC</x:v>
      </x:c>
      <x:c r="G35" s="36"/>
      <x:c r="H35" s="36" t="str">
        <x:v>TOYOTA</x:v>
      </x:c>
      <x:c r="I35" s="36"/>
      <x:c r="J35" s="36" t="str">
        <x:v>201903</x:v>
      </x:c>
      <x:c r="K35" s="36" t="n">
        <x:v>1987</x:v>
      </x:c>
      <x:c r="L35" s="36" t="str">
        <x:v>M1</x:v>
      </x:c>
      <x:c r="M35" s="36" t="str">
        <x:v>ELHYBRID</x:v>
      </x:c>
      <x:c r="N35" s="36" t="str">
        <x:v>TO</x:v>
      </x:c>
      <x:c r="O35" s="36" t="str">
        <x:v>1</x:v>
      </x:c>
      <x:c r="P35" s="36" t="str">
        <x:v>0</x:v>
      </x:c>
      <x:c r="Q35" s="36" t="str">
        <x:v>0</x:v>
      </x:c>
      <x:c r="R35" s="36"/>
      <x:c r="S35" s="36" t="str">
        <x:v>V</x:v>
      </x:c>
      <x:c r="T35" s="36" t="str">
        <x:v>093516</x:v>
      </x:c>
      <x:c r="U35" s="36" t="str">
        <x:v>0</x:v>
      </x:c>
      <x:c r="V35" s="36" t="n">
        <x:v>112</x:v>
      </x:c>
      <x:c r="W35" s="36" t="str">
        <x:v>TOYOTA MOTOR EUROPE NV/SA</x:v>
      </x:c>
      <x:c r="X35" s="36" t="str">
        <x:v>TOYOTA COROLLA</x:v>
      </x:c>
      <x:c r="Y35" s="36"/>
      <x:c r="Z35" s="36"/>
      <x:c r="AA35" s="36" t="str">
        <x:v>TEST-2755</x:v>
      </x:c>
      <x:c r="AB35" s="36" t="str">
        <x:v>20190722</x:v>
      </x:c>
      <x:c r="AC35" s="36" t="str">
        <x:v>ZE1HE(EU,M)</x:v>
      </x:c>
      <x:c r="AD35" s="36" t="str">
        <x:v>MZEH12(W)</x:v>
      </x:c>
      <x:c r="AE35" s="36" t="str">
        <x:v>I</x:v>
      </x:c>
      <x:c r="AF35" s="36" t="str">
        <x:v>PB</x:v>
      </x:c>
      <x:c r="AG35" s="36" t="n">
        <x:v>2019</x:v>
      </x:c>
      <x:c r="AH35" s="36" t="str">
        <x:v>MZEH12L-DWXNBW(1B)</x:v>
      </x:c>
      <x:c r="AI35" s="36" t="str">
        <x:v>SB100000000002755</x:v>
      </x:c>
      <x:c r="AJ35" s="38" t="str">
        <x:v>{"kw":112,"ccm":1987,"vin":"SB100000000002755","brand":"TOYOTA","fuel1":"1","fuel2":"0","fuel3":"0","model":"TOYOTA COROLLA","plate":"TEST-2755","is_4wd":"0","gearbox":"V","variant":"MZEH12(W)","version":"MZEH12L-DWXNBW(1B)","fab_code":"TO","group_no":"093516","body_code":"AC","ev_config":"ELHYBRID","type_text":"ZE1HE(EU,M)","build_month":"201903","eu_category":"M1","manufacturer":"TOYOTA MOTOR EUROPE NV/SA","vehicle_type":"PB","vehicle_year":2019,"vehicle_class":"I","base_manufacturer":"TOYOTA MOTOR EUROPE NV/SA","registration_date":"20190722"}</x:v>
      </x:c>
    </x:row>
    <x:row r="36" ht="18" customHeight="1">
      <x:c r="A36" s="36" t="n">
        <x:v>2756</x:v>
      </x:c>
      <x:c r="B36" s="36" t="str">
        <x:v>normalization-review-passenger-250-v1-rules-20260805T184409855703Z</x:v>
      </x:c>
      <x:c r="C36" s="36" t="n">
        <x:v>46239.78067008102</x:v>
      </x:c>
      <x:c r="D36" s="38" t="str">
        <x:v>"2026-08-05T18:44:09.895308+00:00"</x:v>
      </x:c>
      <x:c r="E36" s="36"/>
      <x:c r="F36" s="36" t="str">
        <x:v>AC</x:v>
      </x:c>
      <x:c r="G36" s="36"/>
      <x:c r="H36" s="36" t="str">
        <x:v>BMW 5K</x:v>
      </x:c>
      <x:c r="I36" s="36"/>
      <x:c r="J36" s="36" t="str">
        <x:v>201403</x:v>
      </x:c>
      <x:c r="K36" s="36" t="n">
        <x:v>2993</x:v>
      </x:c>
      <x:c r="L36" s="36" t="str">
        <x:v>M1</x:v>
      </x:c>
      <x:c r="M36" s="36"/>
      <x:c r="N36" s="36" t="str">
        <x:v>BW</x:v>
      </x:c>
      <x:c r="O36" s="36" t="str">
        <x:v>2</x:v>
      </x:c>
      <x:c r="P36" s="36" t="str">
        <x:v>0</x:v>
      </x:c>
      <x:c r="Q36" s="36" t="str">
        <x:v>0</x:v>
      </x:c>
      <x:c r="R36" s="36"/>
      <x:c r="S36" s="36" t="str">
        <x:v>A</x:v>
      </x:c>
      <x:c r="T36" s="36" t="str">
        <x:v>251115</x:v>
      </x:c>
      <x:c r="U36" s="36" t="str">
        <x:v>1</x:v>
      </x:c>
      <x:c r="V36" s="36" t="n">
        <x:v>190</x:v>
      </x:c>
      <x:c r="W36" s="36"/>
      <x:c r="X36" s="36" t="str">
        <x:v>530D XDRIVE</x:v>
      </x:c>
      <x:c r="Y36" s="36"/>
      <x:c r="Z36" s="36"/>
      <x:c r="AA36" s="36" t="str">
        <x:v>TEST-2756</x:v>
      </x:c>
      <x:c r="AB36" s="36" t="str">
        <x:v>20140422</x:v>
      </x:c>
      <x:c r="AC36" s="36" t="str">
        <x:v>5K</x:v>
      </x:c>
      <x:c r="AD36" s="36" t="str">
        <x:v>5K31</x:v>
      </x:c>
      <x:c r="AE36" s="36" t="str">
        <x:v>I</x:v>
      </x:c>
      <x:c r="AF36" s="36" t="str">
        <x:v>PB</x:v>
      </x:c>
      <x:c r="AG36" s="36" t="n">
        <x:v>2014</x:v>
      </x:c>
      <x:c r="AH36" s="36" t="str">
        <x:v>6A250000</x:v>
      </x:c>
      <x:c r="AI36" s="36" t="str">
        <x:v>WBA00000000002756</x:v>
      </x:c>
      <x:c r="AJ36" s="38" t="str">
        <x:v>{"kw":190,"ccm":2993,"vin":"WBA00000000002756","brand":"BMW 5K","fuel1":"2","fuel2":"0","fuel3":"0","model":"530D XDRIVE","plate":"TEST-2756","is_4wd":"1","gearbox":"A","variant":"5K31","version":"6A250000","fab_code":"BW","group_no":"251115","body_code":"AC","type_text":"5K","build_month":"201403","eu_category":"M1","vehicle_type":"PB","vehicle_year":2014,"vehicle_class":"I","registration_date":"20140422"}</x:v>
      </x:c>
    </x:row>
    <x:row r="37" ht="18" customHeight="1">
      <x:c r="A37" s="36" t="n">
        <x:v>2757</x:v>
      </x:c>
      <x:c r="B37" s="36" t="str">
        <x:v>normalization-review-passenger-250-v1-rules-20260805T184409855703Z</x:v>
      </x:c>
      <x:c r="C37" s="36" t="n">
        <x:v>46239.78067008102</x:v>
      </x:c>
      <x:c r="D37" s="38" t="str">
        <x:v>"2026-08-05T18:44:09.895308+00:00"</x:v>
      </x:c>
      <x:c r="E37" s="36"/>
      <x:c r="F37" s="36" t="str">
        <x:v>AF</x:v>
      </x:c>
      <x:c r="G37" s="36" t="str">
        <x:v>06</x:v>
      </x:c>
      <x:c r="H37" s="36" t="str">
        <x:v>FORD</x:v>
      </x:c>
      <x:c r="I37" s="36"/>
      <x:c r="J37" s="36" t="str">
        <x:v>202008</x:v>
      </x:c>
      <x:c r="K37" s="36" t="n">
        <x:v>1995</x:v>
      </x:c>
      <x:c r="L37" s="36" t="str">
        <x:v>M1</x:v>
      </x:c>
      <x:c r="M37" s="36"/>
      <x:c r="N37" s="36" t="str">
        <x:v>FO</x:v>
      </x:c>
      <x:c r="O37" s="36" t="str">
        <x:v>2</x:v>
      </x:c>
      <x:c r="P37" s="36" t="str">
        <x:v>0</x:v>
      </x:c>
      <x:c r="Q37" s="36" t="str">
        <x:v>0</x:v>
      </x:c>
      <x:c r="R37" s="36"/>
      <x:c r="S37" s="36" t="str">
        <x:v>M</x:v>
      </x:c>
      <x:c r="T37" s="36" t="str">
        <x:v>018530</x:v>
      </x:c>
      <x:c r="U37" s="36" t="str">
        <x:v>0</x:v>
      </x:c>
      <x:c r="V37" s="36" t="n">
        <x:v>96</x:v>
      </x:c>
      <x:c r="W37" s="36" t="str">
        <x:v>FORD-WERKE GMBH</x:v>
      </x:c>
      <x:c r="X37" s="36" t="str">
        <x:v>TRANSIT</x:v>
      </x:c>
      <x:c r="Y37" s="36"/>
      <x:c r="Z37" s="36"/>
      <x:c r="AA37" s="36" t="str">
        <x:v>TEST-2757</x:v>
      </x:c>
      <x:c r="AB37" s="36" t="str">
        <x:v>20201014</x:v>
      </x:c>
      <x:c r="AC37" s="36"/>
      <x:c r="AD37" s="36"/>
      <x:c r="AE37" s="36" t="str">
        <x:v>I</x:v>
      </x:c>
      <x:c r="AF37" s="36" t="str">
        <x:v>PB</x:v>
      </x:c>
      <x:c r="AG37" s="36" t="n">
        <x:v>2020</x:v>
      </x:c>
      <x:c r="AH37" s="36"/>
      <x:c r="AI37" s="36" t="str">
        <x:v>WF000000000002757</x:v>
      </x:c>
      <x:c r="AJ37" s="38" t="str">
        <x:v>{"kw":96,"ccm":1995,"vin":"WF000000000002757","brand":"FORD","fuel1":"2","fuel2":"0","fuel3":"0","model":"TRANSIT","plate":"TEST-2757","is_4wd":"0","gearbox":"M","fab_code":"FO","group_no":"018530","body_code":"AF","body_code2":"06","build_month":"202008","eu_category":"M1","manufacturer":"FORD-WERKE GMBH","vehicle_type":"PB","vehicle_year":2020,"vehicle_class":"I","registration_date":"20201014"}</x:v>
      </x:c>
    </x:row>
    <x:row r="38" ht="18" customHeight="1">
      <x:c r="A38" s="36" t="n">
        <x:v>2758</x:v>
      </x:c>
      <x:c r="B38" s="36" t="str">
        <x:v>normalization-review-passenger-250-v1-rules-20260805T184409855703Z</x:v>
      </x:c>
      <x:c r="C38" s="36" t="n">
        <x:v>46239.78067008102</x:v>
      </x:c>
      <x:c r="D38" s="38" t="str">
        <x:v>"2026-08-05T18:44:09.895308+00:00"</x:v>
      </x:c>
      <x:c r="E38" s="36"/>
      <x:c r="F38" s="36" t="str">
        <x:v>01</x:v>
      </x:c>
      <x:c r="G38" s="36"/>
      <x:c r="H38" s="36" t="str">
        <x:v>OLDSMOBILE SUPER 88</x:v>
      </x:c>
      <x:c r="I38" s="36"/>
      <x:c r="J38" s="36"/>
      <x:c r="K38" s="36"/>
      <x:c r="L38" s="36" t="str">
        <x:v>M1</x:v>
      </x:c>
      <x:c r="M38" s="36"/>
      <x:c r="N38" s="36" t="str">
        <x:v>OL</x:v>
      </x:c>
      <x:c r="O38" s="36" t="str">
        <x:v>1</x:v>
      </x:c>
      <x:c r="P38" s="36" t="str">
        <x:v>0</x:v>
      </x:c>
      <x:c r="Q38" s="36" t="str">
        <x:v>0</x:v>
      </x:c>
      <x:c r="R38" s="36"/>
      <x:c r="S38" s="36" t="str">
        <x:v>A</x:v>
      </x:c>
      <x:c r="T38" s="36"/>
      <x:c r="U38" s="36" t="str">
        <x:v>0</x:v>
      </x:c>
      <x:c r="V38" s="36" t="n">
        <x:v>225</x:v>
      </x:c>
      <x:c r="W38" s="36"/>
      <x:c r="X38" s="36"/>
      <x:c r="Y38" s="36"/>
      <x:c r="Z38" s="36" t="n">
        <x:v>1958</x:v>
      </x:c>
      <x:c r="AA38" s="36" t="str">
        <x:v>TEST-2758</x:v>
      </x:c>
      <x:c r="AB38" s="36" t="str">
        <x:v>20090618</x:v>
      </x:c>
      <x:c r="AC38" s="36"/>
      <x:c r="AD38" s="36"/>
      <x:c r="AE38" s="36" t="str">
        <x:v>I</x:v>
      </x:c>
      <x:c r="AF38" s="36" t="str">
        <x:v>PB</x:v>
      </x:c>
      <x:c r="AG38" s="36" t="n">
        <x:v>1958</x:v>
      </x:c>
      <x:c r="AH38" s="36"/>
      <x:c r="AI38" s="36" t="str">
        <x:v>58800000000002758</x:v>
      </x:c>
      <x:c r="AJ38" s="38" t="str">
        <x:v>{"kw":225,"vin":"58800000000002758","brand":"OLDSMOBILE SUPER 88","fuel1":"1","fuel2":"0","fuel3":"0","plate":"TEST-2758","is_4wd":"0","gearbox":"A","fab_code":"OL","body_code":"01","model_year":1958,"eu_category":"M1","vehicle_type":"PB","vehicle_year":1958,"vehicle_class":"I","registration_date":"20090618"}</x:v>
      </x:c>
    </x:row>
    <x:row r="39" ht="18" customHeight="1">
      <x:c r="A39" s="36" t="n">
        <x:v>2759</x:v>
      </x:c>
      <x:c r="B39" s="36" t="str">
        <x:v>normalization-review-passenger-250-v1-rules-20260805T184409855703Z</x:v>
      </x:c>
      <x:c r="C39" s="36" t="n">
        <x:v>46239.78067008102</x:v>
      </x:c>
      <x:c r="D39" s="38" t="str">
        <x:v>"2026-08-05T18:44:09.895308+00:00"</x:v>
      </x:c>
      <x:c r="E39" s="36"/>
      <x:c r="F39" s="36" t="str">
        <x:v>AC</x:v>
      </x:c>
      <x:c r="G39" s="36"/>
      <x:c r="H39" s="36" t="str">
        <x:v>MERCEDES-BENZ</x:v>
      </x:c>
      <x:c r="I39" s="36"/>
      <x:c r="J39" s="36" t="str">
        <x:v>201908</x:v>
      </x:c>
      <x:c r="K39" s="36" t="n">
        <x:v>1332</x:v>
      </x:c>
      <x:c r="L39" s="36" t="str">
        <x:v>M1</x:v>
      </x:c>
      <x:c r="M39" s="36"/>
      <x:c r="N39" s="36" t="str">
        <x:v>MB</x:v>
      </x:c>
      <x:c r="O39" s="36" t="str">
        <x:v>1</x:v>
      </x:c>
      <x:c r="P39" s="36" t="str">
        <x:v>0</x:v>
      </x:c>
      <x:c r="Q39" s="36" t="str">
        <x:v>0</x:v>
      </x:c>
      <x:c r="R39" s="36"/>
      <x:c r="S39" s="36"/>
      <x:c r="T39" s="36" t="str">
        <x:v>532842</x:v>
      </x:c>
      <x:c r="U39" s="36" t="str">
        <x:v>0</x:v>
      </x:c>
      <x:c r="V39" s="36" t="n">
        <x:v>100</x:v>
      </x:c>
      <x:c r="W39" s="36" t="str">
        <x:v>DAIMLER AG D-70546 STUTTGART</x:v>
      </x:c>
      <x:c r="X39" s="36" t="str">
        <x:v>CLA 180</x:v>
      </x:c>
      <x:c r="Y39" s="36"/>
      <x:c r="Z39" s="36"/>
      <x:c r="AA39" s="36" t="str">
        <x:v>TEST-2759</x:v>
      </x:c>
      <x:c r="AB39" s="36" t="str">
        <x:v>20200428</x:v>
      </x:c>
      <x:c r="AC39" s="36" t="str">
        <x:v>F2CLA</x:v>
      </x:c>
      <x:c r="AD39" s="36" t="str">
        <x:v>32H9T2</x:v>
      </x:c>
      <x:c r="AE39" s="36" t="str">
        <x:v>I</x:v>
      </x:c>
      <x:c r="AF39" s="36" t="str">
        <x:v>PB</x:v>
      </x:c>
      <x:c r="AG39" s="36" t="n">
        <x:v>2019</x:v>
      </x:c>
      <x:c r="AH39" s="36" t="str">
        <x:v>FZAA150A</x:v>
      </x:c>
      <x:c r="AI39" s="36" t="str">
        <x:v>WDD00000000002759</x:v>
      </x:c>
      <x:c r="AJ39" s="38" t="str">
        <x:v>{"kw":100,"ccm":1332,"vin":"WDD00000000002759","brand":"MERCEDES-BENZ","fuel1":"1","fuel2":"0","fuel3":"0","model":"CLA 180","plate":"TEST-2759","is_4wd":"0","variant":"32H9T2","version":"FZAA150A","fab_code":"MB","group_no":"532842","body_code":"AC","type_text":"F2CLA","build_month":"201908","eu_category":"M1","manufacturer":"DAIMLER AG D-70546 STUTTGART","vehicle_type":"PB","vehicle_year":2019,"vehicle_class":"I","registration_date":"20200428"}</x:v>
      </x:c>
    </x:row>
    <x:row r="40" ht="18" customHeight="1">
      <x:c r="A40" s="36" t="n">
        <x:v>2760</x:v>
      </x:c>
      <x:c r="B40" s="36" t="str">
        <x:v>normalization-review-passenger-250-v1-rules-20260805T184409855703Z</x:v>
      </x:c>
      <x:c r="C40" s="36" t="n">
        <x:v>46239.78067008102</x:v>
      </x:c>
      <x:c r="D40" s="38" t="str">
        <x:v>"2026-08-05T18:44:09.895308+00:00"</x:v>
      </x:c>
      <x:c r="E40" s="36"/>
      <x:c r="F40" s="36" t="str">
        <x:v>AF</x:v>
      </x:c>
      <x:c r="G40" s="36"/>
      <x:c r="H40" s="36" t="str">
        <x:v>TOYOTA E15UT(A)</x:v>
      </x:c>
      <x:c r="I40" s="36"/>
      <x:c r="J40" s="36" t="str">
        <x:v>201407</x:v>
      </x:c>
      <x:c r="K40" s="36" t="n">
        <x:v>1598</x:v>
      </x:c>
      <x:c r="L40" s="36" t="str">
        <x:v>M1</x:v>
      </x:c>
      <x:c r="M40" s="36"/>
      <x:c r="N40" s="36" t="str">
        <x:v>TO</x:v>
      </x:c>
      <x:c r="O40" s="36" t="str">
        <x:v>1</x:v>
      </x:c>
      <x:c r="P40" s="36" t="str">
        <x:v>0</x:v>
      </x:c>
      <x:c r="Q40" s="36" t="str">
        <x:v>0</x:v>
      </x:c>
      <x:c r="R40" s="36"/>
      <x:c r="S40" s="36" t="str">
        <x:v>M</x:v>
      </x:c>
      <x:c r="T40" s="36" t="str">
        <x:v>070578</x:v>
      </x:c>
      <x:c r="U40" s="36" t="str">
        <x:v>0</x:v>
      </x:c>
      <x:c r="V40" s="36" t="n">
        <x:v>97</x:v>
      </x:c>
      <x:c r="W40" s="36"/>
      <x:c r="X40" s="36" t="str">
        <x:v>TOYOTA AURIS</x:v>
      </x:c>
      <x:c r="Y40" s="36"/>
      <x:c r="Z40" s="36"/>
      <x:c r="AA40" s="36" t="str">
        <x:v>TEST-2760</x:v>
      </x:c>
      <x:c r="AB40" s="36" t="str">
        <x:v>20141028</x:v>
      </x:c>
      <x:c r="AC40" s="36" t="str">
        <x:v>E15UT(A)</x:v>
      </x:c>
      <x:c r="AD40" s="36" t="str">
        <x:v>ZRE185(HF)</x:v>
      </x:c>
      <x:c r="AE40" s="36" t="str">
        <x:v>I</x:v>
      </x:c>
      <x:c r="AF40" s="36" t="str">
        <x:v>PB</x:v>
      </x:c>
      <x:c r="AG40" s="36" t="n">
        <x:v>2014</x:v>
      </x:c>
      <x:c r="AH40" s="36" t="str">
        <x:v>ZRE185L-DHFNPW(3S)</x:v>
      </x:c>
      <x:c r="AI40" s="36" t="str">
        <x:v>SB100000000002760</x:v>
      </x:c>
      <x:c r="AJ40" s="38" t="str">
        <x:v>{"kw":97,"ccm":1598,"vin":"SB100000000002760","brand":"TOYOTA E15UT(A)","fuel1":"1","fuel2":"0","fuel3":"0","model":"TOYOTA AURIS","plate":"TEST-2760","is_4wd":"0","gearbox":"M","variant":"ZRE185(HF)","version":"ZRE185L-DHFNPW(3S)","fab_code":"TO","group_no":"070578","body_code":"AF","type_text":"E15UT(A)","build_month":"201407","eu_category":"M1","vehicle_type":"PB","vehicle_year":2014,"vehicle_class":"I","registration_date":"20141028"}</x:v>
      </x:c>
    </x:row>
    <x:row r="41" ht="18" customHeight="1">
      <x:c r="A41" s="36" t="n">
        <x:v>2761</x:v>
      </x:c>
      <x:c r="B41" s="36" t="str">
        <x:v>normalization-review-passenger-250-v1-rules-20260805T184409855703Z</x:v>
      </x:c>
      <x:c r="C41" s="36" t="n">
        <x:v>46239.78067008102</x:v>
      </x:c>
      <x:c r="D41" s="38" t="str">
        <x:v>"2026-08-05T18:44:09.895308+00:00"</x:v>
      </x:c>
      <x:c r="E41" s="36"/>
      <x:c r="F41" s="36" t="str">
        <x:v>AC</x:v>
      </x:c>
      <x:c r="G41" s="36"/>
      <x:c r="H41" s="36" t="str">
        <x:v>SUBARU</x:v>
      </x:c>
      <x:c r="I41" s="36"/>
      <x:c r="J41" s="36" t="str">
        <x:v>202002</x:v>
      </x:c>
      <x:c r="K41" s="36" t="n">
        <x:v>1995</x:v>
      </x:c>
      <x:c r="L41" s="36" t="str">
        <x:v>M1</x:v>
      </x:c>
      <x:c r="M41" s="36" t="str">
        <x:v>ELHYBRID</x:v>
      </x:c>
      <x:c r="N41" s="36" t="str">
        <x:v>SH</x:v>
      </x:c>
      <x:c r="O41" s="36" t="str">
        <x:v>1</x:v>
      </x:c>
      <x:c r="P41" s="36" t="str">
        <x:v>0</x:v>
      </x:c>
      <x:c r="Q41" s="36" t="str">
        <x:v>0</x:v>
      </x:c>
      <x:c r="R41" s="36"/>
      <x:c r="S41" s="36"/>
      <x:c r="T41" s="36" t="str">
        <x:v>200145</x:v>
      </x:c>
      <x:c r="U41" s="36" t="str">
        <x:v>1</x:v>
      </x:c>
      <x:c r="V41" s="36" t="n">
        <x:v>110</x:v>
      </x:c>
      <x:c r="W41" s="36" t="str">
        <x:v>SUBARU CORPORATION EBISU SUBARU BUILDING, 1-20-8, EBISU, SHI</x:v>
      </x:c>
      <x:c r="X41" s="36" t="str">
        <x:v>FORESTER</x:v>
      </x:c>
      <x:c r="Y41" s="36"/>
      <x:c r="Z41" s="36"/>
      <x:c r="AA41" s="36" t="str">
        <x:v>TEST-2761</x:v>
      </x:c>
      <x:c r="AB41" s="36" t="str">
        <x:v>20201103</x:v>
      </x:c>
      <x:c r="AC41" s="36" t="str">
        <x:v>S5</x:v>
      </x:c>
      <x:c r="AD41" s="36" t="str">
        <x:v>SKE</x:v>
      </x:c>
      <x:c r="AE41" s="36" t="str">
        <x:v>I</x:v>
      </x:c>
      <x:c r="AF41" s="36" t="str">
        <x:v>PB</x:v>
      </x:c>
      <x:c r="AG41" s="36" t="n">
        <x:v>2020</x:v>
      </x:c>
      <x:c r="AH41" s="36" t="str">
        <x:v>C1L</x:v>
      </x:c>
      <x:c r="AI41" s="36" t="str">
        <x:v>JF100000000002761</x:v>
      </x:c>
      <x:c r="AJ41" s="38" t="str">
        <x:v>{"kw":110,"ccm":1995,"vin":"JF100000000002761","brand":"SUBARU","fuel1":"1","fuel2":"0","fuel3":"0","model":"FORESTER","plate":"TEST-2761","is_4wd":"1","variant":"SKE","version":"C1L","fab_code":"SH","group_no":"200145","body_code":"AC","ev_config":"ELHYBRID","type_text":"S5","build_month":"202002","eu_category":"M1","manufacturer":"SUBARU CORPORATION EBISU SUBARU BUILDING, 1-20-8, EBISU, SHI","vehicle_type":"PB","vehicle_year":2020,"vehicle_class":"I","registration_date":"20201103"}</x:v>
      </x:c>
    </x:row>
    <x:row r="42" ht="18" customHeight="1">
      <x:c r="A42" s="36" t="n">
        <x:v>2762</x:v>
      </x:c>
      <x:c r="B42" s="36" t="str">
        <x:v>normalization-review-passenger-250-v1-rules-20260805T184409855703Z</x:v>
      </x:c>
      <x:c r="C42" s="36" t="n">
        <x:v>46239.78067008102</x:v>
      </x:c>
      <x:c r="D42" s="38" t="str">
        <x:v>"2026-08-05T18:44:09.895308+00:00"</x:v>
      </x:c>
      <x:c r="E42" s="36"/>
      <x:c r="F42" s="36" t="str">
        <x:v>AC</x:v>
      </x:c>
      <x:c r="G42" s="36"/>
      <x:c r="H42" s="36" t="str">
        <x:v>MERCEDES-BENZ</x:v>
      </x:c>
      <x:c r="I42" s="36"/>
      <x:c r="J42" s="36" t="str">
        <x:v>201908</x:v>
      </x:c>
      <x:c r="K42" s="36" t="n">
        <x:v>1332</x:v>
      </x:c>
      <x:c r="L42" s="36" t="str">
        <x:v>M1</x:v>
      </x:c>
      <x:c r="M42" s="36"/>
      <x:c r="N42" s="36" t="str">
        <x:v>MB</x:v>
      </x:c>
      <x:c r="O42" s="36" t="str">
        <x:v>1</x:v>
      </x:c>
      <x:c r="P42" s="36" t="str">
        <x:v>0</x:v>
      </x:c>
      <x:c r="Q42" s="36" t="str">
        <x:v>0</x:v>
      </x:c>
      <x:c r="R42" s="36"/>
      <x:c r="S42" s="36"/>
      <x:c r="T42" s="36" t="str">
        <x:v>510844</x:v>
      </x:c>
      <x:c r="U42" s="36" t="str">
        <x:v>0</x:v>
      </x:c>
      <x:c r="V42" s="36" t="n">
        <x:v>100</x:v>
      </x:c>
      <x:c r="W42" s="36" t="str">
        <x:v>DAIMLER AG D-70546 STUTTGART</x:v>
      </x:c>
      <x:c r="X42" s="36" t="str">
        <x:v>B 180</x:v>
      </x:c>
      <x:c r="Y42" s="36"/>
      <x:c r="Z42" s="36"/>
      <x:c r="AA42" s="36" t="str">
        <x:v>TEST-2762</x:v>
      </x:c>
      <x:c r="AB42" s="36" t="str">
        <x:v>20191206</x:v>
      </x:c>
      <x:c r="AC42" s="36" t="str">
        <x:v>F2B</x:v>
      </x:c>
      <x:c r="AD42" s="36" t="str">
        <x:v>O0H9T2</x:v>
      </x:c>
      <x:c r="AE42" s="36" t="str">
        <x:v>I</x:v>
      </x:c>
      <x:c r="AF42" s="36" t="str">
        <x:v>PB</x:v>
      </x:c>
      <x:c r="AG42" s="36" t="n">
        <x:v>2019</x:v>
      </x:c>
      <x:c r="AH42" s="36" t="str">
        <x:v>FZAA150A</x:v>
      </x:c>
      <x:c r="AI42" s="36" t="str">
        <x:v>WDD00000000002762</x:v>
      </x:c>
      <x:c r="AJ42" s="38" t="str">
        <x:v>{"kw":100,"ccm":1332,"vin":"WDD00000000002762","brand":"MERCEDES-BENZ","fuel1":"1","fuel2":"0","fuel3":"0","model":"B 180","plate":"TEST-2762","is_4wd":"0","variant":"O0H9T2","version":"FZAA150A","fab_code":"MB","group_no":"510844","body_code":"AC","type_text":"F2B","build_month":"201908","eu_category":"M1","manufacturer":"DAIMLER AG D-70546 STUTTGART","vehicle_type":"PB","vehicle_year":2019,"vehicle_class":"I","registration_date":"20191206"}</x:v>
      </x:c>
    </x:row>
    <x:row r="43" ht="18" customHeight="1">
      <x:c r="A43" s="36" t="n">
        <x:v>2763</x:v>
      </x:c>
      <x:c r="B43" s="36" t="str">
        <x:v>normalization-review-passenger-250-v1-rules-20260805T184409855703Z</x:v>
      </x:c>
      <x:c r="C43" s="36" t="n">
        <x:v>46239.78067008102</x:v>
      </x:c>
      <x:c r="D43" s="38" t="str">
        <x:v>"2026-08-05T18:44:09.895308+00:00"</x:v>
      </x:c>
      <x:c r="E43" s="36"/>
      <x:c r="F43" s="36" t="str">
        <x:v>AB</x:v>
      </x:c>
      <x:c r="G43" s="36"/>
      <x:c r="H43" s="36" t="str">
        <x:v>RENAULT B CLIO</x:v>
      </x:c>
      <x:c r="I43" s="36"/>
      <x:c r="J43" s="36" t="str">
        <x:v>200704</x:v>
      </x:c>
      <x:c r="K43" s="36" t="n">
        <x:v>1149</x:v>
      </x:c>
      <x:c r="L43" s="36" t="str">
        <x:v>M1</x:v>
      </x:c>
      <x:c r="M43" s="36"/>
      <x:c r="N43" s="36" t="str">
        <x:v>RN</x:v>
      </x:c>
      <x:c r="O43" s="36" t="str">
        <x:v>1</x:v>
      </x:c>
      <x:c r="P43" s="36" t="str">
        <x:v>0</x:v>
      </x:c>
      <x:c r="Q43" s="36" t="str">
        <x:v>0</x:v>
      </x:c>
      <x:c r="R43" s="36"/>
      <x:c r="S43" s="36" t="str">
        <x:v>M</x:v>
      </x:c>
      <x:c r="T43" s="36" t="str">
        <x:v>408123</x:v>
      </x:c>
      <x:c r="U43" s="36" t="str">
        <x:v>0</x:v>
      </x:c>
      <x:c r="V43" s="36" t="n">
        <x:v>55</x:v>
      </x:c>
      <x:c r="W43" s="36"/>
      <x:c r="X43" s="36"/>
      <x:c r="Y43" s="36"/>
      <x:c r="Z43" s="36"/>
      <x:c r="AA43" s="36" t="str">
        <x:v>TEST-2763</x:v>
      </x:c>
      <x:c r="AB43" s="36" t="str">
        <x:v>20070508</x:v>
      </x:c>
      <x:c r="AC43" s="36" t="str">
        <x:v>B</x:v>
      </x:c>
      <x:c r="AD43" s="36" t="str">
        <x:v>BBCU</x:v>
      </x:c>
      <x:c r="AE43" s="36" t="str">
        <x:v>I</x:v>
      </x:c>
      <x:c r="AF43" s="36" t="str">
        <x:v>PB</x:v>
      </x:c>
      <x:c r="AG43" s="36" t="n">
        <x:v>2007</x:v>
      </x:c>
      <x:c r="AH43" s="36" t="str">
        <x:v>BBCU05</x:v>
      </x:c>
      <x:c r="AI43" s="36" t="str">
        <x:v>VF100000000002763</x:v>
      </x:c>
      <x:c r="AJ43" s="38" t="str">
        <x:v>{"kw":55,"ccm":1149,"vin":"VF100000000002763","brand":"RENAULT B CLIO","fuel1":"1","fuel2":"0","fuel3":"0","plate":"TEST-2763","is_4wd":"0","gearbox":"M","variant":"BBCU","version":"BBCU05","fab_code":"RN","group_no":"408123","body_code":"AB","type_text":"B","build_month":"200704","eu_category":"M1","vehicle_type":"PB","vehicle_year":2007,"vehicle_class":"I","registration_date":"20070508"}</x:v>
      </x:c>
    </x:row>
    <x:row r="44" ht="18" customHeight="1">
      <x:c r="A44" s="36" t="n">
        <x:v>2764</x:v>
      </x:c>
      <x:c r="B44" s="36" t="str">
        <x:v>normalization-review-passenger-250-v1-rules-20260805T184409855703Z</x:v>
      </x:c>
      <x:c r="C44" s="36" t="n">
        <x:v>46239.78067008102</x:v>
      </x:c>
      <x:c r="D44" s="38" t="str">
        <x:v>"2026-08-05T18:44:09.895308+00:00"</x:v>
      </x:c>
      <x:c r="E44" s="36"/>
      <x:c r="F44" s="36" t="str">
        <x:v>AF</x:v>
      </x:c>
      <x:c r="G44" s="36"/>
      <x:c r="H44" s="36" t="str">
        <x:v>HYUNDAI</x:v>
      </x:c>
      <x:c r="I44" s="36"/>
      <x:c r="J44" s="36" t="str">
        <x:v>201512</x:v>
      </x:c>
      <x:c r="K44" s="36" t="n">
        <x:v>1591</x:v>
      </x:c>
      <x:c r="L44" s="36" t="str">
        <x:v>M1</x:v>
      </x:c>
      <x:c r="M44" s="36"/>
      <x:c r="N44" s="36" t="str">
        <x:v>HK</x:v>
      </x:c>
      <x:c r="O44" s="36" t="str">
        <x:v>1</x:v>
      </x:c>
      <x:c r="P44" s="36" t="str">
        <x:v>0</x:v>
      </x:c>
      <x:c r="Q44" s="36" t="str">
        <x:v>0</x:v>
      </x:c>
      <x:c r="R44" s="36"/>
      <x:c r="S44" s="36" t="str">
        <x:v>A</x:v>
      </x:c>
      <x:c r="T44" s="36" t="str">
        <x:v>130703</x:v>
      </x:c>
      <x:c r="U44" s="36" t="str">
        <x:v>1</x:v>
      </x:c>
      <x:c r="V44" s="36" t="n">
        <x:v>130</x:v>
      </x:c>
      <x:c r="W44" s="36"/>
      <x:c r="X44" s="36" t="str">
        <x:v>TUCSON</x:v>
      </x:c>
      <x:c r="Y44" s="36"/>
      <x:c r="Z44" s="36"/>
      <x:c r="AA44" s="36" t="str">
        <x:v>TEST-2764</x:v>
      </x:c>
      <x:c r="AB44" s="36" t="str">
        <x:v>20160126</x:v>
      </x:c>
      <x:c r="AC44" s="36" t="str">
        <x:v>TLE</x:v>
      </x:c>
      <x:c r="AD44" s="36" t="str">
        <x:v>F5P44</x:v>
      </x:c>
      <x:c r="AE44" s="36" t="str">
        <x:v>I</x:v>
      </x:c>
      <x:c r="AF44" s="36" t="str">
        <x:v>PB</x:v>
      </x:c>
      <x:c r="AG44" s="36" t="n">
        <x:v>2015</x:v>
      </x:c>
      <x:c r="AH44" s="36" t="str">
        <x:v>D71ZZ1</x:v>
      </x:c>
      <x:c r="AI44" s="36" t="str">
        <x:v>TMA00000000002764</x:v>
      </x:c>
      <x:c r="AJ44" s="38" t="str">
        <x:v>{"kw":130,"ccm":1591,"vin":"TMA00000000002764","brand":"HYUNDAI","fuel1":"1","fuel2":"0","fuel3":"0","model":"TUCSON","plate":"TEST-2764","is_4wd":"1","gearbox":"A","variant":"F5P44","version":"D71ZZ1","fab_code":"HK","group_no":"130703","body_code":"AF","type_text":"TLE","build_month":"201512","eu_category":"M1","vehicle_type":"PB","vehicle_year":2015,"vehicle_class":"I","registration_date":"20160126"}</x:v>
      </x:c>
    </x:row>
    <x:row r="45" ht="18" customHeight="1">
      <x:c r="A45" s="36" t="n">
        <x:v>2765</x:v>
      </x:c>
      <x:c r="B45" s="36" t="str">
        <x:v>normalization-review-passenger-250-v1-rules-20260805T184409855703Z</x:v>
      </x:c>
      <x:c r="C45" s="36" t="n">
        <x:v>46239.78067008102</x:v>
      </x:c>
      <x:c r="D45" s="38" t="str">
        <x:v>"2026-08-05T18:44:09.895308+00:00"</x:v>
      </x:c>
      <x:c r="E45" s="36"/>
      <x:c r="F45" s="36" t="str">
        <x:v>01</x:v>
      </x:c>
      <x:c r="G45" s="36"/>
      <x:c r="H45" s="36" t="str">
        <x:v>VOLVO P 54404 A</x:v>
      </x:c>
      <x:c r="I45" s="36"/>
      <x:c r="J45" s="36"/>
      <x:c r="K45" s="36"/>
      <x:c r="L45" s="36" t="str">
        <x:v>M1</x:v>
      </x:c>
      <x:c r="M45" s="36"/>
      <x:c r="N45" s="36" t="str">
        <x:v>VO</x:v>
      </x:c>
      <x:c r="O45" s="36" t="str">
        <x:v>1</x:v>
      </x:c>
      <x:c r="P45" s="36" t="str">
        <x:v>0</x:v>
      </x:c>
      <x:c r="Q45" s="36" t="str">
        <x:v>0</x:v>
      </x:c>
      <x:c r="R45" s="36"/>
      <x:c r="S45" s="36" t="str">
        <x:v>M</x:v>
      </x:c>
      <x:c r="T45" s="36" t="str">
        <x:v>000509</x:v>
      </x:c>
      <x:c r="U45" s="36" t="str">
        <x:v>0</x:v>
      </x:c>
      <x:c r="V45" s="36" t="n">
        <x:v>44</x:v>
      </x:c>
      <x:c r="W45" s="36"/>
      <x:c r="X45" s="36"/>
      <x:c r="Y45" s="36" t="str">
        <x:v>000509</x:v>
      </x:c>
      <x:c r="Z45" s="36" t="n">
        <x:v>1960</x:v>
      </x:c>
      <x:c r="AA45" s="36" t="str">
        <x:v>TEST-2765</x:v>
      </x:c>
      <x:c r="AB45" s="36" t="str">
        <x:v>19600101</x:v>
      </x:c>
      <x:c r="AC45" s="36"/>
      <x:c r="AD45" s="36"/>
      <x:c r="AE45" s="36" t="str">
        <x:v>I</x:v>
      </x:c>
      <x:c r="AF45" s="36" t="str">
        <x:v>PB</x:v>
      </x:c>
      <x:c r="AG45" s="36" t="n">
        <x:v>1960</x:v>
      </x:c>
      <x:c r="AH45" s="36"/>
      <x:c r="AI45" s="36" t="str">
        <x:v>25200000000002765</x:v>
      </x:c>
      <x:c r="AJ45" s="38" t="str">
        <x:v>{"kw":44,"vin":"25200000000002765","brand":"VOLVO P 54404 A","fuel1":"1","fuel2":"0","fuel3":"0","plate":"TEST-2765","is_4wd":"0","gearbox":"M","fab_code":"VO","group_no":"000509","model_no":"000509","body_code":"01","model_year":1960,"eu_category":"M1","vehicle_type":"PB","vehicle_year":1960,"vehicle_class":"I","registration_date":"19600101"}</x:v>
      </x:c>
    </x:row>
    <x:row r="46" ht="18" customHeight="1">
      <x:c r="A46" s="36" t="n">
        <x:v>2766</x:v>
      </x:c>
      <x:c r="B46" s="36" t="str">
        <x:v>normalization-review-passenger-250-v1-rules-20260805T184409855703Z</x:v>
      </x:c>
      <x:c r="C46" s="36" t="n">
        <x:v>46239.78067008102</x:v>
      </x:c>
      <x:c r="D46" s="38" t="str">
        <x:v>"2026-08-05T18:44:09.895308+00:00"</x:v>
      </x:c>
      <x:c r="E46" s="36"/>
      <x:c r="F46" s="36" t="str">
        <x:v>01</x:v>
      </x:c>
      <x:c r="G46" s="36"/>
      <x:c r="H46" s="36" t="str">
        <x:v>VOLVO L + S70 1998</x:v>
      </x:c>
      <x:c r="I46" s="36"/>
      <x:c r="J46" s="36"/>
      <x:c r="K46" s="36"/>
      <x:c r="L46" s="36" t="str">
        <x:v>M1</x:v>
      </x:c>
      <x:c r="M46" s="36"/>
      <x:c r="N46" s="36" t="str">
        <x:v>VO</x:v>
      </x:c>
      <x:c r="O46" s="36" t="str">
        <x:v>1</x:v>
      </x:c>
      <x:c r="P46" s="36" t="str">
        <x:v>0</x:v>
      </x:c>
      <x:c r="Q46" s="36" t="str">
        <x:v>0</x:v>
      </x:c>
      <x:c r="R46" s="36"/>
      <x:c r="S46" s="36" t="str">
        <x:v>M</x:v>
      </x:c>
      <x:c r="T46" s="36" t="str">
        <x:v>110012</x:v>
      </x:c>
      <x:c r="U46" s="36" t="str">
        <x:v>0</x:v>
      </x:c>
      <x:c r="V46" s="36" t="n">
        <x:v>106</x:v>
      </x:c>
      <x:c r="W46" s="36"/>
      <x:c r="X46" s="36"/>
      <x:c r="Y46" s="36"/>
      <x:c r="Z46" s="36"/>
      <x:c r="AA46" s="36" t="str">
        <x:v>TEST-2766</x:v>
      </x:c>
      <x:c r="AB46" s="36" t="str">
        <x:v>19970730</x:v>
      </x:c>
      <x:c r="AC46" s="36"/>
      <x:c r="AD46" s="36" t="str">
        <x:v>LS51</x:v>
      </x:c>
      <x:c r="AE46" s="36" t="str">
        <x:v>I</x:v>
      </x:c>
      <x:c r="AF46" s="36" t="str">
        <x:v>PB</x:v>
      </x:c>
      <x:c r="AG46" s="36" t="n">
        <x:v>1997</x:v>
      </x:c>
      <x:c r="AH46" s="36" t="str">
        <x:v>LS5102</x:v>
      </x:c>
      <x:c r="AI46" s="36" t="str">
        <x:v>LS500000000002766</x:v>
      </x:c>
      <x:c r="AJ46" s="38" t="str">
        <x:v>{"kw":106,"vin":"LS500000000002766","brand":"VOLVO L + S70 1998","fuel1":"1","fuel2":"0","fuel3":"0","plate":"TEST-2766","is_4wd":"0","gearbox":"M","variant":"LS51","version":"LS5102","fab_code":"VO","group_no":"110012","body_code":"01","eu_category":"M1","vehicle_type":"PB","vehicle_year":1997,"vehicle_class":"I","registration_date":"19970730"}</x:v>
      </x:c>
    </x:row>
    <x:row r="47" ht="18" customHeight="1">
      <x:c r="A47" s="36" t="n">
        <x:v>2767</x:v>
      </x:c>
      <x:c r="B47" s="36" t="str">
        <x:v>normalization-review-passenger-250-v1-rules-20260805T184409855703Z</x:v>
      </x:c>
      <x:c r="C47" s="36" t="n">
        <x:v>46239.78067008102</x:v>
      </x:c>
      <x:c r="D47" s="38" t="str">
        <x:v>"2026-08-05T18:44:09.895308+00:00"</x:v>
      </x:c>
      <x:c r="E47" s="36"/>
      <x:c r="F47" s="36" t="str">
        <x:v>AE</x:v>
      </x:c>
      <x:c r="G47" s="36"/>
      <x:c r="H47" s="36" t="str">
        <x:v>PORSCHE</x:v>
      </x:c>
      <x:c r="I47" s="36"/>
      <x:c r="J47" s="36" t="str">
        <x:v>201910</x:v>
      </x:c>
      <x:c r="K47" s="36" t="n">
        <x:v>1988</x:v>
      </x:c>
      <x:c r="L47" s="36" t="str">
        <x:v>M1</x:v>
      </x:c>
      <x:c r="M47" s="36"/>
      <x:c r="N47" s="36" t="str">
        <x:v>PR</x:v>
      </x:c>
      <x:c r="O47" s="36" t="str">
        <x:v>1</x:v>
      </x:c>
      <x:c r="P47" s="36" t="str">
        <x:v>0</x:v>
      </x:c>
      <x:c r="Q47" s="36" t="str">
        <x:v>0</x:v>
      </x:c>
      <x:c r="R47" s="36"/>
      <x:c r="S47" s="36"/>
      <x:c r="T47" s="36" t="str">
        <x:v>082321</x:v>
      </x:c>
      <x:c r="U47" s="36" t="str">
        <x:v>0</x:v>
      </x:c>
      <x:c r="V47" s="36" t="n">
        <x:v>220</x:v>
      </x:c>
      <x:c r="W47" s="36" t="str">
        <x:v>DR.ING.H.C.F.PORSCHE AG,PORSCHEPLATZ 1,70435 STUTTGART</x:v>
      </x:c>
      <x:c r="X47" s="36" t="str">
        <x:v>718 BOXSTER</x:v>
      </x:c>
      <x:c r="Y47" s="36"/>
      <x:c r="Z47" s="36"/>
      <x:c r="AA47" s="36" t="str">
        <x:v>TEST-2767</x:v>
      </x:c>
      <x:c r="AB47" s="36" t="str">
        <x:v>20200826</x:v>
      </x:c>
      <x:c r="AC47" s="36" t="str">
        <x:v>982</x:v>
      </x:c>
      <x:c r="AD47" s="36" t="str">
        <x:v>KA12</x:v>
      </x:c>
      <x:c r="AE47" s="36" t="str">
        <x:v>I</x:v>
      </x:c>
      <x:c r="AF47" s="36" t="str">
        <x:v>PB</x:v>
      </x:c>
      <x:c r="AG47" s="36" t="n">
        <x:v>2019</x:v>
      </x:c>
      <x:c r="AH47" s="36" t="str">
        <x:v>42</x:v>
      </x:c>
      <x:c r="AI47" s="36" t="str">
        <x:v>WP000000000002767</x:v>
      </x:c>
      <x:c r="AJ47" s="38" t="str">
        <x:v>{"kw":220,"ccm":1988,"vin":"WP000000000002767","brand":"PORSCHE","fuel1":"1","fuel2":"0","fuel3":"0","model":"718 BOXSTER","plate":"TEST-2767","is_4wd":"0","variant":"KA12","version":"42","fab_code":"PR","group_no":"082321","body_code":"AE","type_text":"982","build_month":"201910","eu_category":"M1","manufacturer":"DR.ING.H.C.F.PORSCHE AG,PORSCHEPLATZ 1,70435 STUTTGART","vehicle_type":"PB","vehicle_year":2019,"vehicle_class":"I","registration_date":"20200826"}</x:v>
      </x:c>
    </x:row>
    <x:row r="48" ht="18" customHeight="1">
      <x:c r="A48" s="36" t="n">
        <x:v>2768</x:v>
      </x:c>
      <x:c r="B48" s="36" t="str">
        <x:v>normalization-review-passenger-250-v1-rules-20260805T184409855703Z</x:v>
      </x:c>
      <x:c r="C48" s="36" t="n">
        <x:v>46239.78067008102</x:v>
      </x:c>
      <x:c r="D48" s="38" t="str">
        <x:v>"2026-08-05T18:44:09.895308+00:00"</x:v>
      </x:c>
      <x:c r="E48" s="36"/>
      <x:c r="F48" s="36" t="str">
        <x:v>AC</x:v>
      </x:c>
      <x:c r="G48" s="36"/>
      <x:c r="H48" s="36" t="str">
        <x:v>VOLKSWAGEN, VW</x:v>
      </x:c>
      <x:c r="I48" s="36"/>
      <x:c r="J48" s="36" t="str">
        <x:v>201805</x:v>
      </x:c>
      <x:c r="K48" s="36" t="n">
        <x:v>1395</x:v>
      </x:c>
      <x:c r="L48" s="36" t="str">
        <x:v>M1G</x:v>
      </x:c>
      <x:c r="M48" s="36"/>
      <x:c r="N48" s="36" t="str">
        <x:v>VW</x:v>
      </x:c>
      <x:c r="O48" s="36" t="str">
        <x:v>1</x:v>
      </x:c>
      <x:c r="P48" s="36" t="str">
        <x:v>0</x:v>
      </x:c>
      <x:c r="Q48" s="36" t="str">
        <x:v>0</x:v>
      </x:c>
      <x:c r="R48" s="36"/>
      <x:c r="S48" s="36" t="str">
        <x:v>A</x:v>
      </x:c>
      <x:c r="T48" s="36" t="str">
        <x:v>845017</x:v>
      </x:c>
      <x:c r="U48" s="36" t="str">
        <x:v>1</x:v>
      </x:c>
      <x:c r="V48" s="36" t="n">
        <x:v>110</x:v>
      </x:c>
      <x:c r="W48" s="36"/>
      <x:c r="X48" s="36" t="str">
        <x:v>TIGUAN</x:v>
      </x:c>
      <x:c r="Y48" s="36"/>
      <x:c r="Z48" s="36"/>
      <x:c r="AA48" s="36" t="str">
        <x:v>TEST-2768</x:v>
      </x:c>
      <x:c r="AB48" s="36" t="str">
        <x:v>20180720</x:v>
      </x:c>
      <x:c r="AC48" s="36" t="str">
        <x:v>5N</x:v>
      </x:c>
      <x:c r="AD48" s="36" t="str">
        <x:v>ACCZDAX1</x:v>
      </x:c>
      <x:c r="AE48" s="36" t="str">
        <x:v>I</x:v>
      </x:c>
      <x:c r="AF48" s="36" t="str">
        <x:v>PB</x:v>
      </x:c>
      <x:c r="AG48" s="36" t="n">
        <x:v>2018</x:v>
      </x:c>
      <x:c r="AH48" s="36" t="str">
        <x:v>AD6AD6D9017KN5N4NVR27MM61</x:v>
      </x:c>
      <x:c r="AI48" s="36" t="str">
        <x:v>WVG00000000002768</x:v>
      </x:c>
      <x:c r="AJ48" s="38" t="str">
        <x:v>{"kw":110,"ccm":1395,"vin":"WVG00000000002768","brand":"VOLKSWAGEN, VW","fuel1":"1","fuel2":"0","fuel3":"0","model":"TIGUAN","plate":"TEST-2768","is_4wd":"1","gearbox":"A","variant":"ACCZDAX1","version":"AD6AD6D9017KN5N4NVR27MM61","fab_code":"VW","group_no":"845017","body_code":"AC","type_text":"5N","build_month":"201805","eu_category":"M1G","vehicle_type":"PB","vehicle_year":2018,"vehicle_class":"I","registration_date":"20180720"}</x:v>
      </x:c>
    </x:row>
    <x:row r="49" ht="18" customHeight="1">
      <x:c r="A49" s="36" t="n">
        <x:v>2769</x:v>
      </x:c>
      <x:c r="B49" s="36" t="str">
        <x:v>normalization-review-passenger-250-v1-rules-20260805T184409855703Z</x:v>
      </x:c>
      <x:c r="C49" s="36" t="n">
        <x:v>46239.78067008102</x:v>
      </x:c>
      <x:c r="D49" s="38" t="str">
        <x:v>"2026-08-05T18:44:09.895308+00:00"</x:v>
      </x:c>
      <x:c r="E49" s="36"/>
      <x:c r="F49" s="36" t="str">
        <x:v>AB</x:v>
      </x:c>
      <x:c r="G49" s="36"/>
      <x:c r="H49" s="36" t="str">
        <x:v>HONDA CIVIC 5DR</x:v>
      </x:c>
      <x:c r="I49" s="36"/>
      <x:c r="J49" s="36" t="str">
        <x:v>200801</x:v>
      </x:c>
      <x:c r="K49" s="36" t="n">
        <x:v>1799</x:v>
      </x:c>
      <x:c r="L49" s="36" t="str">
        <x:v>M1</x:v>
      </x:c>
      <x:c r="M49" s="36"/>
      <x:c r="N49" s="36" t="str">
        <x:v>HO</x:v>
      </x:c>
      <x:c r="O49" s="36" t="str">
        <x:v>1</x:v>
      </x:c>
      <x:c r="P49" s="36" t="str">
        <x:v>0</x:v>
      </x:c>
      <x:c r="Q49" s="36" t="str">
        <x:v>0</x:v>
      </x:c>
      <x:c r="R49" s="36"/>
      <x:c r="S49" s="36" t="str">
        <x:v>M</x:v>
      </x:c>
      <x:c r="T49" s="36" t="str">
        <x:v>012768</x:v>
      </x:c>
      <x:c r="U49" s="36" t="str">
        <x:v>0</x:v>
      </x:c>
      <x:c r="V49" s="36" t="n">
        <x:v>103</x:v>
      </x:c>
      <x:c r="W49" s="36"/>
      <x:c r="X49" s="36"/>
      <x:c r="Y49" s="36"/>
      <x:c r="Z49" s="36"/>
      <x:c r="AA49" s="36" t="str">
        <x:v>TEST-2769</x:v>
      </x:c>
      <x:c r="AB49" s="36" t="str">
        <x:v>20080213</x:v>
      </x:c>
      <x:c r="AC49" s="36" t="str">
        <x:v>FK2</x:v>
      </x:c>
      <x:c r="AD49" s="36" t="str">
        <x:v>1</x:v>
      </x:c>
      <x:c r="AE49" s="36" t="str">
        <x:v>I</x:v>
      </x:c>
      <x:c r="AF49" s="36" t="str">
        <x:v>PB</x:v>
      </x:c>
      <x:c r="AG49" s="36" t="n">
        <x:v>2008</x:v>
      </x:c>
      <x:c r="AH49" s="36" t="str">
        <x:v>2</x:v>
      </x:c>
      <x:c r="AI49" s="36" t="str">
        <x:v>SHH00000000002769</x:v>
      </x:c>
      <x:c r="AJ49" s="38" t="str">
        <x:v>{"kw":103,"ccm":1799,"vin":"SHH00000000002769","brand":"HONDA CIVIC 5DR","fuel1":"1","fuel2":"0","fuel3":"0","plate":"TEST-2769","is_4wd":"0","gearbox":"M","variant":"1","version":"2","fab_code":"HO","group_no":"012768","body_code":"AB","type_text":"FK2","build_month":"200801","eu_category":"M1","vehicle_type":"PB","vehicle_year":2008,"vehicle_class":"I","registration_date":"20080213"}</x:v>
      </x:c>
    </x:row>
    <x:row r="50" ht="18" customHeight="1">
      <x:c r="A50" s="36" t="n">
        <x:v>2770</x:v>
      </x:c>
      <x:c r="B50" s="36" t="str">
        <x:v>normalization-review-passenger-250-v1-rules-20260805T184409855703Z</x:v>
      </x:c>
      <x:c r="C50" s="36" t="n">
        <x:v>46239.78067008102</x:v>
      </x:c>
      <x:c r="D50" s="38" t="str">
        <x:v>"2026-08-05T18:44:09.895308+00:00"</x:v>
      </x:c>
      <x:c r="E50" s="36"/>
      <x:c r="F50" s="36" t="str">
        <x:v>AF</x:v>
      </x:c>
      <x:c r="G50" s="36"/>
      <x:c r="H50" s="36" t="str">
        <x:v>JEEP</x:v>
      </x:c>
      <x:c r="I50" s="36" t="str">
        <x:v>20220520</x:v>
      </x:c>
      <x:c r="J50" s="36" t="str">
        <x:v>202205</x:v>
      </x:c>
      <x:c r="K50" s="36" t="n">
        <x:v>1332</x:v>
      </x:c>
      <x:c r="L50" s="36" t="str">
        <x:v>M1G</x:v>
      </x:c>
      <x:c r="M50" s="36" t="str">
        <x:v>LADDHYBRID</x:v>
      </x:c>
      <x:c r="N50" s="36" t="str">
        <x:v>JP</x:v>
      </x:c>
      <x:c r="O50" s="36" t="str">
        <x:v>1</x:v>
      </x:c>
      <x:c r="P50" s="36" t="str">
        <x:v>3</x:v>
      </x:c>
      <x:c r="Q50" s="36" t="str">
        <x:v>0</x:v>
      </x:c>
      <x:c r="R50" s="36"/>
      <x:c r="S50" s="36" t="str">
        <x:v>A</x:v>
      </x:c>
      <x:c r="T50" s="36" t="str">
        <x:v>689023</x:v>
      </x:c>
      <x:c r="U50" s="36" t="str">
        <x:v>1</x:v>
      </x:c>
      <x:c r="V50" s="36" t="n">
        <x:v>132</x:v>
      </x:c>
      <x:c r="W50" s="36" t="str">
        <x:v>FCA ITALY S.P.A.</x:v>
      </x:c>
      <x:c r="X50" s="36" t="str">
        <x:v>COMPASS</x:v>
      </x:c>
      <x:c r="Y50" s="36"/>
      <x:c r="Z50" s="36"/>
      <x:c r="AA50" s="36" t="str">
        <x:v>TEST-2770</x:v>
      </x:c>
      <x:c r="AB50" s="36" t="str">
        <x:v>20230511</x:v>
      </x:c>
      <x:c r="AC50" s="36" t="str">
        <x:v>MP</x:v>
      </x:c>
      <x:c r="AD50" s="36" t="str">
        <x:v>JHPFP</x:v>
      </x:c>
      <x:c r="AE50" s="36" t="str">
        <x:v>I</x:v>
      </x:c>
      <x:c r="AF50" s="36" t="str">
        <x:v>PB</x:v>
      </x:c>
      <x:c r="AG50" s="36" t="n">
        <x:v>2022</x:v>
      </x:c>
      <x:c r="AH50" s="36" t="str">
        <x:v>MN1BBH1</x:v>
      </x:c>
      <x:c r="AI50" s="36" t="str">
        <x:v>ZAC00000000002770</x:v>
      </x:c>
      <x:c r="AJ50" s="38" t="str">
        <x:v>{"kw":132,"ccm":1332,"vin":"ZAC00000000002770","brand":"JEEP","fuel1":"1","fuel2":"3","fuel3":"0","model":"COMPASS","plate":"TEST-2770","is_4wd":"1","gearbox":"A","variant":"JHPFP","version":"MN1BBH1","fab_code":"JP","group_no":"689023","body_code":"AF","ev_config":"LADDHYBRID","type_text":"MP","build_date":"20220520","build_month":"202205","eu_category":"M1G","manufacturer":"FCA ITALY S.P.A.","vehicle_type":"PB","vehicle_year":2022,"vehicle_class":"I","registration_date":"20230511"}</x:v>
      </x:c>
    </x:row>
    <x:row r="51" ht="18" customHeight="1">
      <x:c r="A51" s="36" t="n">
        <x:v>2771</x:v>
      </x:c>
      <x:c r="B51" s="36" t="str">
        <x:v>normalization-review-passenger-250-v1-rules-20260805T184409855703Z</x:v>
      </x:c>
      <x:c r="C51" s="36" t="n">
        <x:v>46239.78067008102</x:v>
      </x:c>
      <x:c r="D51" s="38" t="str">
        <x:v>"2026-08-05T18:44:09.895308+00:00"</x:v>
      </x:c>
      <x:c r="E51" s="36"/>
      <x:c r="F51" s="36" t="str">
        <x:v>AA</x:v>
      </x:c>
      <x:c r="G51" s="36"/>
      <x:c r="H51" s="36" t="str">
        <x:v>AUDI A4 2.0TS QUATTRO</x:v>
      </x:c>
      <x:c r="I51" s="36"/>
      <x:c r="J51" s="36" t="str">
        <x:v>200607</x:v>
      </x:c>
      <x:c r="K51" s="36" t="n">
        <x:v>1984</x:v>
      </x:c>
      <x:c r="L51" s="36" t="str">
        <x:v>M1</x:v>
      </x:c>
      <x:c r="M51" s="36"/>
      <x:c r="N51" s="36" t="str">
        <x:v>AU</x:v>
      </x:c>
      <x:c r="O51" s="36" t="str">
        <x:v>1</x:v>
      </x:c>
      <x:c r="P51" s="36" t="str">
        <x:v>0</x:v>
      </x:c>
      <x:c r="Q51" s="36" t="str">
        <x:v>0</x:v>
      </x:c>
      <x:c r="R51" s="36"/>
      <x:c r="S51" s="36" t="str">
        <x:v>M</x:v>
      </x:c>
      <x:c r="T51" s="36" t="str">
        <x:v>047019</x:v>
      </x:c>
      <x:c r="U51" s="36" t="str">
        <x:v>1</x:v>
      </x:c>
      <x:c r="V51" s="36" t="n">
        <x:v>162</x:v>
      </x:c>
      <x:c r="W51" s="36"/>
      <x:c r="X51" s="36"/>
      <x:c r="Y51" s="36"/>
      <x:c r="Z51" s="36"/>
      <x:c r="AA51" s="36" t="str">
        <x:v>TEST-2771</x:v>
      </x:c>
      <x:c r="AB51" s="36" t="str">
        <x:v>20060825</x:v>
      </x:c>
      <x:c r="AC51" s="36" t="str">
        <x:v>QB6</x:v>
      </x:c>
      <x:c r="AD51" s="36" t="str">
        <x:v>LBULQ1</x:v>
      </x:c>
      <x:c r="AE51" s="36" t="str">
        <x:v>I</x:v>
      </x:c>
      <x:c r="AF51" s="36" t="str">
        <x:v>PB</x:v>
      </x:c>
      <x:c r="AG51" s="36" t="n">
        <x:v>2006</x:v>
      </x:c>
      <x:c r="AH51" s="36" t="str">
        <x:v>QM6XD0R8E71</x:v>
      </x:c>
      <x:c r="AI51" s="36" t="str">
        <x:v>WUA00000000002771</x:v>
      </x:c>
      <x:c r="AJ51" s="38" t="str">
        <x:v>{"kw":162,"ccm":1984,"vin":"WUA00000000002771","brand":"AUDI A4 2.0TS QUATTRO","fuel1":"1","fuel2":"0","fuel3":"0","plate":"TEST-2771","is_4wd":"1","gearbox":"M","variant":"LBULQ1","version":"QM6XD0R8E71","fab_code":"AU","group_no":"047019","body_code":"AA","type_text":"QB6","build_month":"200607","eu_category":"M1","vehicle_type":"PB","vehicle_year":2006,"vehicle_class":"I","registration_date":"20060825"}</x:v>
      </x:c>
    </x:row>
    <x:row r="52" ht="18" customHeight="1">
      <x:c r="A52" s="36" t="n">
        <x:v>2772</x:v>
      </x:c>
      <x:c r="B52" s="36" t="str">
        <x:v>normalization-review-passenger-250-v1-rules-20260805T184409855703Z</x:v>
      </x:c>
      <x:c r="C52" s="36" t="n">
        <x:v>46239.78067008102</x:v>
      </x:c>
      <x:c r="D52" s="38" t="str">
        <x:v>"2026-08-05T18:44:09.895308+00:00"</x:v>
      </x:c>
      <x:c r="E52" s="36"/>
      <x:c r="F52" s="36" t="str">
        <x:v>03</x:v>
      </x:c>
      <x:c r="G52" s="36"/>
      <x:c r="H52" s="36" t="str">
        <x:v>VOLVO 945-811 S 2.3</x:v>
      </x:c>
      <x:c r="I52" s="36"/>
      <x:c r="J52" s="36"/>
      <x:c r="K52" s="36"/>
      <x:c r="L52" s="36" t="str">
        <x:v>M1</x:v>
      </x:c>
      <x:c r="M52" s="36"/>
      <x:c r="N52" s="36" t="str">
        <x:v>VO</x:v>
      </x:c>
      <x:c r="O52" s="36" t="str">
        <x:v>1</x:v>
      </x:c>
      <x:c r="P52" s="36" t="str">
        <x:v>0</x:v>
      </x:c>
      <x:c r="Q52" s="36" t="str">
        <x:v>0</x:v>
      </x:c>
      <x:c r="R52" s="36"/>
      <x:c r="S52" s="36" t="str">
        <x:v>M</x:v>
      </x:c>
      <x:c r="T52" s="36" t="str">
        <x:v>005671</x:v>
      </x:c>
      <x:c r="U52" s="36" t="str">
        <x:v>0</x:v>
      </x:c>
      <x:c r="V52" s="36" t="n">
        <x:v>99</x:v>
      </x:c>
      <x:c r="W52" s="36"/>
      <x:c r="X52" s="36"/>
      <x:c r="Y52" s="36" t="str">
        <x:v>005671</x:v>
      </x:c>
      <x:c r="Z52" s="36" t="n">
        <x:v>1996</x:v>
      </x:c>
      <x:c r="AA52" s="36" t="str">
        <x:v>TEST-2772</x:v>
      </x:c>
      <x:c r="AB52" s="36" t="str">
        <x:v>19950809</x:v>
      </x:c>
      <x:c r="AC52" s="36"/>
      <x:c r="AD52" s="36"/>
      <x:c r="AE52" s="36" t="str">
        <x:v>I</x:v>
      </x:c>
      <x:c r="AF52" s="36" t="str">
        <x:v>PB</x:v>
      </x:c>
      <x:c r="AG52" s="36" t="n">
        <x:v>1996</x:v>
      </x:c>
      <x:c r="AH52" s="36"/>
      <x:c r="AI52" s="36" t="str">
        <x:v>94500000000002772</x:v>
      </x:c>
      <x:c r="AJ52" s="38" t="str">
        <x:v>{"kw":99,"vin":"94500000000002772","brand":"VOLVO 945-811 S 2.3","fuel1":"1","fuel2":"0","fuel3":"0","plate":"TEST-2772","is_4wd":"0","gearbox":"M","fab_code":"VO","group_no":"005671","model_no":"005671","body_code":"03","model_year":1996,"eu_category":"M1","vehicle_type":"PB","vehicle_year":1996,"vehicle_class":"I","registration_date":"19950809"}</x:v>
      </x:c>
    </x:row>
    <x:row r="53" ht="18" customHeight="1">
      <x:c r="A53" s="36" t="n">
        <x:v>2773</x:v>
      </x:c>
      <x:c r="B53" s="36" t="str">
        <x:v>normalization-review-passenger-250-v1-rules-20260805T184409855703Z</x:v>
      </x:c>
      <x:c r="C53" s="36" t="n">
        <x:v>46239.78067008102</x:v>
      </x:c>
      <x:c r="D53" s="38" t="str">
        <x:v>"2026-08-05T18:44:09.895308+00:00"</x:v>
      </x:c>
      <x:c r="E53" s="36"/>
      <x:c r="F53" s="36" t="str">
        <x:v>01</x:v>
      </x:c>
      <x:c r="G53" s="36"/>
      <x:c r="H53" s="36" t="str">
        <x:v>AUDI A3 1,8T</x:v>
      </x:c>
      <x:c r="I53" s="36"/>
      <x:c r="J53" s="36"/>
      <x:c r="K53" s="36"/>
      <x:c r="L53" s="36" t="str">
        <x:v>M1</x:v>
      </x:c>
      <x:c r="M53" s="36"/>
      <x:c r="N53" s="36" t="str">
        <x:v>AU</x:v>
      </x:c>
      <x:c r="O53" s="36" t="str">
        <x:v>1</x:v>
      </x:c>
      <x:c r="P53" s="36" t="str">
        <x:v>0</x:v>
      </x:c>
      <x:c r="Q53" s="36" t="str">
        <x:v>0</x:v>
      </x:c>
      <x:c r="R53" s="36"/>
      <x:c r="S53" s="36" t="str">
        <x:v>M</x:v>
      </x:c>
      <x:c r="T53" s="36" t="str">
        <x:v>038007</x:v>
      </x:c>
      <x:c r="U53" s="36" t="str">
        <x:v>0</x:v>
      </x:c>
      <x:c r="V53" s="36" t="n">
        <x:v>110</x:v>
      </x:c>
      <x:c r="W53" s="36"/>
      <x:c r="X53" s="36"/>
      <x:c r="Y53" s="36"/>
      <x:c r="Z53" s="36"/>
      <x:c r="AA53" s="36" t="str">
        <x:v>TEST-2773</x:v>
      </x:c>
      <x:c r="AB53" s="36" t="str">
        <x:v>19980626</x:v>
      </x:c>
      <x:c r="AC53" s="36"/>
      <x:c r="AD53" s="36" t="str">
        <x:v>LAGUF1</x:v>
      </x:c>
      <x:c r="AE53" s="36" t="str">
        <x:v>I</x:v>
      </x:c>
      <x:c r="AF53" s="36" t="str">
        <x:v>PB</x:v>
      </x:c>
      <x:c r="AG53" s="36" t="n">
        <x:v>1998</x:v>
      </x:c>
      <x:c r="AH53" s="36" t="str">
        <x:v>FM52J013R92M</x:v>
      </x:c>
      <x:c r="AI53" s="36" t="str">
        <x:v>ZZZ00000000002773</x:v>
      </x:c>
      <x:c r="AJ53" s="38" t="str">
        <x:v>{"kw":110,"vin":"ZZZ00000000002773","brand":"AUDI A3 1,8T","fuel1":"1","fuel2":"0","fuel3":"0","plate":"TEST-2773","is_4wd":"0","gearbox":"M","variant":"LAGUF1","version":"FM52J013R92M","fab_code":"AU","group_no":"038007","body_code":"01","eu_category":"M1","vehicle_type":"PB","vehicle_year":1998,"vehicle_class":"I","registration_date":"19980626"}</x:v>
      </x:c>
    </x:row>
    <x:row r="54" ht="18" customHeight="1">
      <x:c r="A54" s="36" t="n">
        <x:v>2774</x:v>
      </x:c>
      <x:c r="B54" s="36" t="str">
        <x:v>normalization-review-passenger-250-v1-rules-20260805T184409855703Z</x:v>
      </x:c>
      <x:c r="C54" s="36" t="n">
        <x:v>46239.78067008102</x:v>
      </x:c>
      <x:c r="D54" s="38" t="str">
        <x:v>"2026-08-05T18:44:09.895308+00:00"</x:v>
      </x:c>
      <x:c r="E54" s="36"/>
      <x:c r="F54" s="36" t="str">
        <x:v>03</x:v>
      </x:c>
      <x:c r="G54" s="36"/>
      <x:c r="H54" s="36" t="str">
        <x:v>AUDI A6 AVANT 1,8T</x:v>
      </x:c>
      <x:c r="I54" s="36"/>
      <x:c r="J54" s="36"/>
      <x:c r="K54" s="36"/>
      <x:c r="L54" s="36" t="str">
        <x:v>M1</x:v>
      </x:c>
      <x:c r="M54" s="36"/>
      <x:c r="N54" s="36" t="str">
        <x:v>AU</x:v>
      </x:c>
      <x:c r="O54" s="36" t="str">
        <x:v>1</x:v>
      </x:c>
      <x:c r="P54" s="36" t="str">
        <x:v>0</x:v>
      </x:c>
      <x:c r="Q54" s="36" t="str">
        <x:v>0</x:v>
      </x:c>
      <x:c r="R54" s="36"/>
      <x:c r="S54" s="36" t="str">
        <x:v>M</x:v>
      </x:c>
      <x:c r="T54" s="36" t="str">
        <x:v>069029</x:v>
      </x:c>
      <x:c r="U54" s="36" t="str">
        <x:v>0</x:v>
      </x:c>
      <x:c r="V54" s="36" t="n">
        <x:v>110</x:v>
      </x:c>
      <x:c r="W54" s="36"/>
      <x:c r="X54" s="36"/>
      <x:c r="Y54" s="36"/>
      <x:c r="Z54" s="36"/>
      <x:c r="AA54" s="36" t="str">
        <x:v>TEST-2774</x:v>
      </x:c>
      <x:c r="AB54" s="36" t="str">
        <x:v>19981216</x:v>
      </x:c>
      <x:c r="AC54" s="36"/>
      <x:c r="AD54" s="36" t="str">
        <x:v>AAEBF1</x:v>
      </x:c>
      <x:c r="AE54" s="36" t="str">
        <x:v>I</x:v>
      </x:c>
      <x:c r="AF54" s="36" t="str">
        <x:v>PB</x:v>
      </x:c>
      <x:c r="AG54" s="36" t="n">
        <x:v>1998</x:v>
      </x:c>
      <x:c r="AH54" s="36" t="str">
        <x:v>FM52CQR92O</x:v>
      </x:c>
      <x:c r="AI54" s="36" t="str">
        <x:v>ZZZ00000000002774</x:v>
      </x:c>
      <x:c r="AJ54" s="38" t="str">
        <x:v>{"kw":110,"vin":"ZZZ00000000002774","brand":"AUDI A6 AVANT 1,8T","fuel1":"1","fuel2":"0","fuel3":"0","plate":"TEST-2774","is_4wd":"0","gearbox":"M","variant":"AAEBF1","version":"FM52CQR92O","fab_code":"AU","group_no":"069029","body_code":"03","eu_category":"M1","vehicle_type":"PB","vehicle_year":1998,"vehicle_class":"I","registration_date":"19981216"}</x:v>
      </x:c>
    </x:row>
    <x:row r="55" ht="18" customHeight="1">
      <x:c r="A55" s="36" t="n">
        <x:v>2775</x:v>
      </x:c>
      <x:c r="B55" s="36" t="str">
        <x:v>normalization-review-passenger-250-v1-rules-20260805T184409855703Z</x:v>
      </x:c>
      <x:c r="C55" s="36" t="n">
        <x:v>46239.78067008102</x:v>
      </x:c>
      <x:c r="D55" s="38" t="str">
        <x:v>"2026-08-05T18:44:09.895308+00:00"</x:v>
      </x:c>
      <x:c r="E55" s="36"/>
      <x:c r="F55" s="36" t="str">
        <x:v>AC</x:v>
      </x:c>
      <x:c r="G55" s="36"/>
      <x:c r="H55" s="36" t="str">
        <x:v>VOLVO</x:v>
      </x:c>
      <x:c r="I55" s="36"/>
      <x:c r="J55" s="36" t="str">
        <x:v>202008</x:v>
      </x:c>
      <x:c r="K55" s="36" t="n">
        <x:v>1969</x:v>
      </x:c>
      <x:c r="L55" s="36" t="str">
        <x:v>M1G</x:v>
      </x:c>
      <x:c r="M55" s="36" t="str">
        <x:v>LADDHYBRID</x:v>
      </x:c>
      <x:c r="N55" s="36" t="str">
        <x:v>VO</x:v>
      </x:c>
      <x:c r="O55" s="36" t="str">
        <x:v>1</x:v>
      </x:c>
      <x:c r="P55" s="36" t="str">
        <x:v>3</x:v>
      </x:c>
      <x:c r="Q55" s="36" t="str">
        <x:v>0</x:v>
      </x:c>
      <x:c r="R55" s="36"/>
      <x:c r="S55" s="36" t="str">
        <x:v>A</x:v>
      </x:c>
      <x:c r="T55" s="36" t="str">
        <x:v>021903</x:v>
      </x:c>
      <x:c r="U55" s="36" t="str">
        <x:v>1</x:v>
      </x:c>
      <x:c r="V55" s="36" t="n">
        <x:v>186</x:v>
      </x:c>
      <x:c r="W55" s="36" t="str">
        <x:v>VOLVO PERSONVAGNAR AB</x:v>
      </x:c>
      <x:c r="X55" s="36" t="str">
        <x:v>XC60</x:v>
      </x:c>
      <x:c r="Y55" s="36"/>
      <x:c r="Z55" s="36"/>
      <x:c r="AA55" s="36" t="str">
        <x:v>TEST-2775</x:v>
      </x:c>
      <x:c r="AB55" s="36" t="str">
        <x:v>20201012</x:v>
      </x:c>
      <x:c r="AC55" s="36" t="str">
        <x:v>U</x:v>
      </x:c>
      <x:c r="AD55" s="36" t="str">
        <x:v>UZBF</x:v>
      </x:c>
      <x:c r="AE55" s="36" t="str">
        <x:v>I</x:v>
      </x:c>
      <x:c r="AF55" s="36" t="str">
        <x:v>PB</x:v>
      </x:c>
      <x:c r="AG55" s="36" t="n">
        <x:v>2020</x:v>
      </x:c>
      <x:c r="AH55" s="36" t="str">
        <x:v>UZBFVD0?</x:v>
      </x:c>
      <x:c r="AI55" s="36" t="str">
        <x:v>LYV00000000002775</x:v>
      </x:c>
      <x:c r="AJ55" s="38" t="str">
        <x:v>{"kw":186,"ccm":1969,"vin":"LYV00000000002775","brand":"VOLVO","fuel1":"1","fuel2":"3","fuel3":"0","model":"XC60","plate":"TEST-2775","is_4wd":"1","gearbox":"A","variant":"UZBF","version":"UZBFVD0?","fab_code":"VO","group_no":"021903","body_code":"AC","ev_config":"LADDHYBRID","type_text":"U","build_month":"202008","eu_category":"M1G","manufacturer":"VOLVO PERSONVAGNAR AB","vehicle_type":"PB","vehicle_year":2020,"vehicle_class":"I","registration_date":"20201012"}</x:v>
      </x:c>
    </x:row>
    <x:row r="56" ht="18" customHeight="1">
      <x:c r="A56" s="36" t="n">
        <x:v>2776</x:v>
      </x:c>
      <x:c r="B56" s="36" t="str">
        <x:v>normalization-review-passenger-250-v1-rules-20260805T184409855703Z</x:v>
      </x:c>
      <x:c r="C56" s="36" t="n">
        <x:v>46239.78067008102</x:v>
      </x:c>
      <x:c r="D56" s="38" t="str">
        <x:v>"2026-08-05T18:44:09.895308+00:00"</x:v>
      </x:c>
      <x:c r="E56" s="36"/>
      <x:c r="F56" s="36" t="str">
        <x:v>AC</x:v>
      </x:c>
      <x:c r="G56" s="36"/>
      <x:c r="H56" s="36" t="str">
        <x:v>VOLKSWAGEN, VW  3C</x:v>
      </x:c>
      <x:c r="I56" s="36"/>
      <x:c r="J56" s="36" t="str">
        <x:v>201112</x:v>
      </x:c>
      <x:c r="K56" s="36" t="n">
        <x:v>1968</x:v>
      </x:c>
      <x:c r="L56" s="36" t="str">
        <x:v>M1</x:v>
      </x:c>
      <x:c r="M56" s="36"/>
      <x:c r="N56" s="36" t="str">
        <x:v>VW</x:v>
      </x:c>
      <x:c r="O56" s="36" t="str">
        <x:v>2</x:v>
      </x:c>
      <x:c r="P56" s="36" t="str">
        <x:v>0</x:v>
      </x:c>
      <x:c r="Q56" s="36" t="str">
        <x:v>0</x:v>
      </x:c>
      <x:c r="R56" s="36"/>
      <x:c r="S56" s="36" t="str">
        <x:v>M</x:v>
      </x:c>
      <x:c r="T56" s="36" t="str">
        <x:v>822006</x:v>
      </x:c>
      <x:c r="U56" s="36" t="str">
        <x:v>0</x:v>
      </x:c>
      <x:c r="V56" s="36" t="n">
        <x:v>103</x:v>
      </x:c>
      <x:c r="W56" s="36"/>
      <x:c r="X56" s="36" t="str">
        <x:v>PASSAT</x:v>
      </x:c>
      <x:c r="Y56" s="36"/>
      <x:c r="Z56" s="36"/>
      <x:c r="AA56" s="36" t="str">
        <x:v>TEST-2776</x:v>
      </x:c>
      <x:c r="AB56" s="36" t="str">
        <x:v>20120112</x:v>
      </x:c>
      <x:c r="AC56" s="36" t="str">
        <x:v>3C</x:v>
      </x:c>
      <x:c r="AD56" s="36" t="str">
        <x:v>ACCFFBX0</x:v>
      </x:c>
      <x:c r="AE56" s="36" t="str">
        <x:v>I</x:v>
      </x:c>
      <x:c r="AF56" s="36" t="str">
        <x:v>PB</x:v>
      </x:c>
      <x:c r="AG56" s="36" t="n">
        <x:v>2011</x:v>
      </x:c>
      <x:c r="AH56" s="36" t="str">
        <x:v>FM6FM62Q025STP07MQSNVR2O</x:v>
      </x:c>
      <x:c r="AI56" s="36" t="str">
        <x:v>WVW00000000002776</x:v>
      </x:c>
      <x:c r="AJ56" s="38" t="str">
        <x:v>{"kw":103,"ccm":1968,"vin":"WVW00000000002776","brand":"VOLKSWAGEN, VW  3C","fuel1":"2","fuel2":"0","fuel3":"0","model":"PASSAT","plate":"TEST-2776","is_4wd":"0","gearbox":"M","variant":"ACCFFBX0","version":"FM6FM62Q025STP07MQSNVR2O","fab_code":"VW","group_no":"822006","body_code":"AC","type_text":"3C","build_month":"201112","eu_category":"M1","vehicle_type":"PB","vehicle_year":2011,"vehicle_class":"I","registration_date":"20120112"}</x:v>
      </x:c>
    </x:row>
    <x:row r="57" ht="18" customHeight="1">
      <x:c r="A57" s="36" t="n">
        <x:v>2777</x:v>
      </x:c>
      <x:c r="B57" s="36" t="str">
        <x:v>normalization-review-passenger-250-v1-rules-20260805T184409855703Z</x:v>
      </x:c>
      <x:c r="C57" s="36" t="n">
        <x:v>46239.78067008102</x:v>
      </x:c>
      <x:c r="D57" s="38" t="str">
        <x:v>"2026-08-05T18:44:09.895308+00:00"</x:v>
      </x:c>
      <x:c r="E57" s="36"/>
      <x:c r="F57" s="36" t="str">
        <x:v>AC</x:v>
      </x:c>
      <x:c r="G57" s="36"/>
      <x:c r="H57" s="36" t="str">
        <x:v>VOLVO M + V50</x:v>
      </x:c>
      <x:c r="I57" s="36"/>
      <x:c r="J57" s="36" t="str">
        <x:v>200801</x:v>
      </x:c>
      <x:c r="K57" s="36" t="n">
        <x:v>2521</x:v>
      </x:c>
      <x:c r="L57" s="36" t="str">
        <x:v>M1</x:v>
      </x:c>
      <x:c r="M57" s="36"/>
      <x:c r="N57" s="36" t="str">
        <x:v>VO</x:v>
      </x:c>
      <x:c r="O57" s="36" t="str">
        <x:v>1</x:v>
      </x:c>
      <x:c r="P57" s="36" t="str">
        <x:v>0</x:v>
      </x:c>
      <x:c r="Q57" s="36" t="str">
        <x:v>0</x:v>
      </x:c>
      <x:c r="R57" s="36"/>
      <x:c r="S57" s="36" t="str">
        <x:v>M</x:v>
      </x:c>
      <x:c r="T57" s="36" t="str">
        <x:v>850056</x:v>
      </x:c>
      <x:c r="U57" s="36" t="str">
        <x:v>0</x:v>
      </x:c>
      <x:c r="V57" s="36" t="n">
        <x:v>169</x:v>
      </x:c>
      <x:c r="W57" s="36"/>
      <x:c r="X57" s="36"/>
      <x:c r="Y57" s="36"/>
      <x:c r="Z57" s="36"/>
      <x:c r="AA57" s="36" t="str">
        <x:v>TEST-2777</x:v>
      </x:c>
      <x:c r="AB57" s="36" t="str">
        <x:v>20080212</x:v>
      </x:c>
      <x:c r="AC57" s="36" t="str">
        <x:v>M</x:v>
      </x:c>
      <x:c r="AD57" s="36" t="str">
        <x:v>MW67</x:v>
      </x:c>
      <x:c r="AE57" s="36" t="str">
        <x:v>I</x:v>
      </x:c>
      <x:c r="AF57" s="36" t="str">
        <x:v>PB</x:v>
      </x:c>
      <x:c r="AG57" s="36" t="n">
        <x:v>2008</x:v>
      </x:c>
      <x:c r="AH57" s="36" t="str">
        <x:v>MW6751??</x:v>
      </x:c>
      <x:c r="AI57" s="36" t="str">
        <x:v>YV100000000002777</x:v>
      </x:c>
      <x:c r="AJ57" s="38" t="str">
        <x:v>{"kw":169,"ccm":2521,"vin":"YV100000000002777","brand":"VOLVO M + V50","fuel1":"1","fuel2":"0","fuel3":"0","plate":"TEST-2777","is_4wd":"0","gearbox":"M","variant":"MW67","version":"MW6751??","fab_code":"VO","group_no":"850056","body_code":"AC","type_text":"M","build_month":"200801","eu_category":"M1","vehicle_type":"PB","vehicle_year":2008,"vehicle_class":"I","registration_date":"20080212"}</x:v>
      </x:c>
    </x:row>
    <x:row r="58" ht="18" customHeight="1">
      <x:c r="A58" s="36" t="n">
        <x:v>2778</x:v>
      </x:c>
      <x:c r="B58" s="36" t="str">
        <x:v>normalization-review-passenger-250-v1-rules-20260805T184409855703Z</x:v>
      </x:c>
      <x:c r="C58" s="36" t="n">
        <x:v>46239.78067008102</x:v>
      </x:c>
      <x:c r="D58" s="38" t="str">
        <x:v>"2026-08-05T18:44:09.895308+00:00"</x:v>
      </x:c>
      <x:c r="E58" s="36"/>
      <x:c r="F58" s="36" t="str">
        <x:v>02</x:v>
      </x:c>
      <x:c r="G58" s="36"/>
      <x:c r="H58" s="36" t="str">
        <x:v>LINCOLN CONTINENTAL</x:v>
      </x:c>
      <x:c r="I58" s="36"/>
      <x:c r="J58" s="36"/>
      <x:c r="K58" s="36"/>
      <x:c r="L58" s="36" t="str">
        <x:v>M1</x:v>
      </x:c>
      <x:c r="M58" s="36"/>
      <x:c r="N58" s="36" t="str">
        <x:v>LI</x:v>
      </x:c>
      <x:c r="O58" s="36" t="str">
        <x:v>1</x:v>
      </x:c>
      <x:c r="P58" s="36" t="str">
        <x:v>0</x:v>
      </x:c>
      <x:c r="Q58" s="36" t="str">
        <x:v>0</x:v>
      </x:c>
      <x:c r="R58" s="36"/>
      <x:c r="S58" s="36" t="str">
        <x:v>A</x:v>
      </x:c>
      <x:c r="T58" s="36"/>
      <x:c r="U58" s="36" t="str">
        <x:v>0</x:v>
      </x:c>
      <x:c r="V58" s="36" t="n">
        <x:v>250</x:v>
      </x:c>
      <x:c r="W58" s="36"/>
      <x:c r="X58" s="36"/>
      <x:c r="Y58" s="36"/>
      <x:c r="Z58" s="36" t="n">
        <x:v>1966</x:v>
      </x:c>
      <x:c r="AA58" s="36" t="str">
        <x:v>TEST-2778</x:v>
      </x:c>
      <x:c r="AB58" s="36" t="str">
        <x:v>20080822</x:v>
      </x:c>
      <x:c r="AC58" s="36"/>
      <x:c r="AD58" s="36"/>
      <x:c r="AE58" s="36" t="str">
        <x:v>I</x:v>
      </x:c>
      <x:c r="AF58" s="36" t="str">
        <x:v>PB</x:v>
      </x:c>
      <x:c r="AG58" s="36" t="n">
        <x:v>1966</x:v>
      </x:c>
      <x:c r="AH58" s="36"/>
      <x:c r="AI58" s="36" t="str">
        <x:v>6Y800000000002778</x:v>
      </x:c>
      <x:c r="AJ58" s="38" t="str">
        <x:v>{"kw":250,"vin":"6Y800000000002778","brand":"LINCOLN CONTINENTAL","fuel1":"1","fuel2":"0","fuel3":"0","plate":"TEST-2778","is_4wd":"0","gearbox":"A","fab_code":"LI","body_code":"02","model_year":1966,"eu_category":"M1","vehicle_type":"PB","vehicle_year":1966,"vehicle_class":"I","registration_date":"20080822"}</x:v>
      </x:c>
    </x:row>
    <x:row r="59" ht="18" customHeight="1">
      <x:c r="A59" s="36" t="n">
        <x:v>2779</x:v>
      </x:c>
      <x:c r="B59" s="36" t="str">
        <x:v>normalization-review-passenger-250-v1-rules-20260805T184409855703Z</x:v>
      </x:c>
      <x:c r="C59" s="36" t="n">
        <x:v>46239.78067008102</x:v>
      </x:c>
      <x:c r="D59" s="38" t="str">
        <x:v>"2026-08-05T18:44:09.895308+00:00"</x:v>
      </x:c>
      <x:c r="E59" s="36"/>
      <x:c r="F59" s="36" t="str">
        <x:v>AF</x:v>
      </x:c>
      <x:c r="G59" s="36"/>
      <x:c r="H59" s="36" t="str">
        <x:v>NISSAN</x:v>
      </x:c>
      <x:c r="I59" s="36"/>
      <x:c r="J59" s="36" t="str">
        <x:v>201506</x:v>
      </x:c>
      <x:c r="K59" s="36" t="n">
        <x:v>1197</x:v>
      </x:c>
      <x:c r="L59" s="36" t="str">
        <x:v>M1</x:v>
      </x:c>
      <x:c r="M59" s="36"/>
      <x:c r="N59" s="36" t="str">
        <x:v>NA</x:v>
      </x:c>
      <x:c r="O59" s="36" t="str">
        <x:v>1</x:v>
      </x:c>
      <x:c r="P59" s="36" t="str">
        <x:v>0</x:v>
      </x:c>
      <x:c r="Q59" s="36" t="str">
        <x:v>0</x:v>
      </x:c>
      <x:c r="R59" s="36"/>
      <x:c r="S59" s="36" t="str">
        <x:v>M</x:v>
      </x:c>
      <x:c r="T59" s="36" t="str">
        <x:v>011106</x:v>
      </x:c>
      <x:c r="U59" s="36" t="str">
        <x:v>0</x:v>
      </x:c>
      <x:c r="V59" s="36" t="n">
        <x:v>85</x:v>
      </x:c>
      <x:c r="W59" s="36"/>
      <x:c r="X59" s="36" t="str">
        <x:v>NISSAN PULSAR</x:v>
      </x:c>
      <x:c r="Y59" s="36"/>
      <x:c r="Z59" s="36"/>
      <x:c r="AA59" s="36" t="str">
        <x:v>TEST-2779</x:v>
      </x:c>
      <x:c r="AB59" s="36" t="str">
        <x:v>20160212</x:v>
      </x:c>
      <x:c r="AC59" s="36" t="str">
        <x:v>C13</x:v>
      </x:c>
      <x:c r="AD59" s="36" t="str">
        <x:v>B</x:v>
      </x:c>
      <x:c r="AE59" s="36" t="str">
        <x:v>I</x:v>
      </x:c>
      <x:c r="AF59" s="36" t="str">
        <x:v>PB</x:v>
      </x:c>
      <x:c r="AG59" s="36" t="n">
        <x:v>2015</x:v>
      </x:c>
      <x:c r="AH59" s="36" t="str">
        <x:v>B03</x:v>
      </x:c>
      <x:c r="AI59" s="36" t="str">
        <x:v>VSK00000000002779</x:v>
      </x:c>
      <x:c r="AJ59" s="38" t="str">
        <x:v>{"kw":85,"ccm":1197,"vin":"VSK00000000002779","brand":"NISSAN","fuel1":"1","fuel2":"0","fuel3":"0","model":"NISSAN PULSAR","plate":"TEST-2779","is_4wd":"0","gearbox":"M","variant":"B","version":"B03","fab_code":"NA","group_no":"011106","body_code":"AF","type_text":"C13","build_month":"201506","eu_category":"M1","vehicle_type":"PB","vehicle_year":2015,"vehicle_class":"I","registration_date":"20160212"}</x:v>
      </x:c>
    </x:row>
    <x:row r="60" ht="18" customHeight="1">
      <x:c r="A60" s="36" t="n">
        <x:v>2780</x:v>
      </x:c>
      <x:c r="B60" s="36" t="str">
        <x:v>normalization-review-passenger-250-v1-rules-20260805T184409855703Z</x:v>
      </x:c>
      <x:c r="C60" s="36" t="n">
        <x:v>46239.78067008102</x:v>
      </x:c>
      <x:c r="D60" s="38" t="str">
        <x:v>"2026-08-05T18:44:09.895308+00:00"</x:v>
      </x:c>
      <x:c r="E60" s="36"/>
      <x:c r="F60" s="36" t="str">
        <x:v>AB</x:v>
      </x:c>
      <x:c r="G60" s="36"/>
      <x:c r="H60" s="36" t="str">
        <x:v>AUDI</x:v>
      </x:c>
      <x:c r="I60" s="36"/>
      <x:c r="J60" s="36" t="str">
        <x:v>201908</x:v>
      </x:c>
      <x:c r="K60" s="36" t="n">
        <x:v>1498</x:v>
      </x:c>
      <x:c r="L60" s="36" t="str">
        <x:v>M1</x:v>
      </x:c>
      <x:c r="M60" s="36"/>
      <x:c r="N60" s="36" t="str">
        <x:v>AU</x:v>
      </x:c>
      <x:c r="O60" s="36" t="str">
        <x:v>1</x:v>
      </x:c>
      <x:c r="P60" s="36" t="str">
        <x:v>0</x:v>
      </x:c>
      <x:c r="Q60" s="36" t="str">
        <x:v>0</x:v>
      </x:c>
      <x:c r="R60" s="36"/>
      <x:c r="S60" s="36" t="str">
        <x:v>M</x:v>
      </x:c>
      <x:c r="T60" s="36" t="str">
        <x:v>344221</x:v>
      </x:c>
      <x:c r="U60" s="36" t="str">
        <x:v>0</x:v>
      </x:c>
      <x:c r="V60" s="36" t="n">
        <x:v>110</x:v>
      </x:c>
      <x:c r="W60" s="36" t="str">
        <x:v>AUDI AG DE-85045 INGOLSTADT</x:v>
      </x:c>
      <x:c r="X60" s="36" t="str">
        <x:v>A3 SPORTBACK</x:v>
      </x:c>
      <x:c r="Y60" s="36"/>
      <x:c r="Z60" s="36"/>
      <x:c r="AA60" s="36" t="str">
        <x:v>TEST-2780</x:v>
      </x:c>
      <x:c r="AB60" s="36" t="str">
        <x:v>20191024</x:v>
      </x:c>
      <x:c r="AC60" s="36" t="str">
        <x:v>8V</x:v>
      </x:c>
      <x:c r="AD60" s="36" t="str">
        <x:v>SDPCAF1</x:v>
      </x:c>
      <x:c r="AE60" s="36" t="str">
        <x:v>I</x:v>
      </x:c>
      <x:c r="AF60" s="36" t="str">
        <x:v>PB</x:v>
      </x:c>
      <x:c r="AG60" s="36" t="n">
        <x:v>2019</x:v>
      </x:c>
      <x:c r="AH60" s="36" t="str">
        <x:v>FM6FM62S022RT11B164BFAEM1</x:v>
      </x:c>
      <x:c r="AI60" s="36" t="str">
        <x:v>WAU00000000002780</x:v>
      </x:c>
      <x:c r="AJ60" s="38" t="str">
        <x:v>{"kw":110,"ccm":1498,"vin":"WAU00000000002780","brand":"AUDI","fuel1":"1","fuel2":"0","fuel3":"0","model":"A3 SPORTBACK","plate":"TEST-2780","is_4wd":"0","gearbox":"M","variant":"SDPCAF1","version":"FM6FM62S022RT11B164BFAEM1","fab_code":"AU","group_no":"344221","body_code":"AB","type_text":"8V","build_month":"201908","eu_category":"M1","manufacturer":"AUDI AG DE-85045 INGOLSTADT","vehicle_type":"PB","vehicle_year":2019,"vehicle_class":"I","registration_date":"20191024"}</x:v>
      </x:c>
    </x:row>
    <x:row r="61" ht="18" customHeight="1">
      <x:c r="A61" s="36" t="n">
        <x:v>2781</x:v>
      </x:c>
      <x:c r="B61" s="36" t="str">
        <x:v>normalization-review-passenger-250-v1-rules-20260805T184409855703Z</x:v>
      </x:c>
      <x:c r="C61" s="36" t="n">
        <x:v>46239.78067008102</x:v>
      </x:c>
      <x:c r="D61" s="38" t="str">
        <x:v>"2026-08-05T18:44:09.895308+00:00"</x:v>
      </x:c>
      <x:c r="E61" s="36"/>
      <x:c r="F61" s="36" t="str">
        <x:v>01</x:v>
      </x:c>
      <x:c r="G61" s="36"/>
      <x:c r="H61" s="36" t="str">
        <x:v>PORSCHE 924 COUPE 477011</x:v>
      </x:c>
      <x:c r="I61" s="36"/>
      <x:c r="J61" s="36"/>
      <x:c r="K61" s="36"/>
      <x:c r="L61" s="36" t="str">
        <x:v>M1</x:v>
      </x:c>
      <x:c r="M61" s="36"/>
      <x:c r="N61" s="36" t="str">
        <x:v>PR</x:v>
      </x:c>
      <x:c r="O61" s="36" t="str">
        <x:v>1</x:v>
      </x:c>
      <x:c r="P61" s="36" t="str">
        <x:v>0</x:v>
      </x:c>
      <x:c r="Q61" s="36" t="str">
        <x:v>0</x:v>
      </x:c>
      <x:c r="R61" s="36"/>
      <x:c r="S61" s="36" t="str">
        <x:v>M</x:v>
      </x:c>
      <x:c r="T61" s="36" t="str">
        <x:v>000301</x:v>
      </x:c>
      <x:c r="U61" s="36" t="str">
        <x:v>0</x:v>
      </x:c>
      <x:c r="V61" s="36" t="n">
        <x:v>92</x:v>
      </x:c>
      <x:c r="W61" s="36"/>
      <x:c r="X61" s="36"/>
      <x:c r="Y61" s="36" t="str">
        <x:v>000301</x:v>
      </x:c>
      <x:c r="Z61" s="36" t="n">
        <x:v>1979</x:v>
      </x:c>
      <x:c r="AA61" s="36" t="str">
        <x:v>TEST-2781</x:v>
      </x:c>
      <x:c r="AB61" s="36" t="str">
        <x:v>19810108</x:v>
      </x:c>
      <x:c r="AC61" s="36"/>
      <x:c r="AD61" s="36"/>
      <x:c r="AE61" s="36" t="str">
        <x:v>I</x:v>
      </x:c>
      <x:c r="AF61" s="36" t="str">
        <x:v>PB</x:v>
      </x:c>
      <x:c r="AG61" s="36" t="n">
        <x:v>1979</x:v>
      </x:c>
      <x:c r="AH61" s="36"/>
      <x:c r="AI61" s="36" t="str">
        <x:v>92400000000002781</x:v>
      </x:c>
      <x:c r="AJ61" s="38" t="str">
        <x:v>{"kw":92,"vin":"92400000000002781","brand":"PORSCHE 924 COUPE 477011","fuel1":"1","fuel2":"0","fuel3":"0","plate":"TEST-2781","is_4wd":"0","gearbox":"M","fab_code":"PR","group_no":"000301","model_no":"000301","body_code":"01","model_year":1979,"eu_category":"M1","vehicle_type":"PB","vehicle_year":1979,"vehicle_class":"I","registration_date":"19810108"}</x:v>
      </x:c>
    </x:row>
    <x:row r="62" ht="18" customHeight="1">
      <x:c r="A62" s="36" t="n">
        <x:v>2782</x:v>
      </x:c>
      <x:c r="B62" s="36" t="str">
        <x:v>normalization-review-passenger-250-v1-rules-20260805T184409855703Z</x:v>
      </x:c>
      <x:c r="C62" s="36" t="n">
        <x:v>46239.78067008102</x:v>
      </x:c>
      <x:c r="D62" s="38" t="str">
        <x:v>"2026-08-05T18:44:09.895308+00:00"</x:v>
      </x:c>
      <x:c r="E62" s="36"/>
      <x:c r="F62" s="36" t="str">
        <x:v>AF</x:v>
      </x:c>
      <x:c r="G62" s="36"/>
      <x:c r="H62" s="36" t="str">
        <x:v>HONDA</x:v>
      </x:c>
      <x:c r="I62" s="36"/>
      <x:c r="J62" s="36"/>
      <x:c r="K62" s="36" t="n">
        <x:v>2199</x:v>
      </x:c>
      <x:c r="L62" s="36" t="str">
        <x:v>M1</x:v>
      </x:c>
      <x:c r="M62" s="36"/>
      <x:c r="N62" s="36" t="str">
        <x:v>HO</x:v>
      </x:c>
      <x:c r="O62" s="36" t="str">
        <x:v>2</x:v>
      </x:c>
      <x:c r="P62" s="36" t="str">
        <x:v>0</x:v>
      </x:c>
      <x:c r="Q62" s="36" t="str">
        <x:v>0</x:v>
      </x:c>
      <x:c r="R62" s="36"/>
      <x:c r="S62" s="36" t="str">
        <x:v>M</x:v>
      </x:c>
      <x:c r="T62" s="36" t="str">
        <x:v>016774</x:v>
      </x:c>
      <x:c r="U62" s="36" t="str">
        <x:v>1</x:v>
      </x:c>
      <x:c r="V62" s="36" t="n">
        <x:v>110</x:v>
      </x:c>
      <x:c r="W62" s="36"/>
      <x:c r="X62" s="36" t="str">
        <x:v>HONDA CR-V</x:v>
      </x:c>
      <x:c r="Y62" s="36"/>
      <x:c r="Z62" s="36" t="n">
        <x:v>2014</x:v>
      </x:c>
      <x:c r="AA62" s="36" t="str">
        <x:v>TEST-2782</x:v>
      </x:c>
      <x:c r="AB62" s="36" t="str">
        <x:v>20140522</x:v>
      </x:c>
      <x:c r="AC62" s="36" t="str">
        <x:v>RE6</x:v>
      </x:c>
      <x:c r="AD62" s="36" t="str">
        <x:v>3</x:v>
      </x:c>
      <x:c r="AE62" s="36" t="str">
        <x:v>I</x:v>
      </x:c>
      <x:c r="AF62" s="36" t="str">
        <x:v>PB</x:v>
      </x:c>
      <x:c r="AG62" s="36" t="n">
        <x:v>2014</x:v>
      </x:c>
      <x:c r="AH62" s="36" t="str">
        <x:v>1</x:v>
      </x:c>
      <x:c r="AI62" s="36" t="str">
        <x:v>SHS00000000002782</x:v>
      </x:c>
      <x:c r="AJ62" s="38" t="str">
        <x:v>{"kw":110,"ccm":2199,"vin":"SHS00000000002782","brand":"HONDA","fuel1":"2","fuel2":"0","fuel3":"0","model":"HONDA CR-V","plate":"TEST-2782","is_4wd":"1","gearbox":"M","variant":"3","version":"1","fab_code":"HO","group_no":"016774","body_code":"AF","type_text":"RE6","model_year":2014,"eu_category":"M1","vehicle_type":"PB","vehicle_year":2014,"vehicle_class":"I","registration_date":"20140522"}</x:v>
      </x:c>
    </x:row>
    <x:row r="63" ht="18" customHeight="1">
      <x:c r="A63" s="36" t="n">
        <x:v>2783</x:v>
      </x:c>
      <x:c r="B63" s="36" t="str">
        <x:v>normalization-review-passenger-250-v1-rules-20260805T184409855703Z</x:v>
      </x:c>
      <x:c r="C63" s="36" t="n">
        <x:v>46239.78067008102</x:v>
      </x:c>
      <x:c r="D63" s="38" t="str">
        <x:v>"2026-08-05T18:44:09.895308+00:00"</x:v>
      </x:c>
      <x:c r="E63" s="36"/>
      <x:c r="F63" s="36" t="str">
        <x:v>AC</x:v>
      </x:c>
      <x:c r="G63" s="36"/>
      <x:c r="H63" s="36" t="str">
        <x:v>VOLVO B + V70</x:v>
      </x:c>
      <x:c r="I63" s="36"/>
      <x:c r="J63" s="36" t="str">
        <x:v>201401</x:v>
      </x:c>
      <x:c r="K63" s="36" t="n">
        <x:v>1984</x:v>
      </x:c>
      <x:c r="L63" s="36" t="str">
        <x:v>M1</x:v>
      </x:c>
      <x:c r="M63" s="36"/>
      <x:c r="N63" s="36" t="str">
        <x:v>VO</x:v>
      </x:c>
      <x:c r="O63" s="36" t="str">
        <x:v>2</x:v>
      </x:c>
      <x:c r="P63" s="36" t="str">
        <x:v>0</x:v>
      </x:c>
      <x:c r="Q63" s="36" t="str">
        <x:v>0</x:v>
      </x:c>
      <x:c r="R63" s="36"/>
      <x:c r="S63" s="36" t="str">
        <x:v>M</x:v>
      </x:c>
      <x:c r="T63" s="36" t="str">
        <x:v>014412</x:v>
      </x:c>
      <x:c r="U63" s="36" t="str">
        <x:v>0</x:v>
      </x:c>
      <x:c r="V63" s="36" t="n">
        <x:v>120</x:v>
      </x:c>
      <x:c r="W63" s="36"/>
      <x:c r="X63" s="36" t="str">
        <x:v>V70</x:v>
      </x:c>
      <x:c r="Y63" s="36"/>
      <x:c r="Z63" s="36"/>
      <x:c r="AA63" s="36" t="str">
        <x:v>TEST-2783</x:v>
      </x:c>
      <x:c r="AB63" s="36" t="str">
        <x:v>20140130</x:v>
      </x:c>
      <x:c r="AC63" s="36" t="str">
        <x:v>B</x:v>
      </x:c>
      <x:c r="AD63" s="36" t="str">
        <x:v>BW88</x:v>
      </x:c>
      <x:c r="AE63" s="36" t="str">
        <x:v>I</x:v>
      </x:c>
      <x:c r="AF63" s="36" t="str">
        <x:v>PB</x:v>
      </x:c>
      <x:c r="AG63" s="36" t="n">
        <x:v>2014</x:v>
      </x:c>
      <x:c r="AH63" s="36" t="str">
        <x:v>BW88A1??</x:v>
      </x:c>
      <x:c r="AI63" s="36" t="str">
        <x:v>YV100000000002783</x:v>
      </x:c>
      <x:c r="AJ63" s="38" t="str">
        <x:v>{"kw":120,"ccm":1984,"vin":"YV100000000002783","brand":"VOLVO B + V70","fuel1":"2","fuel2":"0","fuel3":"0","model":"V70","plate":"TEST-2783","is_4wd":"0","gearbox":"M","variant":"BW88","version":"BW88A1??","fab_code":"VO","group_no":"014412","body_code":"AC","type_text":"B","build_month":"201401","eu_category":"M1","vehicle_type":"PB","vehicle_year":2014,"vehicle_class":"I","registration_date":"20140130"}</x:v>
      </x:c>
    </x:row>
    <x:row r="64" ht="18" customHeight="1">
      <x:c r="A64" s="36" t="n">
        <x:v>2784</x:v>
      </x:c>
      <x:c r="B64" s="36" t="str">
        <x:v>normalization-review-passenger-250-v1-rules-20260805T184409855703Z</x:v>
      </x:c>
      <x:c r="C64" s="36" t="n">
        <x:v>46239.78067008102</x:v>
      </x:c>
      <x:c r="D64" s="38" t="str">
        <x:v>"2026-08-05T18:44:09.895308+00:00"</x:v>
      </x:c>
      <x:c r="E64" s="36"/>
      <x:c r="F64" s="36" t="str">
        <x:v>03</x:v>
      </x:c>
      <x:c r="G64" s="36"/>
      <x:c r="H64" s="36" t="str">
        <x:v>SAAB 900 2,0I DX55J</x:v>
      </x:c>
      <x:c r="I64" s="36"/>
      <x:c r="J64" s="36"/>
      <x:c r="K64" s="36"/>
      <x:c r="L64" s="36" t="str">
        <x:v>M1</x:v>
      </x:c>
      <x:c r="M64" s="36"/>
      <x:c r="N64" s="36" t="str">
        <x:v>SA</x:v>
      </x:c>
      <x:c r="O64" s="36" t="str">
        <x:v>1</x:v>
      </x:c>
      <x:c r="P64" s="36" t="str">
        <x:v>0</x:v>
      </x:c>
      <x:c r="Q64" s="36" t="str">
        <x:v>0</x:v>
      </x:c>
      <x:c r="R64" s="36"/>
      <x:c r="S64" s="36" t="str">
        <x:v>M</x:v>
      </x:c>
      <x:c r="T64" s="36" t="str">
        <x:v>005710</x:v>
      </x:c>
      <x:c r="U64" s="36" t="str">
        <x:v>0</x:v>
      </x:c>
      <x:c r="V64" s="36" t="n">
        <x:v>96</x:v>
      </x:c>
      <x:c r="W64" s="36"/>
      <x:c r="X64" s="36"/>
      <x:c r="Y64" s="36" t="str">
        <x:v>005710</x:v>
      </x:c>
      <x:c r="Z64" s="36" t="n">
        <x:v>1996</x:v>
      </x:c>
      <x:c r="AA64" s="36" t="str">
        <x:v>TEST-2784</x:v>
      </x:c>
      <x:c r="AB64" s="36" t="str">
        <x:v>19960220</x:v>
      </x:c>
      <x:c r="AC64" s="36"/>
      <x:c r="AD64" s="36"/>
      <x:c r="AE64" s="36" t="str">
        <x:v>I</x:v>
      </x:c>
      <x:c r="AF64" s="36" t="str">
        <x:v>PB</x:v>
      </x:c>
      <x:c r="AG64" s="36" t="n">
        <x:v>1996</x:v>
      </x:c>
      <x:c r="AH64" s="36"/>
      <x:c r="AI64" s="36" t="str">
        <x:v>YS300000000002784</x:v>
      </x:c>
      <x:c r="AJ64" s="38" t="str">
        <x:v>{"kw":96,"vin":"YS300000000002784","brand":"SAAB 900 2,0I DX55J","fuel1":"1","fuel2":"0","fuel3":"0","plate":"TEST-2784","is_4wd":"0","gearbox":"M","fab_code":"SA","group_no":"005710","model_no":"005710","body_code":"03","model_year":1996,"eu_category":"M1","vehicle_type":"PB","vehicle_year":1996,"vehicle_class":"I","registration_date":"19960220"}</x:v>
      </x:c>
    </x:row>
    <x:row r="65" ht="18" customHeight="1">
      <x:c r="A65" s="36" t="n">
        <x:v>2785</x:v>
      </x:c>
      <x:c r="B65" s="36" t="str">
        <x:v>normalization-review-passenger-250-v1-rules-20260805T184409855703Z</x:v>
      </x:c>
      <x:c r="C65" s="36" t="n">
        <x:v>46239.78067008102</x:v>
      </x:c>
      <x:c r="D65" s="38" t="str">
        <x:v>"2026-08-05T18:44:09.895308+00:00"</x:v>
      </x:c>
      <x:c r="E65" s="36"/>
      <x:c r="F65" s="36" t="str">
        <x:v>AF</x:v>
      </x:c>
      <x:c r="G65" s="36"/>
      <x:c r="H65" s="36" t="str">
        <x:v>HYUNDAI</x:v>
      </x:c>
      <x:c r="I65" s="36" t="str">
        <x:v>20220428</x:v>
      </x:c>
      <x:c r="J65" s="36" t="str">
        <x:v>202204</x:v>
      </x:c>
      <x:c r="K65" s="36" t="n">
        <x:v>1598</x:v>
      </x:c>
      <x:c r="L65" s="36" t="str">
        <x:v>M1</x:v>
      </x:c>
      <x:c r="M65" s="36" t="str">
        <x:v>ELHYBRID</x:v>
      </x:c>
      <x:c r="N65" s="36" t="str">
        <x:v>HK</x:v>
      </x:c>
      <x:c r="O65" s="36" t="str">
        <x:v>1</x:v>
      </x:c>
      <x:c r="P65" s="36" t="str">
        <x:v>0</x:v>
      </x:c>
      <x:c r="Q65" s="36" t="str">
        <x:v>0</x:v>
      </x:c>
      <x:c r="R65" s="36"/>
      <x:c r="S65" s="36" t="str">
        <x:v>A</x:v>
      </x:c>
      <x:c r="T65" s="36" t="str">
        <x:v>510002</x:v>
      </x:c>
      <x:c r="U65" s="36" t="str">
        <x:v>1</x:v>
      </x:c>
      <x:c r="V65" s="36" t="n">
        <x:v>132</x:v>
      </x:c>
      <x:c r="W65" s="36" t="str">
        <x:v>HYUNDAI MOTOR MANUFACTURING CZECH S.R.O.,PRUMYSLOVA ZONA NOS</x:v>
      </x:c>
      <x:c r="X65" s="36" t="str">
        <x:v>TUCSON</x:v>
      </x:c>
      <x:c r="Y65" s="36"/>
      <x:c r="Z65" s="36"/>
      <x:c r="AA65" s="36" t="str">
        <x:v>TEST-2785</x:v>
      </x:c>
      <x:c r="AB65" s="36" t="str">
        <x:v>20220610</x:v>
      </x:c>
      <x:c r="AC65" s="36" t="str">
        <x:v>NX4E</x:v>
      </x:c>
      <x:c r="AD65" s="36" t="str">
        <x:v>F5P44</x:v>
      </x:c>
      <x:c r="AE65" s="36" t="str">
        <x:v>I</x:v>
      </x:c>
      <x:c r="AF65" s="36" t="str">
        <x:v>PB</x:v>
      </x:c>
      <x:c r="AG65" s="36" t="n">
        <x:v>2022</x:v>
      </x:c>
      <x:c r="AH65" s="36" t="str">
        <x:v>A61B14</x:v>
      </x:c>
      <x:c r="AI65" s="36" t="str">
        <x:v>TMA00000000002785</x:v>
      </x:c>
      <x:c r="AJ65" s="38" t="str">
        <x:v>{"kw":132,"ccm":1598,"vin":"TMA00000000002785","brand":"HYUNDAI","fuel1":"1","fuel2":"0","fuel3":"0","model":"TUCSON","plate":"TEST-2785","is_4wd":"1","gearbox":"A","variant":"F5P44","version":"A61B14","fab_code":"HK","group_no":"510002","body_code":"AF","ev_config":"ELHYBRID","type_text":"NX4E","build_date":"20220428","build_month":"202204","eu_category":"M1","manufacturer":"HYUNDAI MOTOR MANUFACTURING CZECH S.R.O.,PRUMYSLOVA ZONA NOS","vehicle_type":"PB","vehicle_year":2022,"vehicle_class":"I","registration_date":"20220610"}</x:v>
      </x:c>
    </x:row>
    <x:row r="66" ht="18" customHeight="1">
      <x:c r="A66" s="36" t="n">
        <x:v>2786</x:v>
      </x:c>
      <x:c r="B66" s="36" t="str">
        <x:v>normalization-review-passenger-250-v1-rules-20260805T184409855703Z</x:v>
      </x:c>
      <x:c r="C66" s="36" t="n">
        <x:v>46239.78067008102</x:v>
      </x:c>
      <x:c r="D66" s="38" t="str">
        <x:v>"2026-08-05T18:44:09.895308+00:00"</x:v>
      </x:c>
      <x:c r="E66" s="36"/>
      <x:c r="F66" s="36" t="str">
        <x:v>AC</x:v>
      </x:c>
      <x:c r="G66" s="36"/>
      <x:c r="H66" s="36" t="str">
        <x:v>CITROEN C5KB HDI 138 SXA</x:v>
      </x:c>
      <x:c r="I66" s="36"/>
      <x:c r="J66" s="36" t="str">
        <x:v>200702</x:v>
      </x:c>
      <x:c r="K66" s="36" t="n">
        <x:v>1997</x:v>
      </x:c>
      <x:c r="L66" s="36" t="str">
        <x:v>M1</x:v>
      </x:c>
      <x:c r="M66" s="36"/>
      <x:c r="N66" s="36" t="str">
        <x:v>CI</x:v>
      </x:c>
      <x:c r="O66" s="36" t="str">
        <x:v>2</x:v>
      </x:c>
      <x:c r="P66" s="36" t="str">
        <x:v>0</x:v>
      </x:c>
      <x:c r="Q66" s="36" t="str">
        <x:v>0</x:v>
      </x:c>
      <x:c r="R66" s="36"/>
      <x:c r="S66" s="36" t="str">
        <x:v>A</x:v>
      </x:c>
      <x:c r="T66" s="36" t="str">
        <x:v>081411</x:v>
      </x:c>
      <x:c r="U66" s="36" t="str">
        <x:v>0</x:v>
      </x:c>
      <x:c r="V66" s="36" t="n">
        <x:v>100</x:v>
      </x:c>
      <x:c r="W66" s="36"/>
      <x:c r="X66" s="36"/>
      <x:c r="Y66" s="36"/>
      <x:c r="Z66" s="36"/>
      <x:c r="AA66" s="36" t="str">
        <x:v>TEST-2786</x:v>
      </x:c>
      <x:c r="AB66" s="36" t="str">
        <x:v>20070323</x:v>
      </x:c>
      <x:c r="AC66" s="36" t="str">
        <x:v>R*RHR*</x:v>
      </x:c>
      <x:c r="AD66" s="36" t="str">
        <x:v>RERHR*</x:v>
      </x:c>
      <x:c r="AE66" s="36" t="str">
        <x:v>I</x:v>
      </x:c>
      <x:c r="AF66" s="36" t="str">
        <x:v>PB</x:v>
      </x:c>
      <x:c r="AG66" s="36" t="n">
        <x:v>2007</x:v>
      </x:c>
      <x:c r="AH66" s="36" t="str">
        <x:v>RERHRJ</x:v>
      </x:c>
      <x:c r="AI66" s="36" t="str">
        <x:v>VF700000000002786</x:v>
      </x:c>
      <x:c r="AJ66" s="38" t="str">
        <x:v>{"kw":100,"ccm":1997,"vin":"VF700000000002786","brand":"CITROEN C5KB HDI 138 SXA","fuel1":"2","fuel2":"0","fuel3":"0","plate":"TEST-2786","is_4wd":"0","gearbox":"A","variant":"RERHR*","version":"RERHRJ","fab_code":"CI","group_no":"081411","body_code":"AC","type_text":"R*RHR*","build_month":"200702","eu_category":"M1","vehicle_type":"PB","vehicle_year":2007,"vehicle_class":"I","registration_date":"20070323"}</x:v>
      </x:c>
    </x:row>
    <x:row r="67" ht="18" customHeight="1">
      <x:c r="A67" s="36" t="n">
        <x:v>2787</x:v>
      </x:c>
      <x:c r="B67" s="36" t="str">
        <x:v>normalization-review-passenger-250-v1-rules-20260805T184409855703Z</x:v>
      </x:c>
      <x:c r="C67" s="36" t="n">
        <x:v>46239.78067008102</x:v>
      </x:c>
      <x:c r="D67" s="38" t="str">
        <x:v>"2026-08-05T18:44:09.895308+00:00"</x:v>
      </x:c>
      <x:c r="E67" s="36"/>
      <x:c r="F67" s="36" t="str">
        <x:v>AF</x:v>
      </x:c>
      <x:c r="G67" s="36"/>
      <x:c r="H67" s="36" t="str">
        <x:v>TOYOTA XP13M(A)</x:v>
      </x:c>
      <x:c r="I67" s="36"/>
      <x:c r="J67" s="36" t="str">
        <x:v>201301</x:v>
      </x:c>
      <x:c r="K67" s="36" t="n">
        <x:v>1329</x:v>
      </x:c>
      <x:c r="L67" s="36" t="str">
        <x:v>M1</x:v>
      </x:c>
      <x:c r="M67" s="36"/>
      <x:c r="N67" s="36" t="str">
        <x:v>TO</x:v>
      </x:c>
      <x:c r="O67" s="36" t="str">
        <x:v>1</x:v>
      </x:c>
      <x:c r="P67" s="36" t="str">
        <x:v>0</x:v>
      </x:c>
      <x:c r="Q67" s="36" t="str">
        <x:v>0</x:v>
      </x:c>
      <x:c r="R67" s="36"/>
      <x:c r="S67" s="36" t="str">
        <x:v>M</x:v>
      </x:c>
      <x:c r="T67" s="36" t="str">
        <x:v>020597</x:v>
      </x:c>
      <x:c r="U67" s="36" t="str">
        <x:v>0</x:v>
      </x:c>
      <x:c r="V67" s="36" t="n">
        <x:v>73</x:v>
      </x:c>
      <x:c r="W67" s="36"/>
      <x:c r="X67" s="36" t="str">
        <x:v>TOYOTA YARIS</x:v>
      </x:c>
      <x:c r="Y67" s="36"/>
      <x:c r="Z67" s="36"/>
      <x:c r="AA67" s="36" t="str">
        <x:v>TEST-2787</x:v>
      </x:c>
      <x:c r="AB67" s="36" t="str">
        <x:v>20130328</x:v>
      </x:c>
      <x:c r="AC67" s="36" t="str">
        <x:v>XP13M(A)</x:v>
      </x:c>
      <x:c r="AD67" s="36" t="str">
        <x:v>NSP13F(MH)</x:v>
      </x:c>
      <x:c r="AE67" s="36" t="str">
        <x:v>I</x:v>
      </x:c>
      <x:c r="AF67" s="36" t="str">
        <x:v>PB</x:v>
      </x:c>
      <x:c r="AG67" s="36" t="n">
        <x:v>2013</x:v>
      </x:c>
      <x:c r="AH67" s="36" t="str">
        <x:v>NSP130L-CHFNKW(2D)</x:v>
      </x:c>
      <x:c r="AI67" s="36" t="str">
        <x:v>VNK00000000002787</x:v>
      </x:c>
      <x:c r="AJ67" s="38" t="str">
        <x:v>{"kw":73,"ccm":1329,"vin":"VNK00000000002787","brand":"TOYOTA XP13M(A)","fuel1":"1","fuel2":"0","fuel3":"0","model":"TOYOTA YARIS","plate":"TEST-2787","is_4wd":"0","gearbox":"M","variant":"NSP13F(MH)","version":"NSP130L-CHFNKW(2D)","fab_code":"TO","group_no":"020597","body_code":"AF","type_text":"XP13M(A)","build_month":"201301","eu_category":"M1","vehicle_type":"PB","vehicle_year":2013,"vehicle_class":"I","registration_date":"20130328"}</x:v>
      </x:c>
    </x:row>
    <x:row r="68" ht="18" customHeight="1">
      <x:c r="A68" s="36" t="n">
        <x:v>2788</x:v>
      </x:c>
      <x:c r="B68" s="36" t="str">
        <x:v>normalization-review-passenger-250-v1-rules-20260805T184409855703Z</x:v>
      </x:c>
      <x:c r="C68" s="36" t="n">
        <x:v>46239.78067008102</x:v>
      </x:c>
      <x:c r="D68" s="38" t="str">
        <x:v>"2026-08-05T18:44:09.895308+00:00"</x:v>
      </x:c>
      <x:c r="E68" s="36"/>
      <x:c r="F68" s="36" t="str">
        <x:v>AC</x:v>
      </x:c>
      <x:c r="G68" s="36"/>
      <x:c r="H68" s="36" t="str">
        <x:v>VOLVO B + XC70</x:v>
      </x:c>
      <x:c r="I68" s="36"/>
      <x:c r="J68" s="36" t="str">
        <x:v>201410</x:v>
      </x:c>
      <x:c r="K68" s="36" t="n">
        <x:v>1969</x:v>
      </x:c>
      <x:c r="L68" s="36" t="str">
        <x:v>M1</x:v>
      </x:c>
      <x:c r="M68" s="36"/>
      <x:c r="N68" s="36" t="str">
        <x:v>VO</x:v>
      </x:c>
      <x:c r="O68" s="36" t="str">
        <x:v>2</x:v>
      </x:c>
      <x:c r="P68" s="36" t="str">
        <x:v>0</x:v>
      </x:c>
      <x:c r="Q68" s="36" t="str">
        <x:v>0</x:v>
      </x:c>
      <x:c r="R68" s="36"/>
      <x:c r="S68" s="36" t="str">
        <x:v>A</x:v>
      </x:c>
      <x:c r="T68" s="36" t="str">
        <x:v>015422</x:v>
      </x:c>
      <x:c r="U68" s="36" t="str">
        <x:v>0</x:v>
      </x:c>
      <x:c r="V68" s="36" t="n">
        <x:v>133</x:v>
      </x:c>
      <x:c r="W68" s="36"/>
      <x:c r="X68" s="36" t="str">
        <x:v>XC70</x:v>
      </x:c>
      <x:c r="Y68" s="36"/>
      <x:c r="Z68" s="36"/>
      <x:c r="AA68" s="36" t="str">
        <x:v>TEST-2788</x:v>
      </x:c>
      <x:c r="AB68" s="36" t="str">
        <x:v>20141106</x:v>
      </x:c>
      <x:c r="AC68" s="36" t="str">
        <x:v>B</x:v>
      </x:c>
      <x:c r="AD68" s="36" t="str">
        <x:v>BZ73</x:v>
      </x:c>
      <x:c r="AE68" s="36" t="str">
        <x:v>I</x:v>
      </x:c>
      <x:c r="AF68" s="36" t="str">
        <x:v>PB</x:v>
      </x:c>
      <x:c r="AG68" s="36" t="n">
        <x:v>2014</x:v>
      </x:c>
      <x:c r="AH68" s="36" t="str">
        <x:v>BZ73CD??</x:v>
      </x:c>
      <x:c r="AI68" s="36" t="str">
        <x:v>YV100000000002788</x:v>
      </x:c>
      <x:c r="AJ68" s="38" t="str">
        <x:v>{"kw":133,"ccm":1969,"vin":"YV100000000002788","brand":"VOLVO B + XC70","fuel1":"2","fuel2":"0","fuel3":"0","model":"XC70","plate":"TEST-2788","is_4wd":"0","gearbox":"A","variant":"BZ73","version":"BZ73CD??","fab_code":"VO","group_no":"015422","body_code":"AC","type_text":"B","build_month":"201410","eu_category":"M1","vehicle_type":"PB","vehicle_year":2014,"vehicle_class":"I","registration_date":"20141106"}</x:v>
      </x:c>
    </x:row>
    <x:row r="69" ht="18" customHeight="1">
      <x:c r="A69" s="36" t="n">
        <x:v>2789</x:v>
      </x:c>
      <x:c r="B69" s="36" t="str">
        <x:v>normalization-review-passenger-250-v1-rules-20260805T184409855703Z</x:v>
      </x:c>
      <x:c r="C69" s="36" t="n">
        <x:v>46239.78067008102</x:v>
      </x:c>
      <x:c r="D69" s="38" t="str">
        <x:v>"2026-08-05T18:44:09.895308+00:00"</x:v>
      </x:c>
      <x:c r="E69" s="36"/>
      <x:c r="F69" s="36" t="str">
        <x:v>AB</x:v>
      </x:c>
      <x:c r="G69" s="36"/>
      <x:c r="H69" s="36" t="str">
        <x:v>VOLKSWAGEN, VW  6R</x:v>
      </x:c>
      <x:c r="I69" s="36"/>
      <x:c r="J69" s="36" t="str">
        <x:v>201310</x:v>
      </x:c>
      <x:c r="K69" s="36" t="n">
        <x:v>1197</x:v>
      </x:c>
      <x:c r="L69" s="36" t="str">
        <x:v>M1</x:v>
      </x:c>
      <x:c r="M69" s="36"/>
      <x:c r="N69" s="36" t="str">
        <x:v>VW</x:v>
      </x:c>
      <x:c r="O69" s="36" t="str">
        <x:v>1</x:v>
      </x:c>
      <x:c r="P69" s="36" t="str">
        <x:v>0</x:v>
      </x:c>
      <x:c r="Q69" s="36" t="str">
        <x:v>0</x:v>
      </x:c>
      <x:c r="R69" s="36"/>
      <x:c r="S69" s="36" t="str">
        <x:v>A</x:v>
      </x:c>
      <x:c r="T69" s="36" t="str">
        <x:v>654003</x:v>
      </x:c>
      <x:c r="U69" s="36" t="str">
        <x:v>0</x:v>
      </x:c>
      <x:c r="V69" s="36" t="n">
        <x:v>66</x:v>
      </x:c>
      <x:c r="W69" s="36"/>
      <x:c r="X69" s="36" t="str">
        <x:v>POLO</x:v>
      </x:c>
      <x:c r="Y69" s="36"/>
      <x:c r="Z69" s="36"/>
      <x:c r="AA69" s="36" t="str">
        <x:v>TEST-2789</x:v>
      </x:c>
      <x:c r="AB69" s="36" t="str">
        <x:v>20131209</x:v>
      </x:c>
      <x:c r="AC69" s="36" t="str">
        <x:v>6R</x:v>
      </x:c>
      <x:c r="AD69" s="36" t="str">
        <x:v>ABCBZC</x:v>
      </x:c>
      <x:c r="AE69" s="36" t="str">
        <x:v>I</x:v>
      </x:c>
      <x:c r="AF69" s="36" t="str">
        <x:v>PB</x:v>
      </x:c>
      <x:c r="AG69" s="36" t="n">
        <x:v>2013</x:v>
      </x:c>
      <x:c r="AH69" s="36" t="str">
        <x:v>FD7FD7AM017LLNVR07MJ</x:v>
      </x:c>
      <x:c r="AI69" s="36" t="str">
        <x:v>WVW00000000002789</x:v>
      </x:c>
      <x:c r="AJ69" s="38" t="str">
        <x:v>{"kw":66,"ccm":1197,"vin":"WVW00000000002789","brand":"VOLKSWAGEN, VW  6R","fuel1":"1","fuel2":"0","fuel3":"0","model":"POLO","plate":"TEST-2789","is_4wd":"0","gearbox":"A","variant":"ABCBZC","version":"FD7FD7AM017LLNVR07MJ","fab_code":"VW","group_no":"654003","body_code":"AB","type_text":"6R","build_month":"201310","eu_category":"M1","vehicle_type":"PB","vehicle_year":2013,"vehicle_class":"I","registration_date":"20131209"}</x:v>
      </x:c>
    </x:row>
    <x:row r="70" ht="18" customHeight="1">
      <x:c r="A70" s="36" t="n">
        <x:v>2790</x:v>
      </x:c>
      <x:c r="B70" s="36" t="str">
        <x:v>normalization-review-passenger-250-v1-rules-20260805T184409855703Z</x:v>
      </x:c>
      <x:c r="C70" s="36" t="n">
        <x:v>46239.78067008102</x:v>
      </x:c>
      <x:c r="D70" s="38" t="str">
        <x:v>"2026-08-05T18:44:09.895308+00:00"</x:v>
      </x:c>
      <x:c r="E70" s="36"/>
      <x:c r="F70" s="36" t="str">
        <x:v>03</x:v>
      </x:c>
      <x:c r="G70" s="36"/>
      <x:c r="H70" s="36" t="str">
        <x:v>VOLVO 945-811 SE 2.3</x:v>
      </x:c>
      <x:c r="I70" s="36"/>
      <x:c r="J70" s="36"/>
      <x:c r="K70" s="36"/>
      <x:c r="L70" s="36" t="str">
        <x:v>M1</x:v>
      </x:c>
      <x:c r="M70" s="36"/>
      <x:c r="N70" s="36" t="str">
        <x:v>VO</x:v>
      </x:c>
      <x:c r="O70" s="36" t="str">
        <x:v>1</x:v>
      </x:c>
      <x:c r="P70" s="36" t="str">
        <x:v>0</x:v>
      </x:c>
      <x:c r="Q70" s="36" t="str">
        <x:v>0</x:v>
      </x:c>
      <x:c r="R70" s="36"/>
      <x:c r="S70" s="36" t="str">
        <x:v>M</x:v>
      </x:c>
      <x:c r="T70" s="36" t="str">
        <x:v>005662</x:v>
      </x:c>
      <x:c r="U70" s="36" t="str">
        <x:v>0</x:v>
      </x:c>
      <x:c r="V70" s="36" t="n">
        <x:v>99</x:v>
      </x:c>
      <x:c r="W70" s="36"/>
      <x:c r="X70" s="36"/>
      <x:c r="Y70" s="36" t="str">
        <x:v>005662</x:v>
      </x:c>
      <x:c r="Z70" s="36" t="n">
        <x:v>1995</x:v>
      </x:c>
      <x:c r="AA70" s="36" t="str">
        <x:v>TEST-2790</x:v>
      </x:c>
      <x:c r="AB70" s="36" t="str">
        <x:v>19950630</x:v>
      </x:c>
      <x:c r="AC70" s="36"/>
      <x:c r="AD70" s="36"/>
      <x:c r="AE70" s="36" t="str">
        <x:v>I</x:v>
      </x:c>
      <x:c r="AF70" s="36" t="str">
        <x:v>PB</x:v>
      </x:c>
      <x:c r="AG70" s="36" t="n">
        <x:v>1995</x:v>
      </x:c>
      <x:c r="AH70" s="36"/>
      <x:c r="AI70" s="36" t="str">
        <x:v>94500000000002790</x:v>
      </x:c>
      <x:c r="AJ70" s="38" t="str">
        <x:v>{"kw":99,"vin":"94500000000002790","brand":"VOLVO 945-811 SE 2.3","fuel1":"1","fuel2":"0","fuel3":"0","plate":"TEST-2790","is_4wd":"0","gearbox":"M","fab_code":"VO","group_no":"005662","model_no":"005662","body_code":"03","model_year":1995,"eu_category":"M1","vehicle_type":"PB","vehicle_year":1995,"vehicle_class":"I","registration_date":"19950630"}</x:v>
      </x:c>
    </x:row>
    <x:row r="71" ht="18" customHeight="1">
      <x:c r="A71" s="36" t="n">
        <x:v>2791</x:v>
      </x:c>
      <x:c r="B71" s="36" t="str">
        <x:v>normalization-review-passenger-250-v1-rules-20260805T184409855703Z</x:v>
      </x:c>
      <x:c r="C71" s="36" t="n">
        <x:v>46239.78067008102</x:v>
      </x:c>
      <x:c r="D71" s="38" t="str">
        <x:v>"2026-08-05T18:44:09.895308+00:00"</x:v>
      </x:c>
      <x:c r="E71" s="36"/>
      <x:c r="F71" s="36" t="str">
        <x:v>03</x:v>
      </x:c>
      <x:c r="G71" s="36"/>
      <x:c r="H71" s="36" t="str">
        <x:v>MAZDA 626 KOMBI 2,0D GLX</x:v>
      </x:c>
      <x:c r="I71" s="36"/>
      <x:c r="J71" s="36" t="str">
        <x:v>199812</x:v>
      </x:c>
      <x:c r="K71" s="36"/>
      <x:c r="L71" s="36" t="str">
        <x:v>M1</x:v>
      </x:c>
      <x:c r="M71" s="36"/>
      <x:c r="N71" s="36" t="str">
        <x:v>MZ</x:v>
      </x:c>
      <x:c r="O71" s="36" t="str">
        <x:v>2</x:v>
      </x:c>
      <x:c r="P71" s="36" t="str">
        <x:v>0</x:v>
      </x:c>
      <x:c r="Q71" s="36" t="str">
        <x:v>0</x:v>
      </x:c>
      <x:c r="R71" s="36"/>
      <x:c r="S71" s="36" t="str">
        <x:v>M</x:v>
      </x:c>
      <x:c r="T71" s="36" t="str">
        <x:v>322512</x:v>
      </x:c>
      <x:c r="U71" s="36" t="str">
        <x:v>0</x:v>
      </x:c>
      <x:c r="V71" s="36" t="n">
        <x:v>74</x:v>
      </x:c>
      <x:c r="W71" s="36"/>
      <x:c r="X71" s="36"/>
      <x:c r="Y71" s="36"/>
      <x:c r="Z71" s="36"/>
      <x:c r="AA71" s="36" t="str">
        <x:v>TEST-2791</x:v>
      </x:c>
      <x:c r="AB71" s="36" t="str">
        <x:v>20000526</x:v>
      </x:c>
      <x:c r="AC71" s="36"/>
      <x:c r="AD71" s="36" t="str">
        <x:v>19R</x:v>
      </x:c>
      <x:c r="AE71" s="36" t="str">
        <x:v>I</x:v>
      </x:c>
      <x:c r="AF71" s="36" t="str">
        <x:v>PB</x:v>
      </x:c>
      <x:c r="AG71" s="36" t="n">
        <x:v>1998</x:v>
      </x:c>
      <x:c r="AH71" s="36" t="str">
        <x:v>2E</x:v>
      </x:c>
      <x:c r="AI71" s="36" t="str">
        <x:v>GW100000000002791</x:v>
      </x:c>
      <x:c r="AJ71" s="38" t="str">
        <x:v>{"kw":74,"vin":"GW100000000002791","brand":"MAZDA 626 KOMBI 2,0D GLX","fuel1":"2","fuel2":"0","fuel3":"0","plate":"TEST-2791","is_4wd":"0","gearbox":"M","variant":"19R","version":"2E","fab_code":"MZ","group_no":"322512","body_code":"03","build_month":"199812","eu_category":"M1","vehicle_type":"PB","vehicle_year":1998,"vehicle_class":"I","registration_date":"20000526"}</x:v>
      </x:c>
    </x:row>
    <x:row r="72" ht="18" customHeight="1">
      <x:c r="A72" s="36" t="n">
        <x:v>2792</x:v>
      </x:c>
      <x:c r="B72" s="36" t="str">
        <x:v>normalization-review-passenger-250-v1-rules-20260805T184409855703Z</x:v>
      </x:c>
      <x:c r="C72" s="36" t="n">
        <x:v>46239.78067008102</x:v>
      </x:c>
      <x:c r="D72" s="38" t="str">
        <x:v>"2026-08-05T18:44:09.895308+00:00"</x:v>
      </x:c>
      <x:c r="E72" s="36"/>
      <x:c r="F72" s="36" t="str">
        <x:v>03</x:v>
      </x:c>
      <x:c r="G72" s="36"/>
      <x:c r="H72" s="36" t="str">
        <x:v>TOYOTA COROLLA DLX</x:v>
      </x:c>
      <x:c r="I72" s="36"/>
      <x:c r="J72" s="36"/>
      <x:c r="K72" s="36"/>
      <x:c r="L72" s="36" t="str">
        <x:v>M1</x:v>
      </x:c>
      <x:c r="M72" s="36"/>
      <x:c r="N72" s="36" t="str">
        <x:v>TO</x:v>
      </x:c>
      <x:c r="O72" s="36" t="str">
        <x:v>1</x:v>
      </x:c>
      <x:c r="P72" s="36" t="str">
        <x:v>0</x:v>
      </x:c>
      <x:c r="Q72" s="36" t="str">
        <x:v>0</x:v>
      </x:c>
      <x:c r="R72" s="36"/>
      <x:c r="S72" s="36" t="str">
        <x:v>M</x:v>
      </x:c>
      <x:c r="T72" s="36" t="str">
        <x:v>002128</x:v>
      </x:c>
      <x:c r="U72" s="36" t="str">
        <x:v>0</x:v>
      </x:c>
      <x:c r="V72" s="36" t="n">
        <x:v>55</x:v>
      </x:c>
      <x:c r="W72" s="36"/>
      <x:c r="X72" s="36"/>
      <x:c r="Y72" s="36" t="str">
        <x:v>002128</x:v>
      </x:c>
      <x:c r="Z72" s="36" t="n">
        <x:v>1986</x:v>
      </x:c>
      <x:c r="AA72" s="36" t="str">
        <x:v>TEST-2792</x:v>
      </x:c>
      <x:c r="AB72" s="36" t="str">
        <x:v>19851017</x:v>
      </x:c>
      <x:c r="AC72" s="36"/>
      <x:c r="AD72" s="36"/>
      <x:c r="AE72" s="36" t="str">
        <x:v>I</x:v>
      </x:c>
      <x:c r="AF72" s="36" t="str">
        <x:v>PB</x:v>
      </x:c>
      <x:c r="AG72" s="36" t="n">
        <x:v>1986</x:v>
      </x:c>
      <x:c r="AH72" s="36"/>
      <x:c r="AI72" s="36" t="str">
        <x:v>G0A00000000002792</x:v>
      </x:c>
      <x:c r="AJ72" s="38" t="str">
        <x:v>{"kw":55,"vin":"G0A00000000002792","brand":"TOYOTA COROLLA DLX","fuel1":"1","fuel2":"0","fuel3":"0","plate":"TEST-2792","is_4wd":"0","gearbox":"M","fab_code":"TO","group_no":"002128","model_no":"002128","body_code":"03","model_year":1986,"eu_category":"M1","vehicle_type":"PB","vehicle_year":1986,"vehicle_class":"I","registration_date":"19851017"}</x:v>
      </x:c>
    </x:row>
    <x:row r="73" ht="18" customHeight="1">
      <x:c r="A73" s="36" t="n">
        <x:v>2793</x:v>
      </x:c>
      <x:c r="B73" s="36" t="str">
        <x:v>normalization-review-passenger-250-v1-rules-20260805T184409855703Z</x:v>
      </x:c>
      <x:c r="C73" s="36" t="n">
        <x:v>46239.78067008102</x:v>
      </x:c>
      <x:c r="D73" s="38" t="str">
        <x:v>"2026-08-05T18:44:09.895308+00:00"</x:v>
      </x:c>
      <x:c r="E73" s="36"/>
      <x:c r="F73" s="36" t="str">
        <x:v>AF</x:v>
      </x:c>
      <x:c r="G73" s="36"/>
      <x:c r="H73" s="36" t="str">
        <x:v>HONDA</x:v>
      </x:c>
      <x:c r="I73" s="36"/>
      <x:c r="J73" s="36"/>
      <x:c r="K73" s="36" t="n">
        <x:v>1597</x:v>
      </x:c>
      <x:c r="L73" s="36" t="str">
        <x:v>M1</x:v>
      </x:c>
      <x:c r="M73" s="36"/>
      <x:c r="N73" s="36" t="str">
        <x:v>HO</x:v>
      </x:c>
      <x:c r="O73" s="36" t="str">
        <x:v>2</x:v>
      </x:c>
      <x:c r="P73" s="36" t="str">
        <x:v>0</x:v>
      </x:c>
      <x:c r="Q73" s="36" t="str">
        <x:v>0</x:v>
      </x:c>
      <x:c r="R73" s="36"/>
      <x:c r="S73" s="36" t="str">
        <x:v>M</x:v>
      </x:c>
      <x:c r="T73" s="36" t="str">
        <x:v>033724</x:v>
      </x:c>
      <x:c r="U73" s="36" t="str">
        <x:v>0</x:v>
      </x:c>
      <x:c r="V73" s="36" t="n">
        <x:v>88</x:v>
      </x:c>
      <x:c r="W73" s="36"/>
      <x:c r="X73" s="36" t="str">
        <x:v>CIVIC TOURER</x:v>
      </x:c>
      <x:c r="Y73" s="36"/>
      <x:c r="Z73" s="36" t="n">
        <x:v>2014</x:v>
      </x:c>
      <x:c r="AA73" s="36" t="str">
        <x:v>TEST-2793</x:v>
      </x:c>
      <x:c r="AB73" s="36" t="str">
        <x:v>20140328</x:v>
      </x:c>
      <x:c r="AC73" s="36" t="str">
        <x:v>FK3</x:v>
      </x:c>
      <x:c r="AD73" s="36" t="str">
        <x:v>4</x:v>
      </x:c>
      <x:c r="AE73" s="36" t="str">
        <x:v>I</x:v>
      </x:c>
      <x:c r="AF73" s="36" t="str">
        <x:v>PB</x:v>
      </x:c>
      <x:c r="AG73" s="36" t="n">
        <x:v>2014</x:v>
      </x:c>
      <x:c r="AH73" s="36" t="str">
        <x:v>1</x:v>
      </x:c>
      <x:c r="AI73" s="36" t="str">
        <x:v>SHH00000000002793</x:v>
      </x:c>
      <x:c r="AJ73" s="38" t="str">
        <x:v>{"kw":88,"ccm":1597,"vin":"SHH00000000002793","brand":"HONDA","fuel1":"2","fuel2":"0","fuel3":"0","model":"CIVIC TOURER","plate":"TEST-2793","is_4wd":"0","gearbox":"M","variant":"4","version":"1","fab_code":"HO","group_no":"033724","body_code":"AF","type_text":"FK3","model_year":2014,"eu_category":"M1","vehicle_type":"PB","vehicle_year":2014,"vehicle_class":"I","registration_date":"20140328"}</x:v>
      </x:c>
    </x:row>
    <x:row r="74" ht="18" customHeight="1">
      <x:c r="A74" s="36" t="n">
        <x:v>2794</x:v>
      </x:c>
      <x:c r="B74" s="36" t="str">
        <x:v>normalization-review-passenger-250-v1-rules-20260805T184409855703Z</x:v>
      </x:c>
      <x:c r="C74" s="36" t="n">
        <x:v>46239.78067008102</x:v>
      </x:c>
      <x:c r="D74" s="38" t="str">
        <x:v>"2026-08-05T18:44:09.895308+00:00"</x:v>
      </x:c>
      <x:c r="E74" s="36"/>
      <x:c r="F74" s="36" t="str">
        <x:v>03</x:v>
      </x:c>
      <x:c r="G74" s="36"/>
      <x:c r="H74" s="36" t="str">
        <x:v>JEEP GRAND CHEROKEE</x:v>
      </x:c>
      <x:c r="I74" s="36"/>
      <x:c r="J74" s="36"/>
      <x:c r="K74" s="36"/>
      <x:c r="L74" s="36" t="str">
        <x:v>M1</x:v>
      </x:c>
      <x:c r="M74" s="36"/>
      <x:c r="N74" s="36" t="str">
        <x:v>JP</x:v>
      </x:c>
      <x:c r="O74" s="36" t="str">
        <x:v>1</x:v>
      </x:c>
      <x:c r="P74" s="36" t="str">
        <x:v>0</x:v>
      </x:c>
      <x:c r="Q74" s="36" t="str">
        <x:v>0</x:v>
      </x:c>
      <x:c r="R74" s="36"/>
      <x:c r="S74" s="36" t="str">
        <x:v>A</x:v>
      </x:c>
      <x:c r="T74" s="36" t="str">
        <x:v>112113</x:v>
      </x:c>
      <x:c r="U74" s="36" t="str">
        <x:v>1</x:v>
      </x:c>
      <x:c r="V74" s="36" t="n">
        <x:v>162</x:v>
      </x:c>
      <x:c r="W74" s="36"/>
      <x:c r="X74" s="36"/>
      <x:c r="Y74" s="36"/>
      <x:c r="Z74" s="36" t="n">
        <x:v>1999</x:v>
      </x:c>
      <x:c r="AA74" s="36" t="str">
        <x:v>TEST-2794</x:v>
      </x:c>
      <x:c r="AB74" s="36" t="str">
        <x:v>19990505</x:v>
      </x:c>
      <x:c r="AC74" s="36"/>
      <x:c r="AD74" s="36" t="str">
        <x:v>8LNB</x:v>
      </x:c>
      <x:c r="AE74" s="36" t="str">
        <x:v>I</x:v>
      </x:c>
      <x:c r="AF74" s="36" t="str">
        <x:v>PB</x:v>
      </x:c>
      <x:c r="AG74" s="36" t="n">
        <x:v>1999</x:v>
      </x:c>
      <x:c r="AH74" s="36" t="str">
        <x:v>X0</x:v>
      </x:c>
      <x:c r="AI74" s="36" t="str">
        <x:v>GWB00000000002794</x:v>
      </x:c>
      <x:c r="AJ74" s="38" t="str">
        <x:v>{"kw":162,"vin":"GWB00000000002794","brand":"JEEP GRAND CHEROKEE","fuel1":"1","fuel2":"0","fuel3":"0","plate":"TEST-2794","is_4wd":"1","gearbox":"A","variant":"8LNB","version":"X0","fab_code":"JP","group_no":"112113","body_code":"03","model_year":1999,"eu_category":"M1","vehicle_type":"PB","vehicle_year":1999,"vehicle_class":"I","registration_date":"19990505"}</x:v>
      </x:c>
    </x:row>
    <x:row r="75" ht="18" customHeight="1">
      <x:c r="A75" s="36" t="n">
        <x:v>2795</x:v>
      </x:c>
      <x:c r="B75" s="36" t="str">
        <x:v>normalization-review-passenger-250-v1-rules-20260805T184409855703Z</x:v>
      </x:c>
      <x:c r="C75" s="36" t="n">
        <x:v>46239.78067008102</x:v>
      </x:c>
      <x:c r="D75" s="38" t="str">
        <x:v>"2026-08-05T18:44:09.895308+00:00"</x:v>
      </x:c>
      <x:c r="E75" s="36"/>
      <x:c r="F75" s="36" t="str">
        <x:v>AC</x:v>
      </x:c>
      <x:c r="G75" s="36"/>
      <x:c r="H75" s="36" t="str">
        <x:v>VOLVO</x:v>
      </x:c>
      <x:c r="I75" s="36" t="str">
        <x:v>20230104</x:v>
      </x:c>
      <x:c r="J75" s="36" t="str">
        <x:v>202301</x:v>
      </x:c>
      <x:c r="K75" s="36" t="n">
        <x:v>1969</x:v>
      </x:c>
      <x:c r="L75" s="36" t="str">
        <x:v>M1</x:v>
      </x:c>
      <x:c r="M75" s="36" t="str">
        <x:v>ELHYBRID</x:v>
      </x:c>
      <x:c r="N75" s="36" t="str">
        <x:v>VO</x:v>
      </x:c>
      <x:c r="O75" s="36" t="str">
        <x:v>1</x:v>
      </x:c>
      <x:c r="P75" s="36" t="str">
        <x:v>0</x:v>
      </x:c>
      <x:c r="Q75" s="36" t="str">
        <x:v>0</x:v>
      </x:c>
      <x:c r="R75" s="36"/>
      <x:c r="S75" s="36" t="str">
        <x:v>A</x:v>
      </x:c>
      <x:c r="T75" s="36" t="str">
        <x:v>023209</x:v>
      </x:c>
      <x:c r="U75" s="36" t="str">
        <x:v>0</x:v>
      </x:c>
      <x:c r="V75" s="36" t="n">
        <x:v>120</x:v>
      </x:c>
      <x:c r="W75" s="36" t="str">
        <x:v>VOLVO PERSONVAGNAR AB</x:v>
      </x:c>
      <x:c r="X75" s="36" t="str">
        <x:v>XC40</x:v>
      </x:c>
      <x:c r="Y75" s="36"/>
      <x:c r="Z75" s="36"/>
      <x:c r="AA75" s="36" t="str">
        <x:v>TEST-2795</x:v>
      </x:c>
      <x:c r="AB75" s="36" t="str">
        <x:v>20230119</x:v>
      </x:c>
      <x:c r="AC75" s="36" t="str">
        <x:v>X</x:v>
      </x:c>
      <x:c r="AD75" s="36" t="str">
        <x:v>XZK7</x:v>
      </x:c>
      <x:c r="AE75" s="36" t="str">
        <x:v>I</x:v>
      </x:c>
      <x:c r="AF75" s="36" t="str">
        <x:v>PB</x:v>
      </x:c>
      <x:c r="AG75" s="36" t="n">
        <x:v>2023</x:v>
      </x:c>
      <x:c r="AH75" s="36" t="str">
        <x:v>XZK7VF0?</x:v>
      </x:c>
      <x:c r="AI75" s="36" t="str">
        <x:v>YV100000000002795</x:v>
      </x:c>
      <x:c r="AJ75" s="38" t="str">
        <x:v>{"kw":120,"ccm":1969,"vin":"YV100000000002795","brand":"VOLVO","fuel1":"1","fuel2":"0","fuel3":"0","model":"XC40","plate":"TEST-2795","is_4wd":"0","gearbox":"A","variant":"XZK7","version":"XZK7VF0?","fab_code":"VO","group_no":"023209","body_code":"AC","ev_config":"ELHYBRID","type_text":"X","build_date":"20230104","build_month":"202301","eu_category":"M1","manufacturer":"VOLVO PERSONVAGNAR AB","vehicle_type":"PB","vehicle_year":2023,"vehicle_class":"I","registration_date":"20230119"}</x:v>
      </x:c>
    </x:row>
    <x:row r="76" ht="18" customHeight="1">
      <x:c r="A76" s="36" t="n">
        <x:v>2796</x:v>
      </x:c>
      <x:c r="B76" s="36" t="str">
        <x:v>normalization-review-passenger-250-v1-rules-20260805T184409855703Z</x:v>
      </x:c>
      <x:c r="C76" s="36" t="n">
        <x:v>46239.78067008102</x:v>
      </x:c>
      <x:c r="D76" s="38" t="str">
        <x:v>"2026-08-05T18:44:09.895308+00:00"</x:v>
      </x:c>
      <x:c r="E76" s="36"/>
      <x:c r="F76" s="36" t="str">
        <x:v>AA</x:v>
      </x:c>
      <x:c r="G76" s="36"/>
      <x:c r="H76" s="36" t="str">
        <x:v>MERCEDES-BENZ S 350</x:v>
      </x:c>
      <x:c r="I76" s="36"/>
      <x:c r="J76" s="36" t="str">
        <x:v>200701</x:v>
      </x:c>
      <x:c r="K76" s="36" t="n">
        <x:v>3498</x:v>
      </x:c>
      <x:c r="L76" s="36" t="str">
        <x:v>M1</x:v>
      </x:c>
      <x:c r="M76" s="36"/>
      <x:c r="N76" s="36" t="str">
        <x:v>MB</x:v>
      </x:c>
      <x:c r="O76" s="36" t="str">
        <x:v>1</x:v>
      </x:c>
      <x:c r="P76" s="36" t="str">
        <x:v>0</x:v>
      </x:c>
      <x:c r="Q76" s="36" t="str">
        <x:v>0</x:v>
      </x:c>
      <x:c r="R76" s="36"/>
      <x:c r="S76" s="36" t="str">
        <x:v>A</x:v>
      </x:c>
      <x:c r="T76" s="36" t="str">
        <x:v>560561</x:v>
      </x:c>
      <x:c r="U76" s="36" t="str">
        <x:v>0</x:v>
      </x:c>
      <x:c r="V76" s="36" t="n">
        <x:v>200</x:v>
      </x:c>
      <x:c r="W76" s="36"/>
      <x:c r="X76" s="36"/>
      <x:c r="Y76" s="36"/>
      <x:c r="Z76" s="36"/>
      <x:c r="AA76" s="36" t="str">
        <x:v>TEST-2796</x:v>
      </x:c>
      <x:c r="AB76" s="36" t="str">
        <x:v>20070316</x:v>
      </x:c>
      <x:c r="AC76" s="36" t="str">
        <x:v>221</x:v>
      </x:c>
      <x:c r="AD76" s="36" t="str">
        <x:v>I056K0</x:v>
      </x:c>
      <x:c r="AE76" s="36" t="str">
        <x:v>I</x:v>
      </x:c>
      <x:c r="AF76" s="36" t="str">
        <x:v>PB</x:v>
      </x:c>
      <x:c r="AG76" s="36" t="n">
        <x:v>2007</x:v>
      </x:c>
      <x:c r="AH76" s="36" t="str">
        <x:v>NZAAB501</x:v>
      </x:c>
      <x:c r="AI76" s="36" t="str">
        <x:v>WDD00000000002796</x:v>
      </x:c>
      <x:c r="AJ76" s="38" t="str">
        <x:v>{"kw":200,"ccm":3498,"vin":"WDD00000000002796","brand":"MERCEDES-BENZ S 350","fuel1":"1","fuel2":"0","fuel3":"0","plate":"TEST-2796","is_4wd":"0","gearbox":"A","variant":"I056K0","version":"NZAAB501","fab_code":"MB","group_no":"560561","body_code":"AA","type_text":"221","build_month":"200701","eu_category":"M1","vehicle_type":"PB","vehicle_year":2007,"vehicle_class":"I","registration_date":"20070316"}</x:v>
      </x:c>
    </x:row>
    <x:row r="77" ht="18" customHeight="1">
      <x:c r="A77" s="36" t="n">
        <x:v>2797</x:v>
      </x:c>
      <x:c r="B77" s="36" t="str">
        <x:v>normalization-review-passenger-250-v1-rules-20260805T184409855703Z</x:v>
      </x:c>
      <x:c r="C77" s="36" t="n">
        <x:v>46239.78067008102</x:v>
      </x:c>
      <x:c r="D77" s="38" t="str">
        <x:v>"2026-08-05T18:44:09.895308+00:00"</x:v>
      </x:c>
      <x:c r="E77" s="36"/>
      <x:c r="F77" s="36" t="str">
        <x:v>AC</x:v>
      </x:c>
      <x:c r="G77" s="36"/>
      <x:c r="H77" s="36" t="str">
        <x:v>VOLKSWAGEN, VW  AU</x:v>
      </x:c>
      <x:c r="I77" s="36"/>
      <x:c r="J77" s="36" t="str">
        <x:v>201409</x:v>
      </x:c>
      <x:c r="K77" s="36" t="n">
        <x:v>1197</x:v>
      </x:c>
      <x:c r="L77" s="36" t="str">
        <x:v>M1</x:v>
      </x:c>
      <x:c r="M77" s="36"/>
      <x:c r="N77" s="36" t="str">
        <x:v>VW</x:v>
      </x:c>
      <x:c r="O77" s="36" t="str">
        <x:v>1</x:v>
      </x:c>
      <x:c r="P77" s="36" t="str">
        <x:v>0</x:v>
      </x:c>
      <x:c r="Q77" s="36" t="str">
        <x:v>0</x:v>
      </x:c>
      <x:c r="R77" s="36"/>
      <x:c r="S77" s="36" t="str">
        <x:v>M</x:v>
      </x:c>
      <x:c r="T77" s="36" t="str">
        <x:v>714107</x:v>
      </x:c>
      <x:c r="U77" s="36" t="str">
        <x:v>0</x:v>
      </x:c>
      <x:c r="V77" s="36" t="n">
        <x:v>77</x:v>
      </x:c>
      <x:c r="W77" s="36"/>
      <x:c r="X77" s="36" t="str">
        <x:v>GOLF</x:v>
      </x:c>
      <x:c r="Y77" s="36"/>
      <x:c r="Z77" s="36"/>
      <x:c r="AA77" s="36" t="str">
        <x:v>TEST-2797</x:v>
      </x:c>
      <x:c r="AB77" s="36" t="str">
        <x:v>20141030</x:v>
      </x:c>
      <x:c r="AC77" s="36" t="str">
        <x:v>AU</x:v>
      </x:c>
      <x:c r="AD77" s="36" t="str">
        <x:v>GAC4CJZAX0</x:v>
      </x:c>
      <x:c r="AE77" s="36" t="str">
        <x:v>I</x:v>
      </x:c>
      <x:c r="AF77" s="36" t="str">
        <x:v>PB</x:v>
      </x:c>
      <x:c r="AG77" s="36" t="n">
        <x:v>2014</x:v>
      </x:c>
      <x:c r="AH77" s="36" t="str">
        <x:v>FM6FM6AJ009N7MJON1VL00VR2</x:v>
      </x:c>
      <x:c r="AI77" s="36" t="str">
        <x:v>WVW00000000002797</x:v>
      </x:c>
      <x:c r="AJ77" s="38" t="str">
        <x:v>{"kw":77,"ccm":1197,"vin":"WVW00000000002797","brand":"VOLKSWAGEN, VW  AU","fuel1":"1","fuel2":"0","fuel3":"0","model":"GOLF","plate":"TEST-2797","is_4wd":"0","gearbox":"M","variant":"GAC4CJZAX0","version":"FM6FM6AJ009N7MJON1VL00VR2","fab_code":"VW","group_no":"714107","body_code":"AC","type_text":"AU","build_month":"201409","eu_category":"M1","vehicle_type":"PB","vehicle_year":2014,"vehicle_class":"I","registration_date":"20141030"}</x:v>
      </x:c>
    </x:row>
    <x:row r="78" ht="18" customHeight="1">
      <x:c r="A78" s="36" t="n">
        <x:v>2798</x:v>
      </x:c>
      <x:c r="B78" s="36" t="str">
        <x:v>normalization-review-passenger-250-v1-rules-20260805T184409855703Z</x:v>
      </x:c>
      <x:c r="C78" s="36" t="n">
        <x:v>46239.78067008102</x:v>
      </x:c>
      <x:c r="D78" s="38" t="str">
        <x:v>"2026-08-05T18:44:09.895308+00:00"</x:v>
      </x:c>
      <x:c r="E78" s="36"/>
      <x:c r="F78" s="36" t="str">
        <x:v>01</x:v>
      </x:c>
      <x:c r="G78" s="36"/>
      <x:c r="H78" s="36" t="str">
        <x:v>STUDEBAKER PRESIDENT</x:v>
      </x:c>
      <x:c r="I78" s="36"/>
      <x:c r="J78" s="36"/>
      <x:c r="K78" s="36"/>
      <x:c r="L78" s="36" t="str">
        <x:v>M1</x:v>
      </x:c>
      <x:c r="M78" s="36"/>
      <x:c r="N78" s="36" t="str">
        <x:v>ST</x:v>
      </x:c>
      <x:c r="O78" s="36" t="str">
        <x:v>1</x:v>
      </x:c>
      <x:c r="P78" s="36" t="str">
        <x:v>0</x:v>
      </x:c>
      <x:c r="Q78" s="36" t="str">
        <x:v>0</x:v>
      </x:c>
      <x:c r="R78" s="36"/>
      <x:c r="S78" s="36" t="str">
        <x:v>M</x:v>
      </x:c>
      <x:c r="T78" s="36"/>
      <x:c r="U78" s="36" t="str">
        <x:v>0</x:v>
      </x:c>
      <x:c r="V78" s="36" t="n">
        <x:v>129</x:v>
      </x:c>
      <x:c r="W78" s="36"/>
      <x:c r="X78" s="36"/>
      <x:c r="Y78" s="36"/>
      <x:c r="Z78" s="36" t="n">
        <x:v>1955</x:v>
      </x:c>
      <x:c r="AA78" s="36" t="str">
        <x:v>TEST-2798</x:v>
      </x:c>
      <x:c r="AB78" s="36" t="str">
        <x:v>20090626</x:v>
      </x:c>
      <x:c r="AC78" s="36"/>
      <x:c r="AD78" s="36"/>
      <x:c r="AE78" s="36" t="str">
        <x:v>I</x:v>
      </x:c>
      <x:c r="AF78" s="36" t="str">
        <x:v>PB</x:v>
      </x:c>
      <x:c r="AG78" s="36" t="n">
        <x:v>1955</x:v>
      </x:c>
      <x:c r="AH78" s="36"/>
      <x:c r="AI78" s="36" t="str">
        <x:v>71500000000002798</x:v>
      </x:c>
      <x:c r="AJ78" s="38" t="str">
        <x:v>{"kw":129,"vin":"71500000000002798","brand":"STUDEBAKER PRESIDENT","fuel1":"1","fuel2":"0","fuel3":"0","plate":"TEST-2798","is_4wd":"0","gearbox":"M","fab_code":"ST","body_code":"01","model_year":1955,"eu_category":"M1","vehicle_type":"PB","vehicle_year":1955,"vehicle_class":"I","registration_date":"20090626"}</x:v>
      </x:c>
    </x:row>
    <x:row r="79" ht="18" customHeight="1">
      <x:c r="A79" s="36" t="n">
        <x:v>2799</x:v>
      </x:c>
      <x:c r="B79" s="36" t="str">
        <x:v>normalization-review-passenger-250-v1-rules-20260805T184409855703Z</x:v>
      </x:c>
      <x:c r="C79" s="36" t="n">
        <x:v>46239.78067008102</x:v>
      </x:c>
      <x:c r="D79" s="38" t="str">
        <x:v>"2026-08-05T18:44:09.895308+00:00"</x:v>
      </x:c>
      <x:c r="E79" s="36"/>
      <x:c r="F79" s="36" t="str">
        <x:v>AC</x:v>
      </x:c>
      <x:c r="G79" s="36"/>
      <x:c r="H79" s="36" t="str">
        <x:v>VOLVO F + V60</x:v>
      </x:c>
      <x:c r="I79" s="36"/>
      <x:c r="J79" s="36" t="str">
        <x:v>201108</x:v>
      </x:c>
      <x:c r="K79" s="36" t="n">
        <x:v>1596</x:v>
      </x:c>
      <x:c r="L79" s="36" t="str">
        <x:v>M1</x:v>
      </x:c>
      <x:c r="M79" s="36"/>
      <x:c r="N79" s="36" t="str">
        <x:v>VO</x:v>
      </x:c>
      <x:c r="O79" s="36" t="str">
        <x:v>1</x:v>
      </x:c>
      <x:c r="P79" s="36" t="str">
        <x:v>0</x:v>
      </x:c>
      <x:c r="Q79" s="36" t="str">
        <x:v>0</x:v>
      </x:c>
      <x:c r="R79" s="36"/>
      <x:c r="S79" s="36" t="str">
        <x:v>M</x:v>
      </x:c>
      <x:c r="T79" s="36" t="str">
        <x:v>012315</x:v>
      </x:c>
      <x:c r="U79" s="36" t="str">
        <x:v>0</x:v>
      </x:c>
      <x:c r="V79" s="36" t="n">
        <x:v>132</x:v>
      </x:c>
      <x:c r="W79" s="36"/>
      <x:c r="X79" s="36" t="str">
        <x:v>V60</x:v>
      </x:c>
      <x:c r="Y79" s="36"/>
      <x:c r="Z79" s="36"/>
      <x:c r="AA79" s="36" t="str">
        <x:v>TEST-2799</x:v>
      </x:c>
      <x:c r="AB79" s="36" t="str">
        <x:v>20110902</x:v>
      </x:c>
      <x:c r="AC79" s="36" t="str">
        <x:v>F</x:v>
      </x:c>
      <x:c r="AD79" s="36" t="str">
        <x:v>FW48</x:v>
      </x:c>
      <x:c r="AE79" s="36" t="str">
        <x:v>I</x:v>
      </x:c>
      <x:c r="AF79" s="36" t="str">
        <x:v>PB</x:v>
      </x:c>
      <x:c r="AG79" s="36" t="n">
        <x:v>2011</x:v>
      </x:c>
      <x:c r="AH79" s="36" t="str">
        <x:v>FW48A1??</x:v>
      </x:c>
      <x:c r="AI79" s="36" t="str">
        <x:v>YV100000000002799</x:v>
      </x:c>
      <x:c r="AJ79" s="38" t="str">
        <x:v>{"kw":132,"ccm":1596,"vin":"YV100000000002799","brand":"VOLVO F + V60","fuel1":"1","fuel2":"0","fuel3":"0","model":"V60","plate":"TEST-2799","is_4wd":"0","gearbox":"M","variant":"FW48","version":"FW48A1??","fab_code":"VO","group_no":"012315","body_code":"AC","type_text":"F","build_month":"201108","eu_category":"M1","vehicle_type":"PB","vehicle_year":2011,"vehicle_class":"I","registration_date":"20110902"}</x:v>
      </x:c>
    </x:row>
    <x:row r="80" ht="18" customHeight="1">
      <x:c r="A80" s="36" t="n">
        <x:v>2800</x:v>
      </x:c>
      <x:c r="B80" s="36" t="str">
        <x:v>normalization-review-passenger-250-v1-rules-20260805T184409855703Z</x:v>
      </x:c>
      <x:c r="C80" s="36" t="n">
        <x:v>46239.78067008102</x:v>
      </x:c>
      <x:c r="D80" s="38" t="str">
        <x:v>"2026-08-05T18:44:09.895308+00:00"</x:v>
      </x:c>
      <x:c r="E80" s="36"/>
      <x:c r="F80" s="36" t="str">
        <x:v>01</x:v>
      </x:c>
      <x:c r="G80" s="36"/>
      <x:c r="H80" s="36" t="str">
        <x:v>FORD MODEL T</x:v>
      </x:c>
      <x:c r="I80" s="36"/>
      <x:c r="J80" s="36"/>
      <x:c r="K80" s="36"/>
      <x:c r="L80" s="36" t="str">
        <x:v>M1</x:v>
      </x:c>
      <x:c r="M80" s="36"/>
      <x:c r="N80" s="36" t="str">
        <x:v>FO</x:v>
      </x:c>
      <x:c r="O80" s="36" t="str">
        <x:v>1</x:v>
      </x:c>
      <x:c r="P80" s="36" t="str">
        <x:v>0</x:v>
      </x:c>
      <x:c r="Q80" s="36" t="str">
        <x:v>0</x:v>
      </x:c>
      <x:c r="R80" s="36"/>
      <x:c r="S80" s="36" t="str">
        <x:v>M</x:v>
      </x:c>
      <x:c r="T80" s="36" t="str">
        <x:v>000100</x:v>
      </x:c>
      <x:c r="U80" s="36" t="str">
        <x:v>0</x:v>
      </x:c>
      <x:c r="V80" s="36" t="n">
        <x:v>15</x:v>
      </x:c>
      <x:c r="W80" s="36"/>
      <x:c r="X80" s="36"/>
      <x:c r="Y80" s="36" t="str">
        <x:v>000100</x:v>
      </x:c>
      <x:c r="Z80" s="36" t="n">
        <x:v>1926</x:v>
      </x:c>
      <x:c r="AA80" s="36" t="str">
        <x:v>TEST-2800</x:v>
      </x:c>
      <x:c r="AB80" s="36" t="str">
        <x:v>20060401</x:v>
      </x:c>
      <x:c r="AC80" s="36"/>
      <x:c r="AD80" s="36"/>
      <x:c r="AE80" s="36" t="str">
        <x:v>I</x:v>
      </x:c>
      <x:c r="AF80" s="36" t="str">
        <x:v>PB</x:v>
      </x:c>
      <x:c r="AG80" s="36" t="n">
        <x:v>1926</x:v>
      </x:c>
      <x:c r="AH80" s="36"/>
      <x:c r="AI80" s="36" t="str">
        <x:v>13800000000002800</x:v>
      </x:c>
      <x:c r="AJ80" s="38" t="str">
        <x:v>{"kw":15,"vin":"13800000000002800","brand":"FORD MODEL T","fuel1":"1","fuel2":"0","fuel3":"0","plate":"TEST-2800","is_4wd":"0","gearbox":"M","fab_code":"FO","group_no":"000100","model_no":"000100","body_code":"01","model_year":1926,"eu_category":"M1","vehicle_type":"PB","vehicle_year":1926,"vehicle_class":"I","registration_date":"20060401"}</x:v>
      </x:c>
    </x:row>
    <x:row r="81" ht="18" customHeight="1">
      <x:c r="A81" s="36" t="n">
        <x:v>2801</x:v>
      </x:c>
      <x:c r="B81" s="36" t="str">
        <x:v>normalization-review-passenger-250-v1-rules-20260805T184409855703Z</x:v>
      </x:c>
      <x:c r="C81" s="36" t="n">
        <x:v>46239.78067008102</x:v>
      </x:c>
      <x:c r="D81" s="38" t="str">
        <x:v>"2026-08-05T18:44:09.895308+00:00"</x:v>
      </x:c>
      <x:c r="E81" s="36"/>
      <x:c r="F81" s="36" t="str">
        <x:v>03</x:v>
      </x:c>
      <x:c r="G81" s="36"/>
      <x:c r="H81" s="36" t="str">
        <x:v>VOLVO 945-816 SE 2.3</x:v>
      </x:c>
      <x:c r="I81" s="36"/>
      <x:c r="J81" s="36"/>
      <x:c r="K81" s="36"/>
      <x:c r="L81" s="36" t="str">
        <x:v>M1</x:v>
      </x:c>
      <x:c r="M81" s="36"/>
      <x:c r="N81" s="36" t="str">
        <x:v>VO</x:v>
      </x:c>
      <x:c r="O81" s="36" t="str">
        <x:v>1</x:v>
      </x:c>
      <x:c r="P81" s="36" t="str">
        <x:v>0</x:v>
      </x:c>
      <x:c r="Q81" s="36" t="str">
        <x:v>0</x:v>
      </x:c>
      <x:c r="R81" s="36"/>
      <x:c r="S81" s="36" t="str">
        <x:v>Z</x:v>
      </x:c>
      <x:c r="T81" s="36" t="str">
        <x:v>005680</x:v>
      </x:c>
      <x:c r="U81" s="36" t="str">
        <x:v>0</x:v>
      </x:c>
      <x:c r="V81" s="36" t="n">
        <x:v>99</x:v>
      </x:c>
      <x:c r="W81" s="36"/>
      <x:c r="X81" s="36"/>
      <x:c r="Y81" s="36" t="str">
        <x:v>005680</x:v>
      </x:c>
      <x:c r="Z81" s="36" t="n">
        <x:v>1996</x:v>
      </x:c>
      <x:c r="AA81" s="36" t="str">
        <x:v>TEST-2801</x:v>
      </x:c>
      <x:c r="AB81" s="36" t="str">
        <x:v>19950926</x:v>
      </x:c>
      <x:c r="AC81" s="36"/>
      <x:c r="AD81" s="36"/>
      <x:c r="AE81" s="36" t="str">
        <x:v>I</x:v>
      </x:c>
      <x:c r="AF81" s="36" t="str">
        <x:v>PB</x:v>
      </x:c>
      <x:c r="AG81" s="36" t="n">
        <x:v>1996</x:v>
      </x:c>
      <x:c r="AH81" s="36"/>
      <x:c r="AI81" s="36" t="str">
        <x:v>94500000000002801</x:v>
      </x:c>
      <x:c r="AJ81" s="38" t="str">
        <x:v>{"kw":99,"vin":"94500000000002801","brand":"VOLVO 945-816 SE 2.3","fuel1":"1","fuel2":"0","fuel3":"0","plate":"TEST-2801","is_4wd":"0","gearbox":"Z","fab_code":"VO","group_no":"005680","model_no":"005680","body_code":"03","model_year":1996,"eu_category":"M1","vehicle_type":"PB","vehicle_year":1996,"vehicle_class":"I","registration_date":"19950926"}</x:v>
      </x:c>
    </x:row>
    <x:row r="82" ht="18" customHeight="1">
      <x:c r="A82" s="36" t="n">
        <x:v>2802</x:v>
      </x:c>
      <x:c r="B82" s="36" t="str">
        <x:v>normalization-review-passenger-250-v1-rules-20260805T184409855703Z</x:v>
      </x:c>
      <x:c r="C82" s="36" t="n">
        <x:v>46239.78067008102</x:v>
      </x:c>
      <x:c r="D82" s="38" t="str">
        <x:v>"2026-08-05T18:44:09.895308+00:00"</x:v>
      </x:c>
      <x:c r="E82" s="36" t="str">
        <x:v>FCA ITALY S.P.A. C. SO G. AGNELLI 200 10135 TURIN ITALY</x:v>
      </x:c>
      <x:c r="F82" s="36" t="str">
        <x:v>AF</x:v>
      </x:c>
      <x:c r="G82" s="36" t="str">
        <x:v>SA</x:v>
      </x:c>
      <x:c r="H82" s="36" t="str">
        <x:v>KABE</x:v>
      </x:c>
      <x:c r="I82" s="36"/>
      <x:c r="J82" s="36" t="str">
        <x:v>202010</x:v>
      </x:c>
      <x:c r="K82" s="36" t="n">
        <x:v>2287</x:v>
      </x:c>
      <x:c r="L82" s="36" t="str">
        <x:v>M1</x:v>
      </x:c>
      <x:c r="M82" s="36"/>
      <x:c r="N82" s="36" t="str">
        <x:v>KB</x:v>
      </x:c>
      <x:c r="O82" s="36" t="str">
        <x:v>2</x:v>
      </x:c>
      <x:c r="P82" s="36" t="str">
        <x:v>0</x:v>
      </x:c>
      <x:c r="Q82" s="36" t="str">
        <x:v>0</x:v>
      </x:c>
      <x:c r="R82" s="36"/>
      <x:c r="S82" s="36" t="str">
        <x:v>A</x:v>
      </x:c>
      <x:c r="T82" s="36" t="str">
        <x:v>899995</x:v>
      </x:c>
      <x:c r="U82" s="36" t="str">
        <x:v>0</x:v>
      </x:c>
      <x:c r="V82" s="36" t="n">
        <x:v>103</x:v>
      </x:c>
      <x:c r="W82" s="36" t="str">
        <x:v>KABE AB BOX 14 561 06 TENHULT</x:v>
      </x:c>
      <x:c r="X82" s="36"/>
      <x:c r="Y82" s="36"/>
      <x:c r="Z82" s="36"/>
      <x:c r="AA82" s="36" t="str">
        <x:v>TEST-2802</x:v>
      </x:c>
      <x:c r="AB82" s="36" t="str">
        <x:v>20201201</x:v>
      </x:c>
      <x:c r="AC82" s="36"/>
      <x:c r="AD82" s="36"/>
      <x:c r="AE82" s="36" t="str">
        <x:v>II</x:v>
      </x:c>
      <x:c r="AF82" s="36" t="str">
        <x:v>PB</x:v>
      </x:c>
      <x:c r="AG82" s="36" t="n">
        <x:v>2020</x:v>
      </x:c>
      <x:c r="AH82" s="36"/>
      <x:c r="AI82" s="36" t="str">
        <x:v>ZFA00000000002802</x:v>
      </x:c>
      <x:c r="AJ82" s="38" t="str">
        <x:v>{"kw":103,"ccm":2287,"vin":"ZFA00000000002802","brand":"KABE","fuel1":"2","fuel2":"0","fuel3":"0","plate":"TEST-2802","is_4wd":"0","gearbox":"A","fab_code":"KB","group_no":"899995","body_code":"AF","body_code2":"SA","build_month":"202010","eu_category":"M1","manufacturer":"KABE AB BOX 14 561 06 TENHULT","vehicle_type":"PB","vehicle_year":2020,"vehicle_class":"II","base_manufacturer":"FCA ITALY S.P.A. C. SO G. AGNELLI 200 10135 TURIN ITALY","registration_date":"20201201"}</x:v>
      </x:c>
    </x:row>
    <x:row r="83" ht="18" customHeight="1">
      <x:c r="A83" s="36" t="n">
        <x:v>2803</x:v>
      </x:c>
      <x:c r="B83" s="36" t="str">
        <x:v>normalization-review-passenger-250-v1-rules-20260805T184409855703Z</x:v>
      </x:c>
      <x:c r="C83" s="36" t="n">
        <x:v>46239.78067008102</x:v>
      </x:c>
      <x:c r="D83" s="38" t="str">
        <x:v>"2026-08-05T18:44:09.895308+00:00"</x:v>
      </x:c>
      <x:c r="E83" s="36"/>
      <x:c r="F83" s="36" t="str">
        <x:v>AF</x:v>
      </x:c>
      <x:c r="G83" s="36"/>
      <x:c r="H83" s="36" t="str">
        <x:v>HYUNDAI</x:v>
      </x:c>
      <x:c r="I83" s="36"/>
      <x:c r="J83" s="36" t="str">
        <x:v>202006</x:v>
      </x:c>
      <x:c r="K83" s="36"/>
      <x:c r="L83" s="36" t="str">
        <x:v>M1</x:v>
      </x:c>
      <x:c r="M83" s="36" t="str">
        <x:v>EL</x:v>
      </x:c>
      <x:c r="N83" s="36" t="str">
        <x:v>HK</x:v>
      </x:c>
      <x:c r="O83" s="36" t="str">
        <x:v>3</x:v>
      </x:c>
      <x:c r="P83" s="36" t="str">
        <x:v>0</x:v>
      </x:c>
      <x:c r="Q83" s="36" t="str">
        <x:v>0</x:v>
      </x:c>
      <x:c r="R83" s="36"/>
      <x:c r="S83" s="36"/>
      <x:c r="T83" s="36" t="str">
        <x:v>400021</x:v>
      </x:c>
      <x:c r="U83" s="36" t="str">
        <x:v>0</x:v>
      </x:c>
      <x:c r="V83" s="36"/>
      <x:c r="W83" s="36" t="str">
        <x:v>HYUNDAI MOTOR COMPANY 12,HEOLLEUNG-RO,SEOCHO-GU,SEOUL,KOREA</x:v>
      </x:c>
      <x:c r="X83" s="36" t="str">
        <x:v>KONA</x:v>
      </x:c>
      <x:c r="Y83" s="36"/>
      <x:c r="Z83" s="36"/>
      <x:c r="AA83" s="36" t="str">
        <x:v>TEST-2803</x:v>
      </x:c>
      <x:c r="AB83" s="36" t="str">
        <x:v>20200903</x:v>
      </x:c>
      <x:c r="AC83" s="36" t="str">
        <x:v>OS</x:v>
      </x:c>
      <x:c r="AD83" s="36" t="str">
        <x:v>F5E11</x:v>
      </x:c>
      <x:c r="AE83" s="36" t="str">
        <x:v>I</x:v>
      </x:c>
      <x:c r="AF83" s="36" t="str">
        <x:v>PB</x:v>
      </x:c>
      <x:c r="AG83" s="36" t="n">
        <x:v>2020</x:v>
      </x:c>
      <x:c r="AH83" s="36" t="str">
        <x:v>E11D11</x:v>
      </x:c>
      <x:c r="AI83" s="36" t="str">
        <x:v>KMH00000000002803</x:v>
      </x:c>
      <x:c r="AJ83" s="38" t="str">
        <x:v>{"vin":"KMH00000000002803","brand":"HYUNDAI","fuel1":"3","fuel2":"0","fuel3":"0","model":"KONA","plate":"TEST-2803","is_4wd":"0","variant":"F5E11","version":"E11D11","fab_code":"HK","group_no":"400021","body_code":"AF","ev_config":"EL","type_text":"OS","build_month":"202006","eu_category":"M1","manufacturer":"HYUNDAI MOTOR COMPANY 12,HEOLLEUNG-RO,SEOCHO-GU,SEOUL,KOREA","vehicle_type":"PB","vehicle_year":2020,"vehicle_class":"I","registration_date":"20200903"}</x:v>
      </x:c>
    </x:row>
    <x:row r="84" ht="18" customHeight="1">
      <x:c r="A84" s="36" t="n">
        <x:v>2804</x:v>
      </x:c>
      <x:c r="B84" s="36" t="str">
        <x:v>normalization-review-passenger-250-v1-rules-20260805T184409855703Z</x:v>
      </x:c>
      <x:c r="C84" s="36" t="n">
        <x:v>46239.78067008102</x:v>
      </x:c>
      <x:c r="D84" s="38" t="str">
        <x:v>"2026-08-05T18:44:09.895308+00:00"</x:v>
      </x:c>
      <x:c r="E84" s="36"/>
      <x:c r="F84" s="36" t="str">
        <x:v>AA</x:v>
      </x:c>
      <x:c r="G84" s="36"/>
      <x:c r="H84" s="36" t="str">
        <x:v>CHEVROLET IMPALA</x:v>
      </x:c>
      <x:c r="I84" s="36"/>
      <x:c r="J84" s="36"/>
      <x:c r="K84" s="36"/>
      <x:c r="L84" s="36" t="str">
        <x:v>M1</x:v>
      </x:c>
      <x:c r="M84" s="36"/>
      <x:c r="N84" s="36" t="str">
        <x:v>CV</x:v>
      </x:c>
      <x:c r="O84" s="36" t="str">
        <x:v>1</x:v>
      </x:c>
      <x:c r="P84" s="36" t="str">
        <x:v>0</x:v>
      </x:c>
      <x:c r="Q84" s="36" t="str">
        <x:v>0</x:v>
      </x:c>
      <x:c r="R84" s="36"/>
      <x:c r="S84" s="36" t="str">
        <x:v>A</x:v>
      </x:c>
      <x:c r="T84" s="36"/>
      <x:c r="U84" s="36" t="str">
        <x:v>0</x:v>
      </x:c>
      <x:c r="V84" s="36" t="n">
        <x:v>187</x:v>
      </x:c>
      <x:c r="W84" s="36"/>
      <x:c r="X84" s="36"/>
      <x:c r="Y84" s="36"/>
      <x:c r="Z84" s="36" t="n">
        <x:v>1968</x:v>
      </x:c>
      <x:c r="AA84" s="36" t="str">
        <x:v>TEST-2804</x:v>
      </x:c>
      <x:c r="AB84" s="36" t="str">
        <x:v>20200727</x:v>
      </x:c>
      <x:c r="AC84" s="36"/>
      <x:c r="AD84" s="36"/>
      <x:c r="AE84" s="36" t="str">
        <x:v>I</x:v>
      </x:c>
      <x:c r="AF84" s="36" t="str">
        <x:v>PB</x:v>
      </x:c>
      <x:c r="AG84" s="36" t="n">
        <x:v>1968</x:v>
      </x:c>
      <x:c r="AH84" s="36"/>
      <x:c r="AI84" s="36" t="str">
        <x:v>16400000000002804</x:v>
      </x:c>
      <x:c r="AJ84" s="38" t="str">
        <x:v>{"kw":187,"vin":"16400000000002804","brand":"CHEVROLET IMPALA","fuel1":"1","fuel2":"0","fuel3":"0","plate":"TEST-2804","is_4wd":"0","gearbox":"A","fab_code":"CV","body_code":"AA","model_year":1968,"eu_category":"M1","vehicle_type":"PB","vehicle_year":1968,"vehicle_class":"I","registration_date":"20200727"}</x:v>
      </x:c>
    </x:row>
    <x:row r="85" ht="18" customHeight="1">
      <x:c r="A85" s="36" t="n">
        <x:v>2805</x:v>
      </x:c>
      <x:c r="B85" s="36" t="str">
        <x:v>normalization-review-passenger-250-v1-rules-20260805T184409855703Z</x:v>
      </x:c>
      <x:c r="C85" s="36" t="n">
        <x:v>46239.78067008102</x:v>
      </x:c>
      <x:c r="D85" s="38" t="str">
        <x:v>"2026-08-05T18:44:09.895308+00:00"</x:v>
      </x:c>
      <x:c r="E85" s="36"/>
      <x:c r="F85" s="36" t="str">
        <x:v>02</x:v>
      </x:c>
      <x:c r="G85" s="36"/>
      <x:c r="H85" s="36" t="str">
        <x:v>FORD MUSTANG CAB</x:v>
      </x:c>
      <x:c r="I85" s="36"/>
      <x:c r="J85" s="36"/>
      <x:c r="K85" s="36"/>
      <x:c r="L85" s="36" t="str">
        <x:v>M1</x:v>
      </x:c>
      <x:c r="M85" s="36"/>
      <x:c r="N85" s="36" t="str">
        <x:v>FO</x:v>
      </x:c>
      <x:c r="O85" s="36" t="str">
        <x:v>1</x:v>
      </x:c>
      <x:c r="P85" s="36" t="str">
        <x:v>0</x:v>
      </x:c>
      <x:c r="Q85" s="36" t="str">
        <x:v>0</x:v>
      </x:c>
      <x:c r="R85" s="36"/>
      <x:c r="S85" s="36" t="str">
        <x:v>A</x:v>
      </x:c>
      <x:c r="T85" s="36"/>
      <x:c r="U85" s="36" t="str">
        <x:v>0</x:v>
      </x:c>
      <x:c r="V85" s="36" t="n">
        <x:v>135</x:v>
      </x:c>
      <x:c r="W85" s="36"/>
      <x:c r="X85" s="36"/>
      <x:c r="Y85" s="36"/>
      <x:c r="Z85" s="36" t="n">
        <x:v>1967</x:v>
      </x:c>
      <x:c r="AA85" s="36" t="str">
        <x:v>TEST-2805</x:v>
      </x:c>
      <x:c r="AB85" s="36" t="str">
        <x:v>20090401</x:v>
      </x:c>
      <x:c r="AC85" s="36"/>
      <x:c r="AD85" s="36"/>
      <x:c r="AE85" s="36" t="str">
        <x:v>I</x:v>
      </x:c>
      <x:c r="AF85" s="36" t="str">
        <x:v>PB</x:v>
      </x:c>
      <x:c r="AG85" s="36" t="n">
        <x:v>1967</x:v>
      </x:c>
      <x:c r="AH85" s="36"/>
      <x:c r="AI85" s="36" t="str">
        <x:v>7T000000000002805</x:v>
      </x:c>
      <x:c r="AJ85" s="38" t="str">
        <x:v>{"kw":135,"vin":"7T000000000002805","brand":"FORD MUSTANG CAB","fuel1":"1","fuel2":"0","fuel3":"0","plate":"TEST-2805","is_4wd":"0","gearbox":"A","fab_code":"FO","body_code":"02","model_year":1967,"eu_category":"M1","vehicle_type":"PB","vehicle_year":1967,"vehicle_class":"I","registration_date":"20090401"}</x:v>
      </x:c>
    </x:row>
    <x:row r="86" ht="18" customHeight="1">
      <x:c r="A86" s="36" t="n">
        <x:v>2806</x:v>
      </x:c>
      <x:c r="B86" s="36" t="str">
        <x:v>normalization-review-passenger-250-v1-rules-20260805T184409855703Z</x:v>
      </x:c>
      <x:c r="C86" s="36" t="n">
        <x:v>46239.78067008102</x:v>
      </x:c>
      <x:c r="D86" s="38" t="str">
        <x:v>"2026-08-05T18:44:09.895308+00:00"</x:v>
      </x:c>
      <x:c r="E86" s="36"/>
      <x:c r="F86" s="36" t="str">
        <x:v>AC</x:v>
      </x:c>
      <x:c r="G86" s="36"/>
      <x:c r="H86" s="36" t="str">
        <x:v>MERCEDES-BENZ</x:v>
      </x:c>
      <x:c r="I86" s="36"/>
      <x:c r="J86" s="36" t="str">
        <x:v>202007</x:v>
      </x:c>
      <x:c r="K86" s="36" t="n">
        <x:v>1332</x:v>
      </x:c>
      <x:c r="L86" s="36" t="str">
        <x:v>M1</x:v>
      </x:c>
      <x:c r="M86" s="36" t="str">
        <x:v>LADDHYBRID</x:v>
      </x:c>
      <x:c r="N86" s="36" t="str">
        <x:v>MB</x:v>
      </x:c>
      <x:c r="O86" s="36" t="str">
        <x:v>1</x:v>
      </x:c>
      <x:c r="P86" s="36" t="str">
        <x:v>3</x:v>
      </x:c>
      <x:c r="Q86" s="36" t="str">
        <x:v>0</x:v>
      </x:c>
      <x:c r="R86" s="36"/>
      <x:c r="S86" s="36"/>
      <x:c r="T86" s="36" t="str">
        <x:v>500863</x:v>
      </x:c>
      <x:c r="U86" s="36" t="str">
        <x:v>0</x:v>
      </x:c>
      <x:c r="V86" s="36" t="n">
        <x:v>118</x:v>
      </x:c>
      <x:c r="W86" s="36" t="str">
        <x:v>MERCEDES-BENZ AG DE-70372 STUTTGART</x:v>
      </x:c>
      <x:c r="X86" s="36" t="str">
        <x:v>A 250 E</x:v>
      </x:c>
      <x:c r="Y86" s="36"/>
      <x:c r="Z86" s="36"/>
      <x:c r="AA86" s="36" t="str">
        <x:v>TEST-2806</x:v>
      </x:c>
      <x:c r="AB86" s="36" t="str">
        <x:v>20200724</x:v>
      </x:c>
      <x:c r="AC86" s="36" t="str">
        <x:v>F2A</x:v>
      </x:c>
      <x:c r="AD86" s="36" t="str">
        <x:v>X28QT2</x:v>
      </x:c>
      <x:c r="AE86" s="36" t="str">
        <x:v>I</x:v>
      </x:c>
      <x:c r="AF86" s="36" t="str">
        <x:v>PB</x:v>
      </x:c>
      <x:c r="AG86" s="36" t="n">
        <x:v>2020</x:v>
      </x:c>
      <x:c r="AH86" s="36" t="str">
        <x:v>HZAA051A</x:v>
      </x:c>
      <x:c r="AI86" s="36" t="str">
        <x:v>W1K00000000002806</x:v>
      </x:c>
      <x:c r="AJ86" s="38" t="str">
        <x:v>{"kw":118,"ccm":1332,"vin":"W1K00000000002806","brand":"MERCEDES-BENZ","fuel1":"1","fuel2":"3","fuel3":"0","model":"A 250 E","plate":"TEST-2806","is_4wd":"0","variant":"X28QT2","version":"HZAA051A","fab_code":"MB","group_no":"500863","body_code":"AC","ev_config":"LADDHYBRID","type_text":"F2A","build_month":"202007","eu_category":"M1","manufacturer":"MERCEDES-BENZ AG DE-70372 STUTTGART","vehicle_type":"PB","vehicle_year":2020,"vehicle_class":"I","registration_date":"20200724"}</x:v>
      </x:c>
    </x:row>
    <x:row r="87" ht="18" customHeight="1">
      <x:c r="A87" s="36" t="n">
        <x:v>2807</x:v>
      </x:c>
      <x:c r="B87" s="36" t="str">
        <x:v>normalization-review-passenger-250-v1-rules-20260805T184409855703Z</x:v>
      </x:c>
      <x:c r="C87" s="36" t="n">
        <x:v>46239.78067008102</x:v>
      </x:c>
      <x:c r="D87" s="38" t="str">
        <x:v>"2026-08-05T18:44:09.895308+00:00"</x:v>
      </x:c>
      <x:c r="E87" s="36"/>
      <x:c r="F87" s="36" t="str">
        <x:v>AF</x:v>
      </x:c>
      <x:c r="G87" s="36"/>
      <x:c r="H87" s="36" t="str">
        <x:v>VW CARAVELLE</x:v>
      </x:c>
      <x:c r="I87" s="36"/>
      <x:c r="J87" s="36"/>
      <x:c r="K87" s="36" t="n">
        <x:v>2461</x:v>
      </x:c>
      <x:c r="L87" s="36" t="str">
        <x:v>M1</x:v>
      </x:c>
      <x:c r="M87" s="36"/>
      <x:c r="N87" s="36" t="str">
        <x:v>VW</x:v>
      </x:c>
      <x:c r="O87" s="36" t="str">
        <x:v>2</x:v>
      </x:c>
      <x:c r="P87" s="36" t="str">
        <x:v>0</x:v>
      </x:c>
      <x:c r="Q87" s="36" t="str">
        <x:v>0</x:v>
      </x:c>
      <x:c r="R87" s="36"/>
      <x:c r="S87" s="36" t="str">
        <x:v>A</x:v>
      </x:c>
      <x:c r="T87" s="36"/>
      <x:c r="U87" s="36" t="str">
        <x:v>0</x:v>
      </x:c>
      <x:c r="V87" s="36" t="n">
        <x:v>96</x:v>
      </x:c>
      <x:c r="W87" s="36"/>
      <x:c r="X87" s="36"/>
      <x:c r="Y87" s="36"/>
      <x:c r="Z87" s="36" t="n">
        <x:v>2007</x:v>
      </x:c>
      <x:c r="AA87" s="36" t="str">
        <x:v>TEST-2807</x:v>
      </x:c>
      <x:c r="AB87" s="36" t="str">
        <x:v>20070529</x:v>
      </x:c>
      <x:c r="AC87" s="36" t="str">
        <x:v>7HC</x:v>
      </x:c>
      <x:c r="AD87" s="36" t="str">
        <x:v>ND50BNZX0</x:v>
      </x:c>
      <x:c r="AE87" s="36" t="str">
        <x:v>I</x:v>
      </x:c>
      <x:c r="AF87" s="36" t="str">
        <x:v>PB</x:v>
      </x:c>
      <x:c r="AG87" s="36" t="n">
        <x:v>2007</x:v>
      </x:c>
      <x:c r="AH87" s="36" t="str">
        <x:v>LS300FA69K0927GG</x:v>
      </x:c>
      <x:c r="AI87" s="36" t="str">
        <x:v>WV200000000002807</x:v>
      </x:c>
      <x:c r="AJ87" s="38" t="str">
        <x:v>{"kw":96,"ccm":2461,"vin":"WV200000000002807","brand":"VW CARAVELLE","fuel1":"2","fuel2":"0","fuel3":"0","plate":"TEST-2807","is_4wd":"0","gearbox":"A","variant":"ND50BNZX0","version":"LS300FA69K0927GG","fab_code":"VW","body_code":"AF","type_text":"7HC","model_year":2007,"eu_category":"M1","vehicle_type":"PB","vehicle_year":2007,"vehicle_class":"I","registration_date":"20070529"}</x:v>
      </x:c>
    </x:row>
    <x:row r="88" ht="18" customHeight="1">
      <x:c r="A88" s="36" t="n">
        <x:v>2808</x:v>
      </x:c>
      <x:c r="B88" s="36" t="str">
        <x:v>normalization-review-passenger-250-v1-rules-20260805T184409855703Z</x:v>
      </x:c>
      <x:c r="C88" s="36" t="n">
        <x:v>46239.78067008102</x:v>
      </x:c>
      <x:c r="D88" s="38" t="str">
        <x:v>"2026-08-05T18:44:09.895308+00:00"</x:v>
      </x:c>
      <x:c r="E88" s="36"/>
      <x:c r="F88" s="36" t="str">
        <x:v>AC</x:v>
      </x:c>
      <x:c r="G88" s="36"/>
      <x:c r="H88" s="36" t="str">
        <x:v>VOLKSWAGEN, VW  AUV</x:v>
      </x:c>
      <x:c r="I88" s="36"/>
      <x:c r="J88" s="36" t="str">
        <x:v>201408</x:v>
      </x:c>
      <x:c r="K88" s="36" t="n">
        <x:v>1197</x:v>
      </x:c>
      <x:c r="L88" s="36" t="str">
        <x:v>M1</x:v>
      </x:c>
      <x:c r="M88" s="36"/>
      <x:c r="N88" s="36" t="str">
        <x:v>VW</x:v>
      </x:c>
      <x:c r="O88" s="36" t="str">
        <x:v>1</x:v>
      </x:c>
      <x:c r="P88" s="36" t="str">
        <x:v>0</x:v>
      </x:c>
      <x:c r="Q88" s="36" t="str">
        <x:v>0</x:v>
      </x:c>
      <x:c r="R88" s="36"/>
      <x:c r="S88" s="36" t="str">
        <x:v>M</x:v>
      </x:c>
      <x:c r="T88" s="36" t="str">
        <x:v>744001</x:v>
      </x:c>
      <x:c r="U88" s="36" t="str">
        <x:v>0</x:v>
      </x:c>
      <x:c r="V88" s="36" t="n">
        <x:v>77</x:v>
      </x:c>
      <x:c r="W88" s="36"/>
      <x:c r="X88" s="36" t="str">
        <x:v>GOLF</x:v>
      </x:c>
      <x:c r="Y88" s="36"/>
      <x:c r="Z88" s="36"/>
      <x:c r="AA88" s="36" t="str">
        <x:v>TEST-2808</x:v>
      </x:c>
      <x:c r="AB88" s="36" t="str">
        <x:v>20141030</x:v>
      </x:c>
      <x:c r="AC88" s="36" t="str">
        <x:v>AUV</x:v>
      </x:c>
      <x:c r="AD88" s="36" t="str">
        <x:v>VACCJZAX0</x:v>
      </x:c>
      <x:c r="AE88" s="36" t="str">
        <x:v>I</x:v>
      </x:c>
      <x:c r="AF88" s="36" t="str">
        <x:v>PB</x:v>
      </x:c>
      <x:c r="AG88" s="36" t="n">
        <x:v>2014</x:v>
      </x:c>
      <x:c r="AH88" s="36" t="str">
        <x:v>FM6FM6AJ009N7MJOVL00VR2</x:v>
      </x:c>
      <x:c r="AI88" s="36" t="str">
        <x:v>WVW00000000002808</x:v>
      </x:c>
      <x:c r="AJ88" s="38" t="str">
        <x:v>{"kw":77,"ccm":1197,"vin":"WVW00000000002808","brand":"VOLKSWAGEN, VW  AUV","fuel1":"1","fuel2":"0","fuel3":"0","model":"GOLF","plate":"TEST-2808","is_4wd":"0","gearbox":"M","variant":"VACCJZAX0","version":"FM6FM6AJ009N7MJOVL00VR2","fab_code":"VW","group_no":"744001","body_code":"AC","type_text":"AUV","build_month":"201408","eu_category":"M1","vehicle_type":"PB","vehicle_year":2014,"vehicle_class":"I","registration_date":"20141030"}</x:v>
      </x:c>
    </x:row>
    <x:row r="89" ht="18" customHeight="1">
      <x:c r="A89" s="36" t="n">
        <x:v>2809</x:v>
      </x:c>
      <x:c r="B89" s="36" t="str">
        <x:v>normalization-review-passenger-250-v1-rules-20260805T184409855703Z</x:v>
      </x:c>
      <x:c r="C89" s="36" t="n">
        <x:v>46239.78067008102</x:v>
      </x:c>
      <x:c r="D89" s="38" t="str">
        <x:v>"2026-08-05T18:44:09.895308+00:00"</x:v>
      </x:c>
      <x:c r="E89" s="36"/>
      <x:c r="F89" s="36" t="str">
        <x:v>AC</x:v>
      </x:c>
      <x:c r="G89" s="36"/>
      <x:c r="H89" s="36" t="str">
        <x:v>KIA NYA CEED SW 1,6 CRDI</x:v>
      </x:c>
      <x:c r="I89" s="36"/>
      <x:c r="J89" s="36" t="str">
        <x:v>201609</x:v>
      </x:c>
      <x:c r="K89" s="36" t="n">
        <x:v>1582</x:v>
      </x:c>
      <x:c r="L89" s="36" t="str">
        <x:v>M1</x:v>
      </x:c>
      <x:c r="M89" s="36"/>
      <x:c r="N89" s="36" t="str">
        <x:v>KG</x:v>
      </x:c>
      <x:c r="O89" s="36" t="str">
        <x:v>2</x:v>
      </x:c>
      <x:c r="P89" s="36" t="str">
        <x:v>0</x:v>
      </x:c>
      <x:c r="Q89" s="36" t="str">
        <x:v>0</x:v>
      </x:c>
      <x:c r="R89" s="36"/>
      <x:c r="S89" s="36"/>
      <x:c r="T89" s="36" t="str">
        <x:v>172919</x:v>
      </x:c>
      <x:c r="U89" s="36" t="str">
        <x:v>0</x:v>
      </x:c>
      <x:c r="V89" s="36" t="n">
        <x:v>100</x:v>
      </x:c>
      <x:c r="W89" s="36"/>
      <x:c r="X89" s="36" t="str">
        <x:v>CEED</x:v>
      </x:c>
      <x:c r="Y89" s="36"/>
      <x:c r="Z89" s="36"/>
      <x:c r="AA89" s="36" t="str">
        <x:v>TEST-2809</x:v>
      </x:c>
      <x:c r="AB89" s="36" t="str">
        <x:v>20170313</x:v>
      </x:c>
      <x:c r="AC89" s="36" t="str">
        <x:v>JD</x:v>
      </x:c>
      <x:c r="AD89" s="36" t="str">
        <x:v>C5DC1</x:v>
      </x:c>
      <x:c r="AE89" s="36" t="str">
        <x:v>I</x:v>
      </x:c>
      <x:c r="AF89" s="36" t="str">
        <x:v>PB</x:v>
      </x:c>
      <x:c r="AG89" s="36" t="n">
        <x:v>2016</x:v>
      </x:c>
      <x:c r="AH89" s="36" t="str">
        <x:v>D71EZ1</x:v>
      </x:c>
      <x:c r="AI89" s="36" t="str">
        <x:v>U5Y00000000002809</x:v>
      </x:c>
      <x:c r="AJ89" s="38" t="str">
        <x:v>{"kw":100,"ccm":1582,"vin":"U5Y00000000002809","brand":"KIA NYA CEED SW 1,6 CRDI","fuel1":"2","fuel2":"0","fuel3":"0","model":"CEED","plate":"TEST-2809","is_4wd":"0","variant":"C5DC1","version":"D71EZ1","fab_code":"KG","group_no":"172919","body_code":"AC","type_text":"JD","build_month":"201609","eu_category":"M1","vehicle_type":"PB","vehicle_year":2016,"vehicle_class":"I","registration_date":"20170313"}</x:v>
      </x:c>
    </x:row>
    <x:row r="90" ht="18" customHeight="1">
      <x:c r="A90" s="36" t="n">
        <x:v>2810</x:v>
      </x:c>
      <x:c r="B90" s="36" t="str">
        <x:v>normalization-review-passenger-250-v1-rules-20260805T184409855703Z</x:v>
      </x:c>
      <x:c r="C90" s="36" t="n">
        <x:v>46239.78067008102</x:v>
      </x:c>
      <x:c r="D90" s="38" t="str">
        <x:v>"2026-08-05T18:44:09.895308+00:00"</x:v>
      </x:c>
      <x:c r="E90" s="36"/>
      <x:c r="F90" s="36" t="str">
        <x:v>03</x:v>
      </x:c>
      <x:c r="G90" s="36"/>
      <x:c r="H90" s="36" t="str">
        <x:v>VOLVO L + 850</x:v>
      </x:c>
      <x:c r="I90" s="36"/>
      <x:c r="J90" s="36"/>
      <x:c r="K90" s="36"/>
      <x:c r="L90" s="36" t="str">
        <x:v>M1</x:v>
      </x:c>
      <x:c r="M90" s="36"/>
      <x:c r="N90" s="36" t="str">
        <x:v>VO</x:v>
      </x:c>
      <x:c r="O90" s="36" t="str">
        <x:v>1</x:v>
      </x:c>
      <x:c r="P90" s="36" t="str">
        <x:v>0</x:v>
      </x:c>
      <x:c r="Q90" s="36" t="str">
        <x:v>0</x:v>
      </x:c>
      <x:c r="R90" s="36"/>
      <x:c r="S90" s="36" t="str">
        <x:v>M</x:v>
      </x:c>
      <x:c r="T90" s="36" t="str">
        <x:v>104028</x:v>
      </x:c>
      <x:c r="U90" s="36" t="str">
        <x:v>0</x:v>
      </x:c>
      <x:c r="V90" s="36" t="n">
        <x:v>125</x:v>
      </x:c>
      <x:c r="W90" s="36"/>
      <x:c r="X90" s="36"/>
      <x:c r="Y90" s="36"/>
      <x:c r="Z90" s="36" t="n">
        <x:v>1997</x:v>
      </x:c>
      <x:c r="AA90" s="36" t="str">
        <x:v>TEST-2810</x:v>
      </x:c>
      <x:c r="AB90" s="36" t="str">
        <x:v>19961210</x:v>
      </x:c>
      <x:c r="AC90" s="36"/>
      <x:c r="AD90" s="36" t="str">
        <x:v>LW55</x:v>
      </x:c>
      <x:c r="AE90" s="36" t="str">
        <x:v>I</x:v>
      </x:c>
      <x:c r="AF90" s="36" t="str">
        <x:v>PB</x:v>
      </x:c>
      <x:c r="AG90" s="36" t="n">
        <x:v>1997</x:v>
      </x:c>
      <x:c r="AH90" s="36" t="str">
        <x:v>LW5522</x:v>
      </x:c>
      <x:c r="AI90" s="36" t="str">
        <x:v>YV100000000002810</x:v>
      </x:c>
      <x:c r="AJ90" s="38" t="str">
        <x:v>{"kw":125,"vin":"YV100000000002810","brand":"VOLVO L + 850","fuel1":"1","fuel2":"0","fuel3":"0","plate":"TEST-2810","is_4wd":"0","gearbox":"M","variant":"LW55","version":"LW5522","fab_code":"VO","group_no":"104028","body_code":"03","model_year":1997,"eu_category":"M1","vehicle_type":"PB","vehicle_year":1997,"vehicle_class":"I","registration_date":"19961210"}</x:v>
      </x:c>
    </x:row>
    <x:row r="91" ht="18" customHeight="1">
      <x:c r="A91" s="36" t="n">
        <x:v>2811</x:v>
      </x:c>
      <x:c r="B91" s="36" t="str">
        <x:v>normalization-review-passenger-250-v1-rules-20260805T184409855703Z</x:v>
      </x:c>
      <x:c r="C91" s="36" t="n">
        <x:v>46239.78067008102</x:v>
      </x:c>
      <x:c r="D91" s="38" t="str">
        <x:v>"2026-08-05T18:44:09.895308+00:00"</x:v>
      </x:c>
      <x:c r="E91" s="36"/>
      <x:c r="F91" s="36" t="str">
        <x:v>AC</x:v>
      </x:c>
      <x:c r="G91" s="36"/>
      <x:c r="H91" s="36" t="str">
        <x:v>AUDI</x:v>
      </x:c>
      <x:c r="I91" s="36"/>
      <x:c r="J91" s="36" t="str">
        <x:v>201910</x:v>
      </x:c>
      <x:c r="K91" s="36" t="n">
        <x:v>1968</x:v>
      </x:c>
      <x:c r="L91" s="36" t="str">
        <x:v>M1</x:v>
      </x:c>
      <x:c r="M91" s="36"/>
      <x:c r="N91" s="36" t="str">
        <x:v>AU</x:v>
      </x:c>
      <x:c r="O91" s="36" t="str">
        <x:v>2</x:v>
      </x:c>
      <x:c r="P91" s="36" t="str">
        <x:v>0</x:v>
      </x:c>
      <x:c r="Q91" s="36" t="str">
        <x:v>0</x:v>
      </x:c>
      <x:c r="R91" s="36"/>
      <x:c r="S91" s="36" t="str">
        <x:v>A</x:v>
      </x:c>
      <x:c r="T91" s="36" t="str">
        <x:v>386019</x:v>
      </x:c>
      <x:c r="U91" s="36" t="str">
        <x:v>0</x:v>
      </x:c>
      <x:c r="V91" s="36" t="n">
        <x:v>110</x:v>
      </x:c>
      <x:c r="W91" s="36" t="str">
        <x:v>AUDI AG DE-85045 INGOLSTADT</x:v>
      </x:c>
      <x:c r="X91" s="36" t="str">
        <x:v>Q3</x:v>
      </x:c>
      <x:c r="Y91" s="36"/>
      <x:c r="Z91" s="36"/>
      <x:c r="AA91" s="36" t="str">
        <x:v>TEST-2811</x:v>
      </x:c>
      <x:c r="AB91" s="36" t="str">
        <x:v>20200428</x:v>
      </x:c>
      <x:c r="AC91" s="36" t="str">
        <x:v>F3</x:v>
      </x:c>
      <x:c r="AD91" s="36" t="str">
        <x:v>XDFGAF1</x:v>
      </x:c>
      <x:c r="AE91" s="36" t="str">
        <x:v>I</x:v>
      </x:c>
      <x:c r="AF91" s="36" t="str">
        <x:v>PB</x:v>
      </x:c>
      <x:c r="AG91" s="36" t="n">
        <x:v>2019</x:v>
      </x:c>
      <x:c r="AH91" s="36" t="str">
        <x:v>FD7FD7GC009RT21B184BFAHA3EM1</x:v>
      </x:c>
      <x:c r="AI91" s="36" t="str">
        <x:v>WAU00000000002811</x:v>
      </x:c>
      <x:c r="AJ91" s="38" t="str">
        <x:v>{"kw":110,"ccm":1968,"vin":"WAU00000000002811","brand":"AUDI","fuel1":"2","fuel2":"0","fuel3":"0","model":"Q3","plate":"TEST-2811","is_4wd":"0","gearbox":"A","variant":"XDFGAF1","version":"FD7FD7GC009RT21B184BFAHA3EM1","fab_code":"AU","group_no":"386019","body_code":"AC","type_text":"F3","build_month":"201910","eu_category":"M1","manufacturer":"AUDI AG DE-85045 INGOLSTADT","vehicle_type":"PB","vehicle_year":2019,"vehicle_class":"I","registration_date":"20200428"}</x:v>
      </x:c>
    </x:row>
    <x:row r="92" ht="18" customHeight="1">
      <x:c r="A92" s="36" t="n">
        <x:v>2812</x:v>
      </x:c>
      <x:c r="B92" s="36" t="str">
        <x:v>normalization-review-passenger-250-v1-rules-20260805T184409855703Z</x:v>
      </x:c>
      <x:c r="C92" s="36" t="n">
        <x:v>46239.78067008102</x:v>
      </x:c>
      <x:c r="D92" s="38" t="str">
        <x:v>"2026-08-05T18:44:09.895308+00:00"</x:v>
      </x:c>
      <x:c r="E92" s="36"/>
      <x:c r="F92" s="36" t="str">
        <x:v>SA</x:v>
      </x:c>
      <x:c r="G92" s="36"/>
      <x:c r="H92" s="36" t="str">
        <x:v>FORD SOLIFER A-696</x:v>
      </x:c>
      <x:c r="I92" s="36"/>
      <x:c r="J92" s="36"/>
      <x:c r="K92" s="36" t="n">
        <x:v>2402</x:v>
      </x:c>
      <x:c r="L92" s="36" t="str">
        <x:v>M1</x:v>
      </x:c>
      <x:c r="M92" s="36"/>
      <x:c r="N92" s="36" t="str">
        <x:v>FO</x:v>
      </x:c>
      <x:c r="O92" s="36" t="str">
        <x:v>2</x:v>
      </x:c>
      <x:c r="P92" s="36" t="str">
        <x:v>0</x:v>
      </x:c>
      <x:c r="Q92" s="36" t="str">
        <x:v>0</x:v>
      </x:c>
      <x:c r="R92" s="36"/>
      <x:c r="S92" s="36" t="str">
        <x:v>M</x:v>
      </x:c>
      <x:c r="T92" s="36" t="str">
        <x:v>010000</x:v>
      </x:c>
      <x:c r="U92" s="36" t="str">
        <x:v>0</x:v>
      </x:c>
      <x:c r="V92" s="36" t="n">
        <x:v>103</x:v>
      </x:c>
      <x:c r="W92" s="36"/>
      <x:c r="X92" s="36"/>
      <x:c r="Y92" s="36"/>
      <x:c r="Z92" s="36" t="n">
        <x:v>2008</x:v>
      </x:c>
      <x:c r="AA92" s="36" t="str">
        <x:v>TEST-2812</x:v>
      </x:c>
      <x:c r="AB92" s="36" t="str">
        <x:v>20080718</x:v>
      </x:c>
      <x:c r="AC92" s="36"/>
      <x:c r="AD92" s="36" t="str">
        <x:v>HAG4HE/L1HG6A36CA8</x:v>
      </x:c>
      <x:c r="AE92" s="36" t="str">
        <x:v>II</x:v>
      </x:c>
      <x:c r="AF92" s="36" t="str">
        <x:v>PB</x:v>
      </x:c>
      <x:c r="AG92" s="36" t="n">
        <x:v>2008</x:v>
      </x:c>
      <x:c r="AH92" s="36" t="str">
        <x:v>-</x:v>
      </x:c>
      <x:c r="AI92" s="36" t="str">
        <x:v>WF000000000002812</x:v>
      </x:c>
      <x:c r="AJ92" s="38" t="str">
        <x:v>{"kw":103,"ccm":2402,"vin":"WF000000000002812","brand":"FORD SOLIFER A-696","fuel1":"2","fuel2":"0","fuel3":"0","plate":"TEST-2812","is_4wd":"0","gearbox":"M","variant":"HAG4HE/L1HG6A36CA8","version":"-","fab_code":"FO","group_no":"010000","body_code":"SA","model_year":2008,"eu_category":"M1","vehicle_type":"PB","vehicle_year":2008,"vehicle_class":"II","registration_date":"20080718"}</x:v>
      </x:c>
    </x:row>
    <x:row r="93" ht="18" customHeight="1">
      <x:c r="A93" s="36" t="n">
        <x:v>2813</x:v>
      </x:c>
      <x:c r="B93" s="36" t="str">
        <x:v>normalization-review-passenger-250-v1-rules-20260805T184409855703Z</x:v>
      </x:c>
      <x:c r="C93" s="36" t="n">
        <x:v>46239.78067008102</x:v>
      </x:c>
      <x:c r="D93" s="38" t="str">
        <x:v>"2026-08-05T18:44:09.895308+00:00"</x:v>
      </x:c>
      <x:c r="E93" s="36"/>
      <x:c r="F93" s="36" t="str">
        <x:v>AF</x:v>
      </x:c>
      <x:c r="G93" s="36" t="str">
        <x:v>SA</x:v>
      </x:c>
      <x:c r="H93" s="36" t="str">
        <x:v>FIAT ADRIA A</x:v>
      </x:c>
      <x:c r="I93" s="36"/>
      <x:c r="J93" s="36"/>
      <x:c r="K93" s="36" t="n">
        <x:v>2287</x:v>
      </x:c>
      <x:c r="L93" s="36" t="str">
        <x:v>M1</x:v>
      </x:c>
      <x:c r="M93" s="36"/>
      <x:c r="N93" s="36" t="str">
        <x:v>FI</x:v>
      </x:c>
      <x:c r="O93" s="36" t="str">
        <x:v>2</x:v>
      </x:c>
      <x:c r="P93" s="36" t="str">
        <x:v>0</x:v>
      </x:c>
      <x:c r="Q93" s="36" t="str">
        <x:v>0</x:v>
      </x:c>
      <x:c r="R93" s="36"/>
      <x:c r="S93" s="36"/>
      <x:c r="T93" s="36" t="str">
        <x:v>010000</x:v>
      </x:c>
      <x:c r="U93" s="36" t="str">
        <x:v>0</x:v>
      </x:c>
      <x:c r="V93" s="36" t="n">
        <x:v>96</x:v>
      </x:c>
      <x:c r="W93" s="36"/>
      <x:c r="X93" s="36" t="str">
        <x:v>CORAL S 670SLT</x:v>
      </x:c>
      <x:c r="Y93" s="36"/>
      <x:c r="Z93" s="36" t="n">
        <x:v>2011</x:v>
      </x:c>
      <x:c r="AA93" s="36" t="str">
        <x:v>TEST-2813</x:v>
      </x:c>
      <x:c r="AB93" s="36" t="str">
        <x:v>20110314</x:v>
      </x:c>
      <x:c r="AC93" s="36"/>
      <x:c r="AD93" s="36" t="str">
        <x:v>8CA</x:v>
      </x:c>
      <x:c r="AE93" s="36" t="str">
        <x:v>II</x:v>
      </x:c>
      <x:c r="AF93" s="36" t="str">
        <x:v>PB</x:v>
      </x:c>
      <x:c r="AG93" s="36" t="n">
        <x:v>2011</x:v>
      </x:c>
      <x:c r="AH93" s="36" t="str">
        <x:v>U5</x:v>
      </x:c>
      <x:c r="AI93" s="36" t="str">
        <x:v>ZFA00000000002813</x:v>
      </x:c>
      <x:c r="AJ93" s="38" t="str">
        <x:v>{"kw":96,"ccm":2287,"vin":"ZFA00000000002813","brand":"FIAT ADRIA A","fuel1":"2","fuel2":"0","fuel3":"0","model":"CORAL S 670SLT","plate":"TEST-2813","is_4wd":"0","variant":"8CA","version":"U5","fab_code":"FI","group_no":"010000","body_code":"AF","body_code2":"SA","model_year":2011,"eu_category":"M1","vehicle_type":"PB","vehicle_year":2011,"vehicle_class":"II","registration_date":"20110314"}</x:v>
      </x:c>
    </x:row>
    <x:row r="94" ht="18" customHeight="1">
      <x:c r="A94" s="36" t="n">
        <x:v>2814</x:v>
      </x:c>
      <x:c r="B94" s="36" t="str">
        <x:v>normalization-review-passenger-250-v1-rules-20260805T184409855703Z</x:v>
      </x:c>
      <x:c r="C94" s="36" t="n">
        <x:v>46239.78067008102</x:v>
      </x:c>
      <x:c r="D94" s="38" t="str">
        <x:v>"2026-08-05T18:44:09.895308+00:00"</x:v>
      </x:c>
      <x:c r="E94" s="36"/>
      <x:c r="F94" s="36" t="str">
        <x:v>01</x:v>
      </x:c>
      <x:c r="G94" s="36"/>
      <x:c r="H94" s="36" t="str">
        <x:v>OPEL KADETT 31226</x:v>
      </x:c>
      <x:c r="I94" s="36"/>
      <x:c r="J94" s="36"/>
      <x:c r="K94" s="36"/>
      <x:c r="L94" s="36" t="str">
        <x:v>M1</x:v>
      </x:c>
      <x:c r="M94" s="36"/>
      <x:c r="N94" s="36" t="str">
        <x:v>OP</x:v>
      </x:c>
      <x:c r="O94" s="36" t="str">
        <x:v>1</x:v>
      </x:c>
      <x:c r="P94" s="36" t="str">
        <x:v>0</x:v>
      </x:c>
      <x:c r="Q94" s="36" t="str">
        <x:v>0</x:v>
      </x:c>
      <x:c r="R94" s="36"/>
      <x:c r="S94" s="36" t="str">
        <x:v>M</x:v>
      </x:c>
      <x:c r="T94" s="36" t="str">
        <x:v>001108</x:v>
      </x:c>
      <x:c r="U94" s="36" t="str">
        <x:v>0</x:v>
      </x:c>
      <x:c r="V94" s="36" t="n">
        <x:v>35</x:v>
      </x:c>
      <x:c r="W94" s="36"/>
      <x:c r="X94" s="36"/>
      <x:c r="Y94" s="36" t="str">
        <x:v>001108</x:v>
      </x:c>
      <x:c r="Z94" s="36" t="n">
        <x:v>1965</x:v>
      </x:c>
      <x:c r="AA94" s="36" t="str">
        <x:v>TEST-2814</x:v>
      </x:c>
      <x:c r="AB94" s="36" t="str">
        <x:v>19650227</x:v>
      </x:c>
      <x:c r="AC94" s="36"/>
      <x:c r="AD94" s="36"/>
      <x:c r="AE94" s="36" t="str">
        <x:v>I</x:v>
      </x:c>
      <x:c r="AF94" s="36" t="str">
        <x:v>PB</x:v>
      </x:c>
      <x:c r="AG94" s="36" t="n">
        <x:v>1965</x:v>
      </x:c>
      <x:c r="AH94" s="36"/>
      <x:c r="AI94" s="36" t="str">
        <x:v>31000000000002814</x:v>
      </x:c>
      <x:c r="AJ94" s="38" t="str">
        <x:v>{"kw":35,"vin":"31000000000002814","brand":"OPEL KADETT 31226","fuel1":"1","fuel2":"0","fuel3":"0","plate":"TEST-2814","is_4wd":"0","gearbox":"M","fab_code":"OP","group_no":"001108","model_no":"001108","body_code":"01","model_year":1965,"eu_category":"M1","vehicle_type":"PB","vehicle_year":1965,"vehicle_class":"I","registration_date":"19650227"}</x:v>
      </x:c>
    </x:row>
    <x:row r="95" ht="18" customHeight="1">
      <x:c r="A95" s="36" t="n">
        <x:v>2815</x:v>
      </x:c>
      <x:c r="B95" s="36" t="str">
        <x:v>normalization-review-passenger-250-v1-rules-20260805T184409855703Z</x:v>
      </x:c>
      <x:c r="C95" s="36" t="n">
        <x:v>46239.78067008102</x:v>
      </x:c>
      <x:c r="D95" s="38" t="str">
        <x:v>"2026-08-05T18:44:09.895308+00:00"</x:v>
      </x:c>
      <x:c r="E95" s="36"/>
      <x:c r="F95" s="36" t="str">
        <x:v>AC</x:v>
      </x:c>
      <x:c r="G95" s="36"/>
      <x:c r="H95" s="36" t="str">
        <x:v>VOLKSWAGEN, VW  3C</x:v>
      </x:c>
      <x:c r="I95" s="36"/>
      <x:c r="J95" s="36" t="str">
        <x:v>201503</x:v>
      </x:c>
      <x:c r="K95" s="36" t="n">
        <x:v>1968</x:v>
      </x:c>
      <x:c r="L95" s="36" t="str">
        <x:v>M1</x:v>
      </x:c>
      <x:c r="M95" s="36"/>
      <x:c r="N95" s="36" t="str">
        <x:v>VW</x:v>
      </x:c>
      <x:c r="O95" s="36" t="str">
        <x:v>2</x:v>
      </x:c>
      <x:c r="P95" s="36" t="str">
        <x:v>0</x:v>
      </x:c>
      <x:c r="Q95" s="36" t="str">
        <x:v>0</x:v>
      </x:c>
      <x:c r="R95" s="36"/>
      <x:c r="S95" s="36" t="str">
        <x:v>A</x:v>
      </x:c>
      <x:c r="T95" s="36" t="str">
        <x:v>825018</x:v>
      </x:c>
      <x:c r="U95" s="36" t="str">
        <x:v>1</x:v>
      </x:c>
      <x:c r="V95" s="36" t="n">
        <x:v>140</x:v>
      </x:c>
      <x:c r="W95" s="36"/>
      <x:c r="X95" s="36" t="str">
        <x:v>PASSAT</x:v>
      </x:c>
      <x:c r="Y95" s="36"/>
      <x:c r="Z95" s="36"/>
      <x:c r="AA95" s="36" t="str">
        <x:v>TEST-2815</x:v>
      </x:c>
      <x:c r="AB95" s="36" t="str">
        <x:v>20150730</x:v>
      </x:c>
      <x:c r="AC95" s="36" t="str">
        <x:v>3C</x:v>
      </x:c>
      <x:c r="AD95" s="36" t="str">
        <x:v>ACDDAAX1</x:v>
      </x:c>
      <x:c r="AE95" s="36" t="str">
        <x:v>I</x:v>
      </x:c>
      <x:c r="AF95" s="36" t="str">
        <x:v>PB</x:v>
      </x:c>
      <x:c r="AG95" s="36" t="n">
        <x:v>2015</x:v>
      </x:c>
      <x:c r="AH95" s="36" t="str">
        <x:v>AD6AD6D9003SH7MMVR261</x:v>
      </x:c>
      <x:c r="AI95" s="36" t="str">
        <x:v>WVW00000000002815</x:v>
      </x:c>
      <x:c r="AJ95" s="38" t="str">
        <x:v>{"kw":140,"ccm":1968,"vin":"WVW00000000002815","brand":"VOLKSWAGEN, VW  3C","fuel1":"2","fuel2":"0","fuel3":"0","model":"PASSAT","plate":"TEST-2815","is_4wd":"1","gearbox":"A","variant":"ACDDAAX1","version":"AD6AD6D9003SH7MMVR261","fab_code":"VW","group_no":"825018","body_code":"AC","type_text":"3C","build_month":"201503","eu_category":"M1","vehicle_type":"PB","vehicle_year":2015,"vehicle_class":"I","registration_date":"20150730"}</x:v>
      </x:c>
    </x:row>
    <x:row r="96" ht="18" customHeight="1">
      <x:c r="A96" s="36" t="n">
        <x:v>2816</x:v>
      </x:c>
      <x:c r="B96" s="36" t="str">
        <x:v>normalization-review-passenger-250-v1-rules-20260805T184409855703Z</x:v>
      </x:c>
      <x:c r="C96" s="36" t="n">
        <x:v>46239.78067008102</x:v>
      </x:c>
      <x:c r="D96" s="38" t="str">
        <x:v>"2026-08-05T18:44:09.895308+00:00"</x:v>
      </x:c>
      <x:c r="E96" s="36"/>
      <x:c r="F96" s="36" t="str">
        <x:v>01</x:v>
      </x:c>
      <x:c r="G96" s="36"/>
      <x:c r="H96" s="36" t="str">
        <x:v>TOYOTA CAMRY</x:v>
      </x:c>
      <x:c r="I96" s="36"/>
      <x:c r="J96" s="36"/>
      <x:c r="K96" s="36"/>
      <x:c r="L96" s="36" t="str">
        <x:v>M1</x:v>
      </x:c>
      <x:c r="M96" s="36"/>
      <x:c r="N96" s="36" t="str">
        <x:v>TO</x:v>
      </x:c>
      <x:c r="O96" s="36" t="str">
        <x:v>1</x:v>
      </x:c>
      <x:c r="P96" s="36" t="str">
        <x:v>0</x:v>
      </x:c>
      <x:c r="Q96" s="36" t="str">
        <x:v>0</x:v>
      </x:c>
      <x:c r="R96" s="36"/>
      <x:c r="S96" s="36" t="str">
        <x:v>M</x:v>
      </x:c>
      <x:c r="T96" s="36" t="str">
        <x:v>201403</x:v>
      </x:c>
      <x:c r="U96" s="36" t="str">
        <x:v>0</x:v>
      </x:c>
      <x:c r="V96" s="36" t="n">
        <x:v>96</x:v>
      </x:c>
      <x:c r="W96" s="36"/>
      <x:c r="X96" s="36"/>
      <x:c r="Y96" s="36"/>
      <x:c r="Z96" s="36" t="n">
        <x:v>1998</x:v>
      </x:c>
      <x:c r="AA96" s="36" t="str">
        <x:v>TEST-2816</x:v>
      </x:c>
      <x:c r="AB96" s="36" t="str">
        <x:v>19980528</x:v>
      </x:c>
      <x:c r="AC96" s="36"/>
      <x:c r="AD96" s="36" t="str">
        <x:v>SXV20(E)</x:v>
      </x:c>
      <x:c r="AE96" s="36" t="str">
        <x:v>I</x:v>
      </x:c>
      <x:c r="AF96" s="36" t="str">
        <x:v>PB</x:v>
      </x:c>
      <x:c r="AG96" s="36" t="n">
        <x:v>1998</x:v>
      </x:c>
      <x:c r="AH96" s="36" t="str">
        <x:v>SXV20L-AEMNKW(1</x:v>
      </x:c>
      <x:c r="AI96" s="36" t="str">
        <x:v>53S00000000002816</x:v>
      </x:c>
      <x:c r="AJ96" s="38" t="str">
        <x:v>{"kw":96,"vin":"53S00000000002816","brand":"TOYOTA CAMRY","fuel1":"1","fuel2":"0","fuel3":"0","plate":"TEST-2816","is_4wd":"0","gearbox":"M","variant":"SXV20(E)","version":"SXV20L-AEMNKW(1","fab_code":"TO","group_no":"201403","body_code":"01","model_year":1998,"eu_category":"M1","vehicle_type":"PB","vehicle_year":1998,"vehicle_class":"I","registration_date":"19980528"}</x:v>
      </x:c>
    </x:row>
    <x:row r="97" ht="18" customHeight="1">
      <x:c r="A97" s="36" t="n">
        <x:v>2817</x:v>
      </x:c>
      <x:c r="B97" s="36" t="str">
        <x:v>normalization-review-passenger-250-v1-rules-20260805T184409855703Z</x:v>
      </x:c>
      <x:c r="C97" s="36" t="n">
        <x:v>46239.78067008102</x:v>
      </x:c>
      <x:c r="D97" s="38" t="str">
        <x:v>"2026-08-05T18:44:09.895308+00:00"</x:v>
      </x:c>
      <x:c r="E97" s="36"/>
      <x:c r="F97" s="36" t="str">
        <x:v>AF</x:v>
      </x:c>
      <x:c r="G97" s="36" t="str">
        <x:v>SA</x:v>
      </x:c>
      <x:c r="H97" s="36" t="str">
        <x:v>FIAT DETHLEFFS</x:v>
      </x:c>
      <x:c r="I97" s="36"/>
      <x:c r="J97" s="36"/>
      <x:c r="K97" s="36" t="n">
        <x:v>2287</x:v>
      </x:c>
      <x:c r="L97" s="36" t="str">
        <x:v>M1</x:v>
      </x:c>
      <x:c r="M97" s="36"/>
      <x:c r="N97" s="36" t="str">
        <x:v>FI</x:v>
      </x:c>
      <x:c r="O97" s="36" t="str">
        <x:v>2</x:v>
      </x:c>
      <x:c r="P97" s="36" t="str">
        <x:v>0</x:v>
      </x:c>
      <x:c r="Q97" s="36" t="str">
        <x:v>0</x:v>
      </x:c>
      <x:c r="R97" s="36"/>
      <x:c r="S97" s="36" t="str">
        <x:v>M</x:v>
      </x:c>
      <x:c r="T97" s="36"/>
      <x:c r="U97" s="36" t="str">
        <x:v>0</x:v>
      </x:c>
      <x:c r="V97" s="36" t="n">
        <x:v>96</x:v>
      </x:c>
      <x:c r="W97" s="36"/>
      <x:c r="X97" s="36" t="str">
        <x:v>T 6701</x:v>
      </x:c>
      <x:c r="Y97" s="36"/>
      <x:c r="Z97" s="36"/>
      <x:c r="AA97" s="36" t="str">
        <x:v>TEST-2817</x:v>
      </x:c>
      <x:c r="AB97" s="36" t="str">
        <x:v>20130607</x:v>
      </x:c>
      <x:c r="AC97" s="36"/>
      <x:c r="AD97" s="36" t="str">
        <x:v>FTF8FE</x:v>
      </x:c>
      <x:c r="AE97" s="36" t="str">
        <x:v>II</x:v>
      </x:c>
      <x:c r="AF97" s="36" t="str">
        <x:v>PB</x:v>
      </x:c>
      <x:c r="AG97" s="36" t="n">
        <x:v>2012</x:v>
      </x:c>
      <x:c r="AH97" s="36" t="str">
        <x:v>K1GI000ADTC107</x:v>
      </x:c>
      <x:c r="AI97" s="36" t="str">
        <x:v>ZFA00000000002817</x:v>
      </x:c>
      <x:c r="AJ97" s="38" t="str">
        <x:v>{"kw":96,"ccm":2287,"vin":"ZFA00000000002817","brand":"FIAT DETHLEFFS","fuel1":"2","fuel2":"0","fuel3":"0","model":"T 6701","plate":"TEST-2817","is_4wd":"0","gearbox":"M","variant":"FTF8FE","version":"K1GI000ADTC107","fab_code":"FI","body_code":"AF","body_code2":"SA","eu_category":"M1","vehicle_type":"PB","vehicle_year":2012,"vehicle_class":"II","registration_date":"20130607"}</x:v>
      </x:c>
    </x:row>
    <x:row r="98" ht="18" customHeight="1">
      <x:c r="A98" s="36" t="n">
        <x:v>2818</x:v>
      </x:c>
      <x:c r="B98" s="36" t="str">
        <x:v>normalization-review-passenger-250-v1-rules-20260805T184409855703Z</x:v>
      </x:c>
      <x:c r="C98" s="36" t="n">
        <x:v>46239.78067008102</x:v>
      </x:c>
      <x:c r="D98" s="38" t="str">
        <x:v>"2026-08-05T18:44:09.895308+00:00"</x:v>
      </x:c>
      <x:c r="E98" s="36"/>
      <x:c r="F98" s="36" t="str">
        <x:v>01</x:v>
      </x:c>
      <x:c r="G98" s="36"/>
      <x:c r="H98" s="36" t="str">
        <x:v>VOLVO 131341 M</x:v>
      </x:c>
      <x:c r="I98" s="36"/>
      <x:c r="J98" s="36"/>
      <x:c r="K98" s="36"/>
      <x:c r="L98" s="36" t="str">
        <x:v>M1</x:v>
      </x:c>
      <x:c r="M98" s="36"/>
      <x:c r="N98" s="36" t="str">
        <x:v>VO</x:v>
      </x:c>
      <x:c r="O98" s="36" t="str">
        <x:v>1</x:v>
      </x:c>
      <x:c r="P98" s="36" t="str">
        <x:v>0</x:v>
      </x:c>
      <x:c r="Q98" s="36" t="str">
        <x:v>0</x:v>
      </x:c>
      <x:c r="R98" s="36"/>
      <x:c r="S98" s="36" t="str">
        <x:v>M</x:v>
      </x:c>
      <x:c r="T98" s="36" t="str">
        <x:v>000731</x:v>
      </x:c>
      <x:c r="U98" s="36" t="str">
        <x:v>0</x:v>
      </x:c>
      <x:c r="V98" s="36" t="n">
        <x:v>55</x:v>
      </x:c>
      <x:c r="W98" s="36"/>
      <x:c r="X98" s="36"/>
      <x:c r="Y98" s="36" t="str">
        <x:v>000731</x:v>
      </x:c>
      <x:c r="Z98" s="36" t="n">
        <x:v>1967</x:v>
      </x:c>
      <x:c r="AA98" s="36" t="str">
        <x:v>TEST-2818</x:v>
      </x:c>
      <x:c r="AB98" s="36" t="str">
        <x:v>19670607</x:v>
      </x:c>
      <x:c r="AC98" s="36"/>
      <x:c r="AD98" s="36"/>
      <x:c r="AE98" s="36" t="str">
        <x:v>I</x:v>
      </x:c>
      <x:c r="AF98" s="36" t="str">
        <x:v>PB</x:v>
      </x:c>
      <x:c r="AG98" s="36" t="n">
        <x:v>1967</x:v>
      </x:c>
      <x:c r="AH98" s="36"/>
      <x:c r="AI98" s="36" t="str">
        <x:v>26100000000002818</x:v>
      </x:c>
      <x:c r="AJ98" s="38" t="str">
        <x:v>{"kw":55,"vin":"26100000000002818","brand":"VOLVO 131341 M","fuel1":"1","fuel2":"0","fuel3":"0","plate":"TEST-2818","is_4wd":"0","gearbox":"M","fab_code":"VO","group_no":"000731","model_no":"000731","body_code":"01","model_year":1967,"eu_category":"M1","vehicle_type":"PB","vehicle_year":1967,"vehicle_class":"I","registration_date":"19670607"}</x:v>
      </x:c>
    </x:row>
    <x:row r="99" ht="18" customHeight="1">
      <x:c r="A99" s="36" t="n">
        <x:v>2819</x:v>
      </x:c>
      <x:c r="B99" s="36" t="str">
        <x:v>normalization-review-passenger-250-v1-rules-20260805T184409855703Z</x:v>
      </x:c>
      <x:c r="C99" s="36" t="n">
        <x:v>46239.78067008102</x:v>
      </x:c>
      <x:c r="D99" s="38" t="str">
        <x:v>"2026-08-05T18:44:09.895308+00:00"</x:v>
      </x:c>
      <x:c r="E99" s="36"/>
      <x:c r="F99" s="36" t="str">
        <x:v>AC</x:v>
      </x:c>
      <x:c r="G99" s="36"/>
      <x:c r="H99" s="36" t="str">
        <x:v>KIA CEED SW 1,6 CRDI LIM</x:v>
      </x:c>
      <x:c r="I99" s="36"/>
      <x:c r="J99" s="36" t="str">
        <x:v>201403</x:v>
      </x:c>
      <x:c r="K99" s="36" t="n">
        <x:v>1582</x:v>
      </x:c>
      <x:c r="L99" s="36" t="str">
        <x:v>M1</x:v>
      </x:c>
      <x:c r="M99" s="36"/>
      <x:c r="N99" s="36" t="str">
        <x:v>KG</x:v>
      </x:c>
      <x:c r="O99" s="36" t="str">
        <x:v>2</x:v>
      </x:c>
      <x:c r="P99" s="36" t="str">
        <x:v>0</x:v>
      </x:c>
      <x:c r="Q99" s="36" t="str">
        <x:v>0</x:v>
      </x:c>
      <x:c r="R99" s="36"/>
      <x:c r="S99" s="36" t="str">
        <x:v>M</x:v>
      </x:c>
      <x:c r="T99" s="36" t="str">
        <x:v>172914</x:v>
      </x:c>
      <x:c r="U99" s="36" t="str">
        <x:v>0</x:v>
      </x:c>
      <x:c r="V99" s="36" t="n">
        <x:v>94</x:v>
      </x:c>
      <x:c r="W99" s="36"/>
      <x:c r="X99" s="36" t="str">
        <x:v>CEED</x:v>
      </x:c>
      <x:c r="Y99" s="36"/>
      <x:c r="Z99" s="36"/>
      <x:c r="AA99" s="36" t="str">
        <x:v>TEST-2819</x:v>
      </x:c>
      <x:c r="AB99" s="36" t="str">
        <x:v>20140711</x:v>
      </x:c>
      <x:c r="AC99" s="36" t="str">
        <x:v>JD</x:v>
      </x:c>
      <x:c r="AD99" s="36" t="str">
        <x:v>C5D31</x:v>
      </x:c>
      <x:c r="AE99" s="36" t="str">
        <x:v>I</x:v>
      </x:c>
      <x:c r="AF99" s="36" t="str">
        <x:v>PB</x:v>
      </x:c>
      <x:c r="AG99" s="36" t="n">
        <x:v>2014</x:v>
      </x:c>
      <x:c r="AH99" s="36" t="str">
        <x:v>M65DZ1</x:v>
      </x:c>
      <x:c r="AI99" s="36" t="str">
        <x:v>U5Y00000000002819</x:v>
      </x:c>
      <x:c r="AJ99" s="38" t="str">
        <x:v>{"kw":94,"ccm":1582,"vin":"U5Y00000000002819","brand":"KIA CEED SW 1,6 CRDI LIM","fuel1":"2","fuel2":"0","fuel3":"0","model":"CEED","plate":"TEST-2819","is_4wd":"0","gearbox":"M","variant":"C5D31","version":"M65DZ1","fab_code":"KG","group_no":"172914","body_code":"AC","type_text":"JD","build_month":"201403","eu_category":"M1","vehicle_type":"PB","vehicle_year":2014,"vehicle_class":"I","registration_date":"20140711"}</x:v>
      </x:c>
    </x:row>
    <x:row r="100" ht="18" customHeight="1">
      <x:c r="A100" s="36" t="n">
        <x:v>2820</x:v>
      </x:c>
      <x:c r="B100" s="36" t="str">
        <x:v>normalization-review-passenger-250-v1-rules-20260805T184409855703Z</x:v>
      </x:c>
      <x:c r="C100" s="36" t="n">
        <x:v>46239.78067008102</x:v>
      </x:c>
      <x:c r="D100" s="38" t="str">
        <x:v>"2026-08-05T18:44:09.895308+00:00"</x:v>
      </x:c>
      <x:c r="E100" s="36"/>
      <x:c r="F100" s="36" t="str">
        <x:v>AC</x:v>
      </x:c>
      <x:c r="G100" s="36"/>
      <x:c r="H100" s="36" t="str">
        <x:v>VOLKSWAGEN, VW</x:v>
      </x:c>
      <x:c r="I100" s="36"/>
      <x:c r="J100" s="36" t="str">
        <x:v>201504</x:v>
      </x:c>
      <x:c r="K100" s="36" t="n">
        <x:v>1968</x:v>
      </x:c>
      <x:c r="L100" s="36" t="str">
        <x:v>M1</x:v>
      </x:c>
      <x:c r="M100" s="36"/>
      <x:c r="N100" s="36" t="str">
        <x:v>VW</x:v>
      </x:c>
      <x:c r="O100" s="36" t="str">
        <x:v>2</x:v>
      </x:c>
      <x:c r="P100" s="36" t="str">
        <x:v>0</x:v>
      </x:c>
      <x:c r="Q100" s="36" t="str">
        <x:v>0</x:v>
      </x:c>
      <x:c r="R100" s="36"/>
      <x:c r="S100" s="36" t="str">
        <x:v>A</x:v>
      </x:c>
      <x:c r="T100" s="36" t="str">
        <x:v>825016</x:v>
      </x:c>
      <x:c r="U100" s="36" t="str">
        <x:v>0</x:v>
      </x:c>
      <x:c r="V100" s="36" t="n">
        <x:v>140</x:v>
      </x:c>
      <x:c r="W100" s="36"/>
      <x:c r="X100" s="36" t="str">
        <x:v>PASSAT</x:v>
      </x:c>
      <x:c r="Y100" s="36"/>
      <x:c r="Z100" s="36"/>
      <x:c r="AA100" s="36" t="str">
        <x:v>TEST-2820</x:v>
      </x:c>
      <x:c r="AB100" s="36" t="str">
        <x:v>20150521</x:v>
      </x:c>
      <x:c r="AC100" s="36" t="str">
        <x:v>3C</x:v>
      </x:c>
      <x:c r="AD100" s="36" t="str">
        <x:v>ACDDAAX0</x:v>
      </x:c>
      <x:c r="AE100" s="36" t="str">
        <x:v>I</x:v>
      </x:c>
      <x:c r="AF100" s="36" t="str">
        <x:v>PB</x:v>
      </x:c>
      <x:c r="AG100" s="36" t="n">
        <x:v>2015</x:v>
      </x:c>
      <x:c r="AH100" s="36" t="str">
        <x:v>FD6FD6D9002SV7MMVR261</x:v>
      </x:c>
      <x:c r="AI100" s="36" t="str">
        <x:v>WVW00000000002820</x:v>
      </x:c>
      <x:c r="AJ100" s="38" t="str">
        <x:v>{"kw":140,"ccm":1968,"vin":"WVW00000000002820","brand":"VOLKSWAGEN, VW","fuel1":"2","fuel2":"0","fuel3":"0","model":"PASSAT","plate":"TEST-2820","is_4wd":"0","gearbox":"A","variant":"ACDDAAX0","version":"FD6FD6D9002SV7MMVR261","fab_code":"VW","group_no":"825016","body_code":"AC","type_text":"3C","build_month":"201504","eu_category":"M1","vehicle_type":"PB","vehicle_year":2015,"vehicle_class":"I","registration_date":"20150521"}</x:v>
      </x:c>
    </x:row>
    <x:row r="101" ht="18" customHeight="1">
      <x:c r="A101" s="36" t="n">
        <x:v>2821</x:v>
      </x:c>
      <x:c r="B101" s="36" t="str">
        <x:v>normalization-review-passenger-250-v1-rules-20260805T184409855703Z</x:v>
      </x:c>
      <x:c r="C101" s="36" t="n">
        <x:v>46239.78067008102</x:v>
      </x:c>
      <x:c r="D101" s="38" t="str">
        <x:v>"2026-08-05T18:44:09.895308+00:00"</x:v>
      </x:c>
      <x:c r="E101" s="36"/>
      <x:c r="F101" s="36" t="str">
        <x:v>AF</x:v>
      </x:c>
      <x:c r="G101" s="36"/>
      <x:c r="H101" s="36" t="str">
        <x:v>JEEP WRANGLER UNLIMITED</x:v>
      </x:c>
      <x:c r="I101" s="36"/>
      <x:c r="J101" s="36" t="str">
        <x:v>200712</x:v>
      </x:c>
      <x:c r="K101" s="36" t="n">
        <x:v>3778</x:v>
      </x:c>
      <x:c r="L101" s="36" t="str">
        <x:v>M1</x:v>
      </x:c>
      <x:c r="M101" s="36"/>
      <x:c r="N101" s="36" t="str">
        <x:v>JP</x:v>
      </x:c>
      <x:c r="O101" s="36" t="str">
        <x:v>1</x:v>
      </x:c>
      <x:c r="P101" s="36" t="str">
        <x:v>0</x:v>
      </x:c>
      <x:c r="Q101" s="36" t="str">
        <x:v>0</x:v>
      </x:c>
      <x:c r="R101" s="36"/>
      <x:c r="S101" s="36" t="str">
        <x:v>A</x:v>
      </x:c>
      <x:c r="T101" s="36" t="str">
        <x:v>412000</x:v>
      </x:c>
      <x:c r="U101" s="36" t="str">
        <x:v>1</x:v>
      </x:c>
      <x:c r="V101" s="36" t="n">
        <x:v>146</x:v>
      </x:c>
      <x:c r="W101" s="36"/>
      <x:c r="X101" s="36"/>
      <x:c r="Y101" s="36"/>
      <x:c r="Z101" s="36"/>
      <x:c r="AA101" s="36" t="str">
        <x:v>TEST-2821</x:v>
      </x:c>
      <x:c r="AB101" s="36" t="str">
        <x:v>20090130</x:v>
      </x:c>
      <x:c r="AC101" s="36" t="str">
        <x:v>JK</x:v>
      </x:c>
      <x:c r="AD101" s="36" t="str">
        <x:v>JXBFD</x:v>
      </x:c>
      <x:c r="AE101" s="36" t="str">
        <x:v>I</x:v>
      </x:c>
      <x:c r="AF101" s="36" t="str">
        <x:v>PB</x:v>
      </x:c>
      <x:c r="AG101" s="36" t="n">
        <x:v>2007</x:v>
      </x:c>
      <x:c r="AH101" s="36" t="str">
        <x:v>52</x:v>
      </x:c>
      <x:c r="AI101" s="36" t="str">
        <x:v>1J400000000002821</x:v>
      </x:c>
      <x:c r="AJ101" s="38" t="str">
        <x:v>{"kw":146,"ccm":3778,"vin":"1J400000000002821","brand":"JEEP WRANGLER UNLIMITED","fuel1":"1","fuel2":"0","fuel3":"0","plate":"TEST-2821","is_4wd":"1","gearbox":"A","variant":"JXBFD","version":"52","fab_code":"JP","group_no":"412000","body_code":"AF","type_text":"JK","build_month":"200712","eu_category":"M1","vehicle_type":"PB","vehicle_year":2007,"vehicle_class":"I","registration_date":"20090130"}</x:v>
      </x:c>
    </x:row>
    <x:row r="102" ht="18" customHeight="1">
      <x:c r="A102" s="36" t="n">
        <x:v>2822</x:v>
      </x:c>
      <x:c r="B102" s="36" t="str">
        <x:v>normalization-review-passenger-250-v1-rules-20260805T184409855703Z</x:v>
      </x:c>
      <x:c r="C102" s="36" t="n">
        <x:v>46239.78067008102</x:v>
      </x:c>
      <x:c r="D102" s="38" t="str">
        <x:v>"2026-08-05T18:44:09.895308+00:00"</x:v>
      </x:c>
      <x:c r="E102" s="36"/>
      <x:c r="F102" s="36" t="str">
        <x:v>AA</x:v>
      </x:c>
      <x:c r="G102" s="36"/>
      <x:c r="H102" s="36" t="str">
        <x:v>CITROEN</x:v>
      </x:c>
      <x:c r="I102" s="36" t="str">
        <x:v>20230609</x:v>
      </x:c>
      <x:c r="J102" s="36" t="str">
        <x:v>202306</x:v>
      </x:c>
      <x:c r="K102" s="36" t="n">
        <x:v>1199</x:v>
      </x:c>
      <x:c r="L102" s="36" t="str">
        <x:v>M1</x:v>
      </x:c>
      <x:c r="M102" s="36"/>
      <x:c r="N102" s="36" t="str">
        <x:v>CI</x:v>
      </x:c>
      <x:c r="O102" s="36" t="str">
        <x:v>1</x:v>
      </x:c>
      <x:c r="P102" s="36" t="str">
        <x:v>0</x:v>
      </x:c>
      <x:c r="Q102" s="36" t="str">
        <x:v>0</x:v>
      </x:c>
      <x:c r="R102" s="36"/>
      <x:c r="S102" s="36" t="str">
        <x:v>A</x:v>
      </x:c>
      <x:c r="T102" s="36" t="str">
        <x:v>010000</x:v>
      </x:c>
      <x:c r="U102" s="36" t="str">
        <x:v>0</x:v>
      </x:c>
      <x:c r="V102" s="36" t="n">
        <x:v>96</x:v>
      </x:c>
      <x:c r="W102" s="36" t="str">
        <x:v>PSA AUTOMOBILES SA</x:v>
      </x:c>
      <x:c r="X102" s="36" t="str">
        <x:v>C4 X</x:v>
      </x:c>
      <x:c r="Y102" s="36"/>
      <x:c r="Z102" s="36"/>
      <x:c r="AA102" s="36" t="str">
        <x:v>TEST-2822</x:v>
      </x:c>
      <x:c r="AB102" s="36" t="str">
        <x:v>20230707</x:v>
      </x:c>
      <x:c r="AC102" s="36" t="str">
        <x:v>B</x:v>
      </x:c>
      <x:c r="AD102" s="36" t="str">
        <x:v>D</x:v>
      </x:c>
      <x:c r="AE102" s="36" t="str">
        <x:v>I</x:v>
      </x:c>
      <x:c r="AF102" s="36" t="str">
        <x:v>PB</x:v>
      </x:c>
      <x:c r="AG102" s="36" t="n">
        <x:v>2023</x:v>
      </x:c>
      <x:c r="AH102" s="36" t="str">
        <x:v>HNSB-B1A600</x:v>
      </x:c>
      <x:c r="AI102" s="36" t="str">
        <x:v>VR700000000002822</x:v>
      </x:c>
      <x:c r="AJ102" s="38" t="str">
        <x:v>{"kw":96,"ccm":1199,"vin":"VR700000000002822","brand":"CITROEN","fuel1":"1","fuel2":"0","fuel3":"0","model":"C4 X","plate":"TEST-2822","is_4wd":"0","gearbox":"A","variant":"D","version":"HNSB-B1A600","fab_code":"CI","group_no":"010000","body_code":"AA","type_text":"B","build_date":"20230609","build_month":"202306","eu_category":"M1","manufacturer":"PSA AUTOMOBILES SA","vehicle_type":"PB","vehicle_year":2023,"vehicle_class":"I","registration_date":"20230707"}</x:v>
      </x:c>
    </x:row>
    <x:row r="103" ht="18" customHeight="1">
      <x:c r="A103" s="36" t="n">
        <x:v>2823</x:v>
      </x:c>
      <x:c r="B103" s="36" t="str">
        <x:v>normalization-review-passenger-250-v1-rules-20260805T184409855703Z</x:v>
      </x:c>
      <x:c r="C103" s="36" t="n">
        <x:v>46239.78067008102</x:v>
      </x:c>
      <x:c r="D103" s="38" t="str">
        <x:v>"2026-08-05T18:44:09.895308+00:00"</x:v>
      </x:c>
      <x:c r="E103" s="36"/>
      <x:c r="F103" s="36" t="str">
        <x:v>01</x:v>
      </x:c>
      <x:c r="G103" s="36"/>
      <x:c r="H103" s="36" t="str">
        <x:v>VOLVO 1421341 P</x:v>
      </x:c>
      <x:c r="I103" s="36"/>
      <x:c r="J103" s="36"/>
      <x:c r="K103" s="36"/>
      <x:c r="L103" s="36" t="str">
        <x:v>M1</x:v>
      </x:c>
      <x:c r="M103" s="36"/>
      <x:c r="N103" s="36" t="str">
        <x:v>VO</x:v>
      </x:c>
      <x:c r="O103" s="36" t="str">
        <x:v>2</x:v>
      </x:c>
      <x:c r="P103" s="36" t="str">
        <x:v>0</x:v>
      </x:c>
      <x:c r="Q103" s="36" t="str">
        <x:v>0</x:v>
      </x:c>
      <x:c r="R103" s="36"/>
      <x:c r="S103" s="36" t="str">
        <x:v>M</x:v>
      </x:c>
      <x:c r="T103" s="36" t="str">
        <x:v>000810</x:v>
      </x:c>
      <x:c r="U103" s="36" t="str">
        <x:v>0</x:v>
      </x:c>
      <x:c r="V103" s="36" t="n">
        <x:v>66</x:v>
      </x:c>
      <x:c r="W103" s="36"/>
      <x:c r="X103" s="36"/>
      <x:c r="Y103" s="36" t="str">
        <x:v>000810</x:v>
      </x:c>
      <x:c r="Z103" s="36" t="n">
        <x:v>1968</x:v>
      </x:c>
      <x:c r="AA103" s="36" t="str">
        <x:v>TEST-2823</x:v>
      </x:c>
      <x:c r="AB103" s="36" t="str">
        <x:v>19680320</x:v>
      </x:c>
      <x:c r="AC103" s="36"/>
      <x:c r="AD103" s="36"/>
      <x:c r="AE103" s="36" t="str">
        <x:v>I</x:v>
      </x:c>
      <x:c r="AF103" s="36" t="str">
        <x:v>PB</x:v>
      </x:c>
      <x:c r="AG103" s="36" t="n">
        <x:v>1968</x:v>
      </x:c>
      <x:c r="AH103" s="36"/>
      <x:c r="AI103" s="36" t="str">
        <x:v>14200000000002823</x:v>
      </x:c>
      <x:c r="AJ103" s="38" t="str">
        <x:v>{"kw":66,"vin":"14200000000002823","brand":"VOLVO 1421341 P","fuel1":"2","fuel2":"0","fuel3":"0","plate":"TEST-2823","is_4wd":"0","gearbox":"M","fab_code":"VO","group_no":"000810","model_no":"000810","body_code":"01","model_year":1968,"eu_category":"M1","vehicle_type":"PB","vehicle_year":1968,"vehicle_class":"I","registration_date":"19680320"}</x:v>
      </x:c>
    </x:row>
    <x:row r="104" ht="18" customHeight="1">
      <x:c r="A104" s="36" t="n">
        <x:v>2824</x:v>
      </x:c>
      <x:c r="B104" s="36" t="str">
        <x:v>normalization-review-passenger-250-v1-rules-20260805T184409855703Z</x:v>
      </x:c>
      <x:c r="C104" s="36" t="n">
        <x:v>46239.78067008102</x:v>
      </x:c>
      <x:c r="D104" s="38" t="str">
        <x:v>"2026-08-05T18:44:09.895308+00:00"</x:v>
      </x:c>
      <x:c r="E104" s="36"/>
      <x:c r="F104" s="36" t="str">
        <x:v>AC</x:v>
      </x:c>
      <x:c r="G104" s="36"/>
      <x:c r="H104" s="36" t="str">
        <x:v>DACIA</x:v>
      </x:c>
      <x:c r="I104" s="36"/>
      <x:c r="J104" s="36" t="str">
        <x:v>201906</x:v>
      </x:c>
      <x:c r="K104" s="36" t="n">
        <x:v>1332</x:v>
      </x:c>
      <x:c r="L104" s="36" t="str">
        <x:v>M1</x:v>
      </x:c>
      <x:c r="M104" s="36"/>
      <x:c r="N104" s="36" t="str">
        <x:v>DQ</x:v>
      </x:c>
      <x:c r="O104" s="36" t="str">
        <x:v>1</x:v>
      </x:c>
      <x:c r="P104" s="36" t="str">
        <x:v>0</x:v>
      </x:c>
      <x:c r="Q104" s="36" t="str">
        <x:v>0</x:v>
      </x:c>
      <x:c r="R104" s="36"/>
      <x:c r="S104" s="36"/>
      <x:c r="T104" s="36" t="str">
        <x:v>033033</x:v>
      </x:c>
      <x:c r="U104" s="36" t="str">
        <x:v>1</x:v>
      </x:c>
      <x:c r="V104" s="36" t="n">
        <x:v>110</x:v>
      </x:c>
      <x:c r="W104" s="36" t="str">
        <x:v>RENAULT S.A.S.</x:v>
      </x:c>
      <x:c r="X104" s="36" t="str">
        <x:v>DUSTER</x:v>
      </x:c>
      <x:c r="Y104" s="36"/>
      <x:c r="Z104" s="36"/>
      <x:c r="AA104" s="36" t="str">
        <x:v>TEST-2824</x:v>
      </x:c>
      <x:c r="AB104" s="36" t="str">
        <x:v>20190827</x:v>
      </x:c>
      <x:c r="AC104" s="36" t="str">
        <x:v>SR</x:v>
      </x:c>
      <x:c r="AD104" s="36" t="str">
        <x:v>DHE4</x:v>
      </x:c>
      <x:c r="AE104" s="36" t="str">
        <x:v>I</x:v>
      </x:c>
      <x:c r="AF104" s="36" t="str">
        <x:v>PB</x:v>
      </x:c>
      <x:c r="AG104" s="36" t="n">
        <x:v>2019</x:v>
      </x:c>
      <x:c r="AH104" s="36" t="str">
        <x:v>M36DA160M000</x:v>
      </x:c>
      <x:c r="AI104" s="36" t="str">
        <x:v>VF100000000002824</x:v>
      </x:c>
      <x:c r="AJ104" s="38" t="str">
        <x:v>{"kw":110,"ccm":1332,"vin":"VF100000000002824","brand":"DACIA","fuel1":"1","fuel2":"0","fuel3":"0","model":"DUSTER","plate":"TEST-2824","is_4wd":"1","variant":"DHE4","version":"M36DA160M000","fab_code":"DQ","group_no":"033033","body_code":"AC","type_text":"SR","build_month":"201906","eu_category":"M1","manufacturer":"RENAULT S.A.S.","vehicle_type":"PB","vehicle_year":2019,"vehicle_class":"I","registration_date":"20190827"}</x:v>
      </x:c>
    </x:row>
    <x:row r="105" ht="18" customHeight="1">
      <x:c r="A105" s="36" t="n">
        <x:v>2825</x:v>
      </x:c>
      <x:c r="B105" s="36" t="str">
        <x:v>normalization-review-passenger-250-v1-rules-20260805T184409855703Z</x:v>
      </x:c>
      <x:c r="C105" s="36" t="n">
        <x:v>46239.78067008102</x:v>
      </x:c>
      <x:c r="D105" s="38" t="str">
        <x:v>"2026-08-05T18:44:09.895308+00:00"</x:v>
      </x:c>
      <x:c r="E105" s="36"/>
      <x:c r="F105" s="36" t="str">
        <x:v>02</x:v>
      </x:c>
      <x:c r="G105" s="36"/>
      <x:c r="H105" s="36" t="str">
        <x:v>VOLKSW 1500LIM113 AVK</x:v>
      </x:c>
      <x:c r="I105" s="36"/>
      <x:c r="J105" s="36"/>
      <x:c r="K105" s="36"/>
      <x:c r="L105" s="36" t="str">
        <x:v>M1</x:v>
      </x:c>
      <x:c r="M105" s="36"/>
      <x:c r="N105" s="36" t="str">
        <x:v>VW</x:v>
      </x:c>
      <x:c r="O105" s="36" t="str">
        <x:v>1</x:v>
      </x:c>
      <x:c r="P105" s="36" t="str">
        <x:v>0</x:v>
      </x:c>
      <x:c r="Q105" s="36" t="str">
        <x:v>0</x:v>
      </x:c>
      <x:c r="R105" s="36"/>
      <x:c r="S105" s="36" t="str">
        <x:v>M</x:v>
      </x:c>
      <x:c r="T105" s="36" t="str">
        <x:v>000179</x:v>
      </x:c>
      <x:c r="U105" s="36" t="str">
        <x:v>0</x:v>
      </x:c>
      <x:c r="V105" s="36" t="n">
        <x:v>32</x:v>
      </x:c>
      <x:c r="W105" s="36"/>
      <x:c r="X105" s="36"/>
      <x:c r="Y105" s="36" t="str">
        <x:v>000179</x:v>
      </x:c>
      <x:c r="Z105" s="36" t="n">
        <x:v>1970</x:v>
      </x:c>
      <x:c r="AA105" s="36" t="str">
        <x:v>TEST-2825</x:v>
      </x:c>
      <x:c r="AB105" s="36" t="str">
        <x:v>19700630</x:v>
      </x:c>
      <x:c r="AC105" s="36"/>
      <x:c r="AD105" s="36"/>
      <x:c r="AE105" s="36" t="str">
        <x:v>I</x:v>
      </x:c>
      <x:c r="AF105" s="36" t="str">
        <x:v>PB</x:v>
      </x:c>
      <x:c r="AG105" s="36" t="n">
        <x:v>1970</x:v>
      </x:c>
      <x:c r="AH105" s="36"/>
      <x:c r="AI105" s="36" t="str">
        <x:v>11000000000002825</x:v>
      </x:c>
      <x:c r="AJ105" s="38" t="str">
        <x:v>{"kw":32,"vin":"11000000000002825","brand":"VOLKSW 1500LIM113 AVK","fuel1":"1","fuel2":"0","fuel3":"0","plate":"TEST-2825","is_4wd":"0","gearbox":"M","fab_code":"VW","group_no":"000179","model_no":"000179","body_code":"02","model_year":1970,"eu_category":"M1","vehicle_type":"PB","vehicle_year":1970,"vehicle_class":"I","registration_date":"19700630"}</x:v>
      </x:c>
    </x:row>
    <x:row r="106" ht="18" customHeight="1">
      <x:c r="A106" s="36" t="n">
        <x:v>2826</x:v>
      </x:c>
      <x:c r="B106" s="36" t="str">
        <x:v>normalization-review-passenger-250-v1-rules-20260805T184409855703Z</x:v>
      </x:c>
      <x:c r="C106" s="36" t="n">
        <x:v>46239.78067008102</x:v>
      </x:c>
      <x:c r="D106" s="38" t="str">
        <x:v>"2026-08-05T18:44:09.895308+00:00"</x:v>
      </x:c>
      <x:c r="E106" s="36"/>
      <x:c r="F106" s="36" t="str">
        <x:v>AF</x:v>
      </x:c>
      <x:c r="G106" s="36"/>
      <x:c r="H106" s="36" t="str">
        <x:v>FORD JK8</x:v>
      </x:c>
      <x:c r="I106" s="36"/>
      <x:c r="J106" s="36" t="str">
        <x:v>201310</x:v>
      </x:c>
      <x:c r="K106" s="36" t="n">
        <x:v>998</x:v>
      </x:c>
      <x:c r="L106" s="36" t="str">
        <x:v>M1</x:v>
      </x:c>
      <x:c r="M106" s="36"/>
      <x:c r="N106" s="36" t="str">
        <x:v>FO</x:v>
      </x:c>
      <x:c r="O106" s="36" t="str">
        <x:v>1</x:v>
      </x:c>
      <x:c r="P106" s="36" t="str">
        <x:v>0</x:v>
      </x:c>
      <x:c r="Q106" s="36" t="str">
        <x:v>0</x:v>
      </x:c>
      <x:c r="R106" s="36"/>
      <x:c r="S106" s="36" t="str">
        <x:v>M</x:v>
      </x:c>
      <x:c r="T106" s="36" t="str">
        <x:v>010708</x:v>
      </x:c>
      <x:c r="U106" s="36" t="str">
        <x:v>0</x:v>
      </x:c>
      <x:c r="V106" s="36" t="n">
        <x:v>92</x:v>
      </x:c>
      <x:c r="W106" s="36"/>
      <x:c r="X106" s="36" t="str">
        <x:v>B-MAX</x:v>
      </x:c>
      <x:c r="Y106" s="36"/>
      <x:c r="Z106" s="36"/>
      <x:c r="AA106" s="36" t="str">
        <x:v>TEST-2826</x:v>
      </x:c>
      <x:c r="AB106" s="36" t="str">
        <x:v>20131128</x:v>
      </x:c>
      <x:c r="AC106" s="36" t="str">
        <x:v>JK8</x:v>
      </x:c>
      <x:c r="AD106" s="36" t="str">
        <x:v>M1JE1K</x:v>
      </x:c>
      <x:c r="AE106" s="36" t="str">
        <x:v>I</x:v>
      </x:c>
      <x:c r="AF106" s="36" t="str">
        <x:v>PB</x:v>
      </x:c>
      <x:c r="AG106" s="36" t="n">
        <x:v>2013</x:v>
      </x:c>
      <x:c r="AH106" s="36" t="str">
        <x:v>5ABALR</x:v>
      </x:c>
      <x:c r="AI106" s="36" t="str">
        <x:v>WF000000000002826</x:v>
      </x:c>
      <x:c r="AJ106" s="38" t="str">
        <x:v>{"kw":92,"ccm":998,"vin":"WF000000000002826","brand":"FORD JK8","fuel1":"1","fuel2":"0","fuel3":"0","model":"B-MAX","plate":"TEST-2826","is_4wd":"0","gearbox":"M","variant":"M1JE1K","version":"5ABALR","fab_code":"FO","group_no":"010708","body_code":"AF","type_text":"JK8","build_month":"201310","eu_category":"M1","vehicle_type":"PB","vehicle_year":2013,"vehicle_class":"I","registration_date":"20131128"}</x:v>
      </x:c>
    </x:row>
    <x:row r="107" ht="18" customHeight="1">
      <x:c r="A107" s="36" t="n">
        <x:v>2827</x:v>
      </x:c>
      <x:c r="B107" s="36" t="str">
        <x:v>normalization-review-passenger-250-v1-rules-20260805T184409855703Z</x:v>
      </x:c>
      <x:c r="C107" s="36" t="n">
        <x:v>46239.78067008102</x:v>
      </x:c>
      <x:c r="D107" s="38" t="str">
        <x:v>"2026-08-05T18:44:09.895308+00:00"</x:v>
      </x:c>
      <x:c r="E107" s="36"/>
      <x:c r="F107" s="36" t="str">
        <x:v>01</x:v>
      </x:c>
      <x:c r="G107" s="36"/>
      <x:c r="H107" s="36" t="str">
        <x:v>VOLVO 11134 E</x:v>
      </x:c>
      <x:c r="I107" s="36"/>
      <x:c r="J107" s="36"/>
      <x:c r="K107" s="36"/>
      <x:c r="L107" s="36" t="str">
        <x:v>M1</x:v>
      </x:c>
      <x:c r="M107" s="36"/>
      <x:c r="N107" s="36" t="str">
        <x:v>VO</x:v>
      </x:c>
      <x:c r="O107" s="36" t="str">
        <x:v>1</x:v>
      </x:c>
      <x:c r="P107" s="36" t="str">
        <x:v>0</x:v>
      </x:c>
      <x:c r="Q107" s="36" t="str">
        <x:v>0</x:v>
      </x:c>
      <x:c r="R107" s="36"/>
      <x:c r="S107" s="36" t="str">
        <x:v>M</x:v>
      </x:c>
      <x:c r="T107" s="36" t="str">
        <x:v>000531</x:v>
      </x:c>
      <x:c r="U107" s="36" t="str">
        <x:v>0</x:v>
      </x:c>
      <x:c r="V107" s="36" t="n">
        <x:v>59</x:v>
      </x:c>
      <x:c r="W107" s="36"/>
      <x:c r="X107" s="36"/>
      <x:c r="Y107" s="36" t="str">
        <x:v>000531</x:v>
      </x:c>
      <x:c r="Z107" s="36" t="n">
        <x:v>1964</x:v>
      </x:c>
      <x:c r="AA107" s="36" t="str">
        <x:v>TEST-2827</x:v>
      </x:c>
      <x:c r="AB107" s="36" t="str">
        <x:v>19630917</x:v>
      </x:c>
      <x:c r="AC107" s="36"/>
      <x:c r="AD107" s="36"/>
      <x:c r="AE107" s="36" t="str">
        <x:v>I</x:v>
      </x:c>
      <x:c r="AF107" s="36" t="str">
        <x:v>PB</x:v>
      </x:c>
      <x:c r="AG107" s="36" t="n">
        <x:v>1964</x:v>
      </x:c>
      <x:c r="AH107" s="36"/>
      <x:c r="AI107" s="36" t="str">
        <x:v>39600000000002827</x:v>
      </x:c>
      <x:c r="AJ107" s="38" t="str">
        <x:v>{"kw":59,"vin":"39600000000002827","brand":"VOLVO 11134 E","fuel1":"1","fuel2":"0","fuel3":"0","plate":"TEST-2827","is_4wd":"0","gearbox":"M","fab_code":"VO","group_no":"000531","model_no":"000531","body_code":"01","model_year":1964,"eu_category":"M1","vehicle_type":"PB","vehicle_year":1964,"vehicle_class":"I","registration_date":"19630917"}</x:v>
      </x:c>
    </x:row>
    <x:row r="108" ht="18" customHeight="1">
      <x:c r="A108" s="36" t="n">
        <x:v>2828</x:v>
      </x:c>
      <x:c r="B108" s="36" t="str">
        <x:v>normalization-review-passenger-250-v1-rules-20260805T184409855703Z</x:v>
      </x:c>
      <x:c r="C108" s="36" t="n">
        <x:v>46239.78067008102</x:v>
      </x:c>
      <x:c r="D108" s="38" t="str">
        <x:v>"2026-08-05T18:44:09.895308+00:00"</x:v>
      </x:c>
      <x:c r="E108" s="36"/>
      <x:c r="F108" s="36" t="str">
        <x:v>01</x:v>
      </x:c>
      <x:c r="G108" s="36"/>
      <x:c r="H108" s="36" t="str">
        <x:v>VOLVO 13235 VF</x:v>
      </x:c>
      <x:c r="I108" s="36"/>
      <x:c r="J108" s="36"/>
      <x:c r="K108" s="36"/>
      <x:c r="L108" s="36" t="str">
        <x:v>M1</x:v>
      </x:c>
      <x:c r="M108" s="36"/>
      <x:c r="N108" s="36" t="str">
        <x:v>VO</x:v>
      </x:c>
      <x:c r="O108" s="36" t="str">
        <x:v>1</x:v>
      </x:c>
      <x:c r="P108" s="36" t="str">
        <x:v>0</x:v>
      </x:c>
      <x:c r="Q108" s="36" t="str">
        <x:v>0</x:v>
      </x:c>
      <x:c r="R108" s="36"/>
      <x:c r="S108" s="36" t="str">
        <x:v>M</x:v>
      </x:c>
      <x:c r="T108" s="36" t="str">
        <x:v>000720</x:v>
      </x:c>
      <x:c r="U108" s="36" t="str">
        <x:v>0</x:v>
      </x:c>
      <x:c r="V108" s="36" t="n">
        <x:v>70</x:v>
      </x:c>
      <x:c r="W108" s="36"/>
      <x:c r="X108" s="36"/>
      <x:c r="Y108" s="36" t="str">
        <x:v>000720</x:v>
      </x:c>
      <x:c r="Z108" s="36" t="n">
        <x:v>1966</x:v>
      </x:c>
      <x:c r="AA108" s="36" t="str">
        <x:v>TEST-2828</x:v>
      </x:c>
      <x:c r="AB108" s="36" t="str">
        <x:v>19660101</x:v>
      </x:c>
      <x:c r="AC108" s="36"/>
      <x:c r="AD108" s="36"/>
      <x:c r="AE108" s="36" t="str">
        <x:v>I</x:v>
      </x:c>
      <x:c r="AF108" s="36" t="str">
        <x:v>PB</x:v>
      </x:c>
      <x:c r="AG108" s="36" t="n">
        <x:v>1966</x:v>
      </x:c>
      <x:c r="AH108" s="36"/>
      <x:c r="AI108" s="36" t="str">
        <x:v>15000000000002828</x:v>
      </x:c>
      <x:c r="AJ108" s="38" t="str">
        <x:v>{"kw":70,"vin":"15000000000002828","brand":"VOLVO 13235 VF","fuel1":"1","fuel2":"0","fuel3":"0","plate":"TEST-2828","is_4wd":"0","gearbox":"M","fab_code":"VO","group_no":"000720","model_no":"000720","body_code":"01","model_year":1966,"eu_category":"M1","vehicle_type":"PB","vehicle_year":1966,"vehicle_class":"I","registration_date":"19660101"}</x:v>
      </x:c>
    </x:row>
    <x:row r="109" ht="18" customHeight="1">
      <x:c r="A109" s="36" t="n">
        <x:v>2829</x:v>
      </x:c>
      <x:c r="B109" s="36" t="str">
        <x:v>normalization-review-passenger-250-v1-rules-20260805T184409855703Z</x:v>
      </x:c>
      <x:c r="C109" s="36" t="n">
        <x:v>46239.78067008102</x:v>
      </x:c>
      <x:c r="D109" s="38" t="str">
        <x:v>"2026-08-05T18:44:09.895308+00:00"</x:v>
      </x:c>
      <x:c r="E109" s="36"/>
      <x:c r="F109" s="36" t="str">
        <x:v>AD</x:v>
      </x:c>
      <x:c r="G109" s="36"/>
      <x:c r="H109" s="36" t="str">
        <x:v>MERCEDES-BENZ</x:v>
      </x:c>
      <x:c r="I109" s="36"/>
      <x:c r="J109" s="36" t="str">
        <x:v>202007</x:v>
      </x:c>
      <x:c r="K109" s="36" t="n">
        <x:v>1497</x:v>
      </x:c>
      <x:c r="L109" s="36" t="str">
        <x:v>M1</x:v>
      </x:c>
      <x:c r="M109" s="36" t="str">
        <x:v>ELHYBRID</x:v>
      </x:c>
      <x:c r="N109" s="36" t="str">
        <x:v>MB</x:v>
      </x:c>
      <x:c r="O109" s="36" t="str">
        <x:v>1</x:v>
      </x:c>
      <x:c r="P109" s="36" t="str">
        <x:v>0</x:v>
      </x:c>
      <x:c r="Q109" s="36" t="str">
        <x:v>0</x:v>
      </x:c>
      <x:c r="R109" s="36"/>
      <x:c r="S109" s="36"/>
      <x:c r="T109" s="36" t="str">
        <x:v>523785</x:v>
      </x:c>
      <x:c r="U109" s="36" t="str">
        <x:v>1</x:v>
      </x:c>
      <x:c r="V109" s="36" t="n">
        <x:v>135</x:v>
      </x:c>
      <x:c r="W109" s="36" t="str">
        <x:v>MERCEDES-BENZ AG DE-70372 STUTTGART</x:v>
      </x:c>
      <x:c r="X109" s="36" t="str">
        <x:v>C 200 4MATIC</x:v>
      </x:c>
      <x:c r="Y109" s="36"/>
      <x:c r="Z109" s="36"/>
      <x:c r="AA109" s="36" t="str">
        <x:v>TEST-2829</x:v>
      </x:c>
      <x:c r="AB109" s="36" t="str">
        <x:v>20200902</x:v>
      </x:c>
      <x:c r="AC109" s="36" t="str">
        <x:v>204</x:v>
      </x:c>
      <x:c r="AD109" s="36" t="str">
        <x:v>R377T1</x:v>
      </x:c>
      <x:c r="AE109" s="36" t="str">
        <x:v>I</x:v>
      </x:c>
      <x:c r="AF109" s="36" t="str">
        <x:v>PB</x:v>
      </x:c>
      <x:c r="AG109" s="36" t="n">
        <x:v>2020</x:v>
      </x:c>
      <x:c r="AH109" s="36" t="str">
        <x:v>CLAA040A</x:v>
      </x:c>
      <x:c r="AI109" s="36" t="str">
        <x:v>W1K00000000002829</x:v>
      </x:c>
      <x:c r="AJ109" s="38" t="str">
        <x:v>{"kw":135,"ccm":1497,"vin":"W1K00000000002829","brand":"MERCEDES-BENZ","fuel1":"1","fuel2":"0","fuel3":"0","model":"C 200 4MATIC","plate":"TEST-2829","is_4wd":"1","variant":"R377T1","version":"CLAA040A","fab_code":"MB","group_no":"523785","body_code":"AD","ev_config":"ELHYBRID","type_text":"204","build_month":"202007","eu_category":"M1","manufacturer":"MERCEDES-BENZ AG DE-70372 STUTTGART","vehicle_type":"PB","vehicle_year":2020,"vehicle_class":"I","registration_date":"20200902"}</x:v>
      </x:c>
    </x:row>
    <x:row r="110" ht="18" customHeight="1">
      <x:c r="A110" s="36" t="n">
        <x:v>2830</x:v>
      </x:c>
      <x:c r="B110" s="36" t="str">
        <x:v>normalization-review-passenger-250-v1-rules-20260805T184409855703Z</x:v>
      </x:c>
      <x:c r="C110" s="36" t="n">
        <x:v>46239.78067008102</x:v>
      </x:c>
      <x:c r="D110" s="38" t="str">
        <x:v>"2026-08-05T18:44:09.895308+00:00"</x:v>
      </x:c>
      <x:c r="E110" s="36"/>
      <x:c r="F110" s="36" t="str">
        <x:v>AF</x:v>
      </x:c>
      <x:c r="G110" s="36"/>
      <x:c r="H110" s="36" t="str">
        <x:v>HYUNDAI</x:v>
      </x:c>
      <x:c r="I110" s="36" t="str">
        <x:v>20201126</x:v>
      </x:c>
      <x:c r="J110" s="36" t="str">
        <x:v>202011</x:v>
      </x:c>
      <x:c r="K110" s="36" t="n">
        <x:v>1580</x:v>
      </x:c>
      <x:c r="L110" s="36" t="str">
        <x:v>M1</x:v>
      </x:c>
      <x:c r="M110" s="36" t="str">
        <x:v>ELHYBRID</x:v>
      </x:c>
      <x:c r="N110" s="36" t="str">
        <x:v>HK</x:v>
      </x:c>
      <x:c r="O110" s="36" t="str">
        <x:v>1</x:v>
      </x:c>
      <x:c r="P110" s="36" t="str">
        <x:v>0</x:v>
      </x:c>
      <x:c r="Q110" s="36" t="str">
        <x:v>0</x:v>
      </x:c>
      <x:c r="R110" s="36"/>
      <x:c r="S110" s="36" t="str">
        <x:v>A</x:v>
      </x:c>
      <x:c r="T110" s="36" t="str">
        <x:v>410010</x:v>
      </x:c>
      <x:c r="U110" s="36" t="str">
        <x:v>0</x:v>
      </x:c>
      <x:c r="V110" s="36" t="n">
        <x:v>77</x:v>
      </x:c>
      <x:c r="W110" s="36" t="str">
        <x:v>HYUNDAI MOTOR COMPANY 12,HEOLLEUNG-RO,SEOCHO-GU,SEOUL,KOREA</x:v>
      </x:c>
      <x:c r="X110" s="36" t="str">
        <x:v>KONA</x:v>
      </x:c>
      <x:c r="Y110" s="36"/>
      <x:c r="Z110" s="36"/>
      <x:c r="AA110" s="36" t="str">
        <x:v>TEST-2830</x:v>
      </x:c>
      <x:c r="AB110" s="36" t="str">
        <x:v>20210422</x:v>
      </x:c>
      <x:c r="AC110" s="36" t="str">
        <x:v>OS</x:v>
      </x:c>
      <x:c r="AD110" s="36" t="str">
        <x:v>F5P31</x:v>
      </x:c>
      <x:c r="AE110" s="36" t="str">
        <x:v>I</x:v>
      </x:c>
      <x:c r="AF110" s="36" t="str">
        <x:v>PB</x:v>
      </x:c>
      <x:c r="AG110" s="36" t="n">
        <x:v>2020</x:v>
      </x:c>
      <x:c r="AH110" s="36" t="str">
        <x:v>D61CY1</x:v>
      </x:c>
      <x:c r="AI110" s="36" t="str">
        <x:v>KMH00000000002830</x:v>
      </x:c>
      <x:c r="AJ110" s="38" t="str">
        <x:v>{"kw":77,"ccm":1580,"vin":"KMH00000000002830","brand":"HYUNDAI","fuel1":"1","fuel2":"0","fuel3":"0","model":"KONA","plate":"TEST-2830","is_4wd":"0","gearbox":"A","variant":"F5P31","version":"D61CY1","fab_code":"HK","group_no":"410010","body_code":"AF","ev_config":"ELHYBRID","type_text":"OS","build_date":"20201126","build_month":"202011","eu_category":"M1","manufacturer":"HYUNDAI MOTOR COMPANY 12,HEOLLEUNG-RO,SEOCHO-GU,SEOUL,KOREA","vehicle_type":"PB","vehicle_year":2020,"vehicle_class":"I","registration_date":"20210422"}</x:v>
      </x:c>
    </x:row>
    <x:row r="111" ht="18" customHeight="1">
      <x:c r="A111" s="36" t="n">
        <x:v>2831</x:v>
      </x:c>
      <x:c r="B111" s="36" t="str">
        <x:v>normalization-review-passenger-250-v1-rules-20260805T184409855703Z</x:v>
      </x:c>
      <x:c r="C111" s="36" t="n">
        <x:v>46239.78067008102</x:v>
      </x:c>
      <x:c r="D111" s="38" t="str">
        <x:v>"2026-08-05T18:44:09.895308+00:00"</x:v>
      </x:c>
      <x:c r="E111" s="36"/>
      <x:c r="F111" s="36" t="str">
        <x:v>AC</x:v>
      </x:c>
      <x:c r="G111" s="36"/>
      <x:c r="H111" s="36" t="str">
        <x:v>VOLVO D + XC60</x:v>
      </x:c>
      <x:c r="I111" s="36"/>
      <x:c r="J111" s="36" t="str">
        <x:v>201309</x:v>
      </x:c>
      <x:c r="K111" s="36" t="n">
        <x:v>1984</x:v>
      </x:c>
      <x:c r="L111" s="36" t="str">
        <x:v>M1</x:v>
      </x:c>
      <x:c r="M111" s="36"/>
      <x:c r="N111" s="36" t="str">
        <x:v>VO</x:v>
      </x:c>
      <x:c r="O111" s="36" t="str">
        <x:v>2</x:v>
      </x:c>
      <x:c r="P111" s="36" t="str">
        <x:v>0</x:v>
      </x:c>
      <x:c r="Q111" s="36" t="str">
        <x:v>0</x:v>
      </x:c>
      <x:c r="R111" s="36"/>
      <x:c r="S111" s="36" t="str">
        <x:v>A</x:v>
      </x:c>
      <x:c r="T111" s="36" t="str">
        <x:v>014905</x:v>
      </x:c>
      <x:c r="U111" s="36" t="str">
        <x:v>0</x:v>
      </x:c>
      <x:c r="V111" s="36" t="n">
        <x:v>120</x:v>
      </x:c>
      <x:c r="W111" s="36"/>
      <x:c r="X111" s="36" t="str">
        <x:v>XC60</x:v>
      </x:c>
      <x:c r="Y111" s="36"/>
      <x:c r="Z111" s="36"/>
      <x:c r="AA111" s="36" t="str">
        <x:v>TEST-2831</x:v>
      </x:c>
      <x:c r="AB111" s="36" t="str">
        <x:v>20130927</x:v>
      </x:c>
      <x:c r="AC111" s="36" t="str">
        <x:v>D</x:v>
      </x:c>
      <x:c r="AD111" s="36" t="str">
        <x:v>DZ88</x:v>
      </x:c>
      <x:c r="AE111" s="36" t="str">
        <x:v>I</x:v>
      </x:c>
      <x:c r="AF111" s="36" t="str">
        <x:v>PB</x:v>
      </x:c>
      <x:c r="AG111" s="36" t="n">
        <x:v>2013</x:v>
      </x:c>
      <x:c r="AH111" s="36" t="str">
        <x:v>DZ8850??</x:v>
      </x:c>
      <x:c r="AI111" s="36" t="str">
        <x:v>YV100000000002831</x:v>
      </x:c>
      <x:c r="AJ111" s="38" t="str">
        <x:v>{"kw":120,"ccm":1984,"vin":"YV100000000002831","brand":"VOLVO D + XC60","fuel1":"2","fuel2":"0","fuel3":"0","model":"XC60","plate":"TEST-2831","is_4wd":"0","gearbox":"A","variant":"DZ88","version":"DZ8850??","fab_code":"VO","group_no":"014905","body_code":"AC","type_text":"D","build_month":"201309","eu_category":"M1","vehicle_type":"PB","vehicle_year":2013,"vehicle_class":"I","registration_date":"20130927"}</x:v>
      </x:c>
    </x:row>
    <x:row r="112" ht="18" customHeight="1">
      <x:c r="A112" s="36" t="n">
        <x:v>2832</x:v>
      </x:c>
      <x:c r="B112" s="36" t="str">
        <x:v>normalization-review-passenger-250-v1-rules-20260805T184409855703Z</x:v>
      </x:c>
      <x:c r="C112" s="36" t="n">
        <x:v>46239.78067008102</x:v>
      </x:c>
      <x:c r="D112" s="38" t="str">
        <x:v>"2026-08-05T18:44:09.895308+00:00"</x:v>
      </x:c>
      <x:c r="E112" s="36"/>
      <x:c r="F112" s="36" t="str">
        <x:v>AA</x:v>
      </x:c>
      <x:c r="G112" s="36"/>
      <x:c r="H112" s="36" t="str">
        <x:v>BMW 3-V</x:v>
      </x:c>
      <x:c r="I112" s="36"/>
      <x:c r="J112" s="36" t="str">
        <x:v>201312</x:v>
      </x:c>
      <x:c r="K112" s="36" t="n">
        <x:v>1995</x:v>
      </x:c>
      <x:c r="L112" s="36" t="str">
        <x:v>M1</x:v>
      </x:c>
      <x:c r="M112" s="36"/>
      <x:c r="N112" s="36" t="str">
        <x:v>BW</x:v>
      </x:c>
      <x:c r="O112" s="36" t="str">
        <x:v>2</x:v>
      </x:c>
      <x:c r="P112" s="36" t="str">
        <x:v>0</x:v>
      </x:c>
      <x:c r="Q112" s="36" t="str">
        <x:v>0</x:v>
      </x:c>
      <x:c r="R112" s="36"/>
      <x:c r="S112" s="36" t="str">
        <x:v>A</x:v>
      </x:c>
      <x:c r="T112" s="36" t="str">
        <x:v>232010</x:v>
      </x:c>
      <x:c r="U112" s="36" t="str">
        <x:v>0</x:v>
      </x:c>
      <x:c r="V112" s="36" t="n">
        <x:v>135</x:v>
      </x:c>
      <x:c r="W112" s="36"/>
      <x:c r="X112" s="36" t="str">
        <x:v>320D</x:v>
      </x:c>
      <x:c r="Y112" s="36"/>
      <x:c r="Z112" s="36"/>
      <x:c r="AA112" s="36" t="str">
        <x:v>TEST-2832</x:v>
      </x:c>
      <x:c r="AB112" s="36" t="str">
        <x:v>20140312</x:v>
      </x:c>
      <x:c r="AC112" s="36" t="str">
        <x:v>3-V</x:v>
      </x:c>
      <x:c r="AD112" s="36" t="str">
        <x:v>3Y31</x:v>
      </x:c>
      <x:c r="AE112" s="36" t="str">
        <x:v>I</x:v>
      </x:c>
      <x:c r="AF112" s="36" t="str">
        <x:v>PB</x:v>
      </x:c>
      <x:c r="AG112" s="36" t="n">
        <x:v>2013</x:v>
      </x:c>
      <x:c r="AH112" s="36" t="str">
        <x:v>6A250000</x:v>
      </x:c>
      <x:c r="AI112" s="36" t="str">
        <x:v>WBA00000000002832</x:v>
      </x:c>
      <x:c r="AJ112" s="38" t="str">
        <x:v>{"kw":135,"ccm":1995,"vin":"WBA00000000002832","brand":"BMW 3-V","fuel1":"2","fuel2":"0","fuel3":"0","model":"320D","plate":"TEST-2832","is_4wd":"0","gearbox":"A","variant":"3Y31","version":"6A250000","fab_code":"BW","group_no":"232010","body_code":"AA","type_text":"3-V","build_month":"201312","eu_category":"M1","vehicle_type":"PB","vehicle_year":2013,"vehicle_class":"I","registration_date":"20140312"}</x:v>
      </x:c>
    </x:row>
    <x:row r="113" ht="18" customHeight="1">
      <x:c r="A113" s="36" t="n">
        <x:v>2833</x:v>
      </x:c>
      <x:c r="B113" s="36" t="str">
        <x:v>normalization-review-passenger-250-v1-rules-20260805T184409855703Z</x:v>
      </x:c>
      <x:c r="C113" s="36" t="n">
        <x:v>46239.78067008102</x:v>
      </x:c>
      <x:c r="D113" s="38" t="str">
        <x:v>"2026-08-05T18:44:09.895308+00:00"</x:v>
      </x:c>
      <x:c r="E113" s="36"/>
      <x:c r="F113" s="36" t="str">
        <x:v>AA</x:v>
      </x:c>
      <x:c r="G113" s="36"/>
      <x:c r="H113" s="36" t="str">
        <x:v>AUDI</x:v>
      </x:c>
      <x:c r="I113" s="36" t="str">
        <x:v>20210507</x:v>
      </x:c>
      <x:c r="J113" s="36" t="str">
        <x:v>202105</x:v>
      </x:c>
      <x:c r="K113" s="36" t="n">
        <x:v>1984</x:v>
      </x:c>
      <x:c r="L113" s="36" t="str">
        <x:v>M1</x:v>
      </x:c>
      <x:c r="M113" s="36" t="str">
        <x:v>ELHYBRID</x:v>
      </x:c>
      <x:c r="N113" s="36" t="str">
        <x:v>AU</x:v>
      </x:c>
      <x:c r="O113" s="36" t="str">
        <x:v>1</x:v>
      </x:c>
      <x:c r="P113" s="36" t="str">
        <x:v>0</x:v>
      </x:c>
      <x:c r="Q113" s="36" t="str">
        <x:v>0</x:v>
      </x:c>
      <x:c r="R113" s="36"/>
      <x:c r="S113" s="36" t="str">
        <x:v>A</x:v>
      </x:c>
      <x:c r="T113" s="36" t="str">
        <x:v>416047</x:v>
      </x:c>
      <x:c r="U113" s="36" t="str">
        <x:v>1</x:v>
      </x:c>
      <x:c r="V113" s="36" t="n">
        <x:v>150</x:v>
      </x:c>
      <x:c r="W113" s="36" t="str">
        <x:v>AUDI AG</x:v>
      </x:c>
      <x:c r="X113" s="36" t="str">
        <x:v>A4 LIMOUSINE</x:v>
      </x:c>
      <x:c r="Y113" s="36"/>
      <x:c r="Z113" s="36"/>
      <x:c r="AA113" s="36" t="str">
        <x:v>TEST-2833</x:v>
      </x:c>
      <x:c r="AB113" s="36" t="str">
        <x:v>20210614</x:v>
      </x:c>
      <x:c r="AC113" s="36" t="str">
        <x:v>B8</x:v>
      </x:c>
      <x:c r="AD113" s="36" t="str">
        <x:v>L2DMSAQ1</x:v>
      </x:c>
      <x:c r="AE113" s="36" t="str">
        <x:v>I</x:v>
      </x:c>
      <x:c r="AF113" s="36" t="str">
        <x:v>PB</x:v>
      </x:c>
      <x:c r="AG113" s="36" t="n">
        <x:v>2021</x:v>
      </x:c>
      <x:c r="AH113" s="36" t="str">
        <x:v>QD7AD7CJ004RT011B18S54BIAEM1CB1</x:v>
      </x:c>
      <x:c r="AI113" s="36" t="str">
        <x:v>WAU00000000002833</x:v>
      </x:c>
      <x:c r="AJ113" s="38" t="str">
        <x:v>{"kw":150,"ccm":1984,"vin":"WAU00000000002833","brand":"AUDI","fuel1":"1","fuel2":"0","fuel3":"0","model":"A4 LIMOUSINE","plate":"TEST-2833","is_4wd":"1","gearbox":"A","variant":"L2DMSAQ1","version":"QD7AD7CJ004RT011B18S54BIAEM1CB1","fab_code":"AU","group_no":"416047","body_code":"AA","ev_config":"ELHYBRID","type_text":"B8","build_date":"20210507","build_month":"202105","eu_category":"M1","manufacturer":"AUDI AG","vehicle_type":"PB","vehicle_year":2021,"vehicle_class":"I","registration_date":"20210614"}</x:v>
      </x:c>
    </x:row>
    <x:row r="114" ht="18" customHeight="1">
      <x:c r="A114" s="36" t="n">
        <x:v>2834</x:v>
      </x:c>
      <x:c r="B114" s="36" t="str">
        <x:v>normalization-review-passenger-250-v1-rules-20260805T184409855703Z</x:v>
      </x:c>
      <x:c r="C114" s="36" t="n">
        <x:v>46239.78067008102</x:v>
      </x:c>
      <x:c r="D114" s="38" t="str">
        <x:v>"2026-08-05T18:44:09.895308+00:00"</x:v>
      </x:c>
      <x:c r="E114" s="36"/>
      <x:c r="F114" s="36" t="str">
        <x:v>AB</x:v>
      </x:c>
      <x:c r="G114" s="36"/>
      <x:c r="H114" s="36" t="str">
        <x:v>CHEVROLET KL1T</x:v>
      </x:c>
      <x:c r="I114" s="36"/>
      <x:c r="J114" s="36" t="str">
        <x:v>201202</x:v>
      </x:c>
      <x:c r="K114" s="36" t="n">
        <x:v>1248</x:v>
      </x:c>
      <x:c r="L114" s="36" t="str">
        <x:v>M1</x:v>
      </x:c>
      <x:c r="M114" s="36"/>
      <x:c r="N114" s="36" t="str">
        <x:v>CV</x:v>
      </x:c>
      <x:c r="O114" s="36" t="str">
        <x:v>2</x:v>
      </x:c>
      <x:c r="P114" s="36" t="str">
        <x:v>0</x:v>
      </x:c>
      <x:c r="Q114" s="36" t="str">
        <x:v>0</x:v>
      </x:c>
      <x:c r="R114" s="36"/>
      <x:c r="S114" s="36"/>
      <x:c r="T114" s="36" t="str">
        <x:v>110104</x:v>
      </x:c>
      <x:c r="U114" s="36" t="str">
        <x:v>0</x:v>
      </x:c>
      <x:c r="V114" s="36" t="n">
        <x:v>70</x:v>
      </x:c>
      <x:c r="W114" s="36"/>
      <x:c r="X114" s="36" t="str">
        <x:v>AVEO</x:v>
      </x:c>
      <x:c r="Y114" s="36"/>
      <x:c r="Z114" s="36"/>
      <x:c r="AA114" s="36" t="str">
        <x:v>TEST-2834</x:v>
      </x:c>
      <x:c r="AB114" s="36" t="str">
        <x:v>20120229</x:v>
      </x:c>
      <x:c r="AC114" s="36" t="str">
        <x:v>KL1T</x:v>
      </x:c>
      <x:c r="AD114" s="36" t="str">
        <x:v>KHFE1</x:v>
      </x:c>
      <x:c r="AE114" s="36" t="str">
        <x:v>I</x:v>
      </x:c>
      <x:c r="AF114" s="36" t="str">
        <x:v>PB</x:v>
      </x:c>
      <x:c r="AG114" s="36" t="n">
        <x:v>2012</x:v>
      </x:c>
      <x:c r="AH114" s="36" t="str">
        <x:v>RDG5</x:v>
      </x:c>
      <x:c r="AI114" s="36" t="str">
        <x:v>KL100000000002834</x:v>
      </x:c>
      <x:c r="AJ114" s="38" t="str">
        <x:v>{"kw":70,"ccm":1248,"vin":"KL100000000002834","brand":"CHEVROLET KL1T","fuel1":"2","fuel2":"0","fuel3":"0","model":"AVEO","plate":"TEST-2834","is_4wd":"0","variant":"KHFE1","version":"RDG5","fab_code":"CV","group_no":"110104","body_code":"AB","type_text":"KL1T","build_month":"201202","eu_category":"M1","vehicle_type":"PB","vehicle_year":2012,"vehicle_class":"I","registration_date":"20120229"}</x:v>
      </x:c>
    </x:row>
    <x:row r="115" ht="18" customHeight="1">
      <x:c r="A115" s="36" t="n">
        <x:v>2835</x:v>
      </x:c>
      <x:c r="B115" s="36" t="str">
        <x:v>normalization-review-passenger-250-v1-rules-20260805T184409855703Z</x:v>
      </x:c>
      <x:c r="C115" s="36" t="n">
        <x:v>46239.78067008102</x:v>
      </x:c>
      <x:c r="D115" s="38" t="str">
        <x:v>"2026-08-05T18:44:09.895308+00:00"</x:v>
      </x:c>
      <x:c r="E115" s="36"/>
      <x:c r="F115" s="36" t="str">
        <x:v>AC</x:v>
      </x:c>
      <x:c r="G115" s="36"/>
      <x:c r="H115" s="36" t="str">
        <x:v>VOLKSWAGEN, VW  AU</x:v>
      </x:c>
      <x:c r="I115" s="36"/>
      <x:c r="J115" s="36" t="str">
        <x:v>201409</x:v>
      </x:c>
      <x:c r="K115" s="36"/>
      <x:c r="L115" s="36" t="str">
        <x:v>M1</x:v>
      </x:c>
      <x:c r="M115" s="36"/>
      <x:c r="N115" s="36" t="str">
        <x:v>VW</x:v>
      </x:c>
      <x:c r="O115" s="36" t="str">
        <x:v>3</x:v>
      </x:c>
      <x:c r="P115" s="36" t="str">
        <x:v>0</x:v>
      </x:c>
      <x:c r="Q115" s="36" t="str">
        <x:v>0</x:v>
      </x:c>
      <x:c r="R115" s="36"/>
      <x:c r="S115" s="36" t="str">
        <x:v>A</x:v>
      </x:c>
      <x:c r="T115" s="36" t="str">
        <x:v>714185</x:v>
      </x:c>
      <x:c r="U115" s="36" t="str">
        <x:v>0</x:v>
      </x:c>
      <x:c r="V115" s="36" t="n">
        <x:v>85</x:v>
      </x:c>
      <x:c r="W115" s="36"/>
      <x:c r="X115" s="36" t="str">
        <x:v>GOLF</x:v>
      </x:c>
      <x:c r="Y115" s="36"/>
      <x:c r="Z115" s="36"/>
      <x:c r="AA115" s="36" t="str">
        <x:v>TEST-2835</x:v>
      </x:c>
      <x:c r="AB115" s="36" t="str">
        <x:v>20150924</x:v>
      </x:c>
      <x:c r="AC115" s="36" t="str">
        <x:v>AU</x:v>
      </x:c>
      <x:c r="AD115" s="36" t="str">
        <x:v>GAC4EAGAX0</x:v>
      </x:c>
      <x:c r="AE115" s="36" t="str">
        <x:v>I</x:v>
      </x:c>
      <x:c r="AF115" s="36" t="str">
        <x:v>PB</x:v>
      </x:c>
      <x:c r="AG115" s="36" t="n">
        <x:v>2014</x:v>
      </x:c>
      <x:c r="AH115" s="36" t="str">
        <x:v>FA1FA1CZ003E0GAON1ML01VR0</x:v>
      </x:c>
      <x:c r="AI115" s="36" t="str">
        <x:v>WVW00000000002835</x:v>
      </x:c>
      <x:c r="AJ115" s="38" t="str">
        <x:v>{"kw":85,"vin":"WVW00000000002835","brand":"VOLKSWAGEN, VW  AU","fuel1":"3","fuel2":"0","fuel3":"0","model":"GOLF","plate":"TEST-2835","is_4wd":"0","gearbox":"A","variant":"GAC4EAGAX0","version":"FA1FA1CZ003E0GAON1ML01VR0","fab_code":"VW","group_no":"714185","body_code":"AC","type_text":"AU","build_month":"201409","eu_category":"M1","vehicle_type":"PB","vehicle_year":2014,"vehicle_class":"I","registration_date":"20150924"}</x:v>
      </x:c>
    </x:row>
    <x:row r="116" ht="18" customHeight="1">
      <x:c r="A116" s="36" t="n">
        <x:v>2836</x:v>
      </x:c>
      <x:c r="B116" s="36" t="str">
        <x:v>normalization-review-passenger-250-v1-rules-20260805T184409855703Z</x:v>
      </x:c>
      <x:c r="C116" s="36" t="n">
        <x:v>46239.78067008102</x:v>
      </x:c>
      <x:c r="D116" s="38" t="str">
        <x:v>"2026-08-05T18:44:09.895308+00:00"</x:v>
      </x:c>
      <x:c r="E116" s="36"/>
      <x:c r="F116" s="36" t="str">
        <x:v>AB</x:v>
      </x:c>
      <x:c r="G116" s="36"/>
      <x:c r="H116" s="36" t="str">
        <x:v>VOLKSWAGEN, VW  AA</x:v>
      </x:c>
      <x:c r="I116" s="36"/>
      <x:c r="J116" s="36" t="str">
        <x:v>201201</x:v>
      </x:c>
      <x:c r="K116" s="36" t="n">
        <x:v>999</x:v>
      </x:c>
      <x:c r="L116" s="36" t="str">
        <x:v>M1</x:v>
      </x:c>
      <x:c r="M116" s="36"/>
      <x:c r="N116" s="36" t="str">
        <x:v>VW</x:v>
      </x:c>
      <x:c r="O116" s="36" t="str">
        <x:v>1</x:v>
      </x:c>
      <x:c r="P116" s="36" t="str">
        <x:v>0</x:v>
      </x:c>
      <x:c r="Q116" s="36" t="str">
        <x:v>0</x:v>
      </x:c>
      <x:c r="R116" s="36"/>
      <x:c r="S116" s="36" t="str">
        <x:v>M</x:v>
      </x:c>
      <x:c r="T116" s="36" t="str">
        <x:v>612003</x:v>
      </x:c>
      <x:c r="U116" s="36" t="str">
        <x:v>0</x:v>
      </x:c>
      <x:c r="V116" s="36" t="n">
        <x:v>55</x:v>
      </x:c>
      <x:c r="W116" s="36"/>
      <x:c r="X116" s="36" t="str">
        <x:v>UP!</x:v>
      </x:c>
      <x:c r="Y116" s="36"/>
      <x:c r="Z116" s="36"/>
      <x:c r="AA116" s="36" t="str">
        <x:v>TEST-2836</x:v>
      </x:c>
      <x:c r="AB116" s="36" t="str">
        <x:v>20120531</x:v>
      </x:c>
      <x:c r="AC116" s="36" t="str">
        <x:v>AA</x:v>
      </x:c>
      <x:c r="AD116" s="36" t="str">
        <x:v>ABCHYB</x:v>
      </x:c>
      <x:c r="AE116" s="36" t="str">
        <x:v>I</x:v>
      </x:c>
      <x:c r="AF116" s="36" t="str">
        <x:v>PB</x:v>
      </x:c>
      <x:c r="AG116" s="36" t="n">
        <x:v>2012</x:v>
      </x:c>
      <x:c r="AH116" s="36" t="str">
        <x:v>FM5FM5CF0047MGVR0N1FA1VW</x:v>
      </x:c>
      <x:c r="AI116" s="36" t="str">
        <x:v>WVW00000000002836</x:v>
      </x:c>
      <x:c r="AJ116" s="38" t="str">
        <x:v>{"kw":55,"ccm":999,"vin":"WVW00000000002836","brand":"VOLKSWAGEN, VW  AA","fuel1":"1","fuel2":"0","fuel3":"0","model":"UP!","plate":"TEST-2836","is_4wd":"0","gearbox":"M","variant":"ABCHYB","version":"FM5FM5CF0047MGVR0N1FA1VW","fab_code":"VW","group_no":"612003","body_code":"AB","type_text":"AA","build_month":"201201","eu_category":"M1","vehicle_type":"PB","vehicle_year":2012,"vehicle_class":"I","registration_date":"20120531"}</x:v>
      </x:c>
    </x:row>
    <x:row r="117" ht="18" customHeight="1">
      <x:c r="A117" s="36" t="n">
        <x:v>2837</x:v>
      </x:c>
      <x:c r="B117" s="36" t="str">
        <x:v>normalization-review-passenger-250-v1-rules-20260805T184409855703Z</x:v>
      </x:c>
      <x:c r="C117" s="36" t="n">
        <x:v>46239.78067008102</x:v>
      </x:c>
      <x:c r="D117" s="38" t="str">
        <x:v>"2026-08-05T18:44:09.895308+00:00"</x:v>
      </x:c>
      <x:c r="E117" s="36"/>
      <x:c r="F117" s="36" t="str">
        <x:v>AC</x:v>
      </x:c>
      <x:c r="G117" s="36"/>
      <x:c r="H117" s="36" t="str">
        <x:v>AUDI</x:v>
      </x:c>
      <x:c r="I117" s="36"/>
      <x:c r="J117" s="36" t="str">
        <x:v>202003</x:v>
      </x:c>
      <x:c r="K117" s="36" t="n">
        <x:v>1968</x:v>
      </x:c>
      <x:c r="L117" s="36" t="str">
        <x:v>M1</x:v>
      </x:c>
      <x:c r="M117" s="36" t="str">
        <x:v>ELHYBRID</x:v>
      </x:c>
      <x:c r="N117" s="36" t="str">
        <x:v>AU</x:v>
      </x:c>
      <x:c r="O117" s="36" t="str">
        <x:v>2</x:v>
      </x:c>
      <x:c r="P117" s="36" t="str">
        <x:v>0</x:v>
      </x:c>
      <x:c r="Q117" s="36" t="str">
        <x:v>0</x:v>
      </x:c>
      <x:c r="R117" s="36"/>
      <x:c r="S117" s="36" t="str">
        <x:v>A</x:v>
      </x:c>
      <x:c r="T117" s="36" t="str">
        <x:v>626003</x:v>
      </x:c>
      <x:c r="U117" s="36" t="str">
        <x:v>1</x:v>
      </x:c>
      <x:c r="V117" s="36" t="n">
        <x:v>150</x:v>
      </x:c>
      <x:c r="W117" s="36" t="str">
        <x:v>AUDI AG DE-85045 INGOLSTADT</x:v>
      </x:c>
      <x:c r="X117" s="36" t="str">
        <x:v>A6 AVANT</x:v>
      </x:c>
      <x:c r="Y117" s="36"/>
      <x:c r="Z117" s="36"/>
      <x:c r="AA117" s="36" t="str">
        <x:v>TEST-2837</x:v>
      </x:c>
      <x:c r="AB117" s="36" t="str">
        <x:v>20200429</x:v>
      </x:c>
      <x:c r="AC117" s="36" t="str">
        <x:v>F2</x:v>
      </x:c>
      <x:c r="AD117" s="36" t="str">
        <x:v>ADFBAQ1</x:v>
      </x:c>
      <x:c r="AE117" s="36" t="str">
        <x:v>I</x:v>
      </x:c>
      <x:c r="AF117" s="36" t="str">
        <x:v>PB</x:v>
      </x:c>
      <x:c r="AG117" s="36" t="n">
        <x:v>2020</x:v>
      </x:c>
      <x:c r="AH117" s="36" t="str">
        <x:v>QD7AD7CJ003RT031B19S54BFBEM1H560FS</x:v>
      </x:c>
      <x:c r="AI117" s="36" t="str">
        <x:v>WAU00000000002837</x:v>
      </x:c>
      <x:c r="AJ117" s="38" t="str">
        <x:v>{"kw":150,"ccm":1968,"vin":"WAU00000000002837","brand":"AUDI","fuel1":"2","fuel2":"0","fuel3":"0","model":"A6 AVANT","plate":"TEST-2837","is_4wd":"1","gearbox":"A","variant":"ADFBAQ1","version":"QD7AD7CJ003RT031B19S54BFBEM1H560FS","fab_code":"AU","group_no":"626003","body_code":"AC","ev_config":"ELHYBRID","type_text":"F2","build_month":"202003","eu_category":"M1","manufacturer":"AUDI AG DE-85045 INGOLSTADT","vehicle_type":"PB","vehicle_year":2020,"vehicle_class":"I","registration_date":"20200429"}</x:v>
      </x:c>
    </x:row>
    <x:row r="118" ht="18" customHeight="1">
      <x:c r="A118" s="36" t="n">
        <x:v>2838</x:v>
      </x:c>
      <x:c r="B118" s="36" t="str">
        <x:v>normalization-review-passenger-250-v1-rules-20260805T184409855703Z</x:v>
      </x:c>
      <x:c r="C118" s="36" t="n">
        <x:v>46239.78067008102</x:v>
      </x:c>
      <x:c r="D118" s="38" t="str">
        <x:v>"2026-08-05T18:44:09.895308+00:00"</x:v>
      </x:c>
      <x:c r="E118" s="36"/>
      <x:c r="F118" s="36" t="str">
        <x:v>AC</x:v>
      </x:c>
      <x:c r="G118" s="36"/>
      <x:c r="H118" s="36" t="str">
        <x:v>VOLKSWAGEN, VW  3C</x:v>
      </x:c>
      <x:c r="I118" s="36"/>
      <x:c r="J118" s="36" t="str">
        <x:v>201312</x:v>
      </x:c>
      <x:c r="K118" s="36" t="n">
        <x:v>1968</x:v>
      </x:c>
      <x:c r="L118" s="36" t="str">
        <x:v>M1</x:v>
      </x:c>
      <x:c r="M118" s="36"/>
      <x:c r="N118" s="36" t="str">
        <x:v>VW</x:v>
      </x:c>
      <x:c r="O118" s="36" t="str">
        <x:v>2</x:v>
      </x:c>
      <x:c r="P118" s="36" t="str">
        <x:v>0</x:v>
      </x:c>
      <x:c r="Q118" s="36" t="str">
        <x:v>0</x:v>
      </x:c>
      <x:c r="R118" s="36"/>
      <x:c r="S118" s="36" t="str">
        <x:v>A</x:v>
      </x:c>
      <x:c r="T118" s="36" t="str">
        <x:v>824019</x:v>
      </x:c>
      <x:c r="U118" s="36" t="str">
        <x:v>1</x:v>
      </x:c>
      <x:c r="V118" s="36" t="n">
        <x:v>130</x:v>
      </x:c>
      <x:c r="W118" s="36"/>
      <x:c r="X118" s="36" t="str">
        <x:v>PASSAT</x:v>
      </x:c>
      <x:c r="Y118" s="36"/>
      <x:c r="Z118" s="36"/>
      <x:c r="AA118" s="36" t="str">
        <x:v>TEST-2838</x:v>
      </x:c>
      <x:c r="AB118" s="36" t="str">
        <x:v>20140115</x:v>
      </x:c>
      <x:c r="AC118" s="36" t="str">
        <x:v>3C</x:v>
      </x:c>
      <x:c r="AD118" s="36" t="str">
        <x:v>ACCFGCX1</x:v>
      </x:c>
      <x:c r="AE118" s="36" t="str">
        <x:v>I</x:v>
      </x:c>
      <x:c r="AF118" s="36" t="str">
        <x:v>PB</x:v>
      </x:c>
      <x:c r="AG118" s="36" t="n">
        <x:v>2013</x:v>
      </x:c>
      <x:c r="AH118" s="36" t="str">
        <x:v>AD6AD62E086STP37MJCNVR2O</x:v>
      </x:c>
      <x:c r="AI118" s="36" t="str">
        <x:v>WVW00000000002838</x:v>
      </x:c>
      <x:c r="AJ118" s="38" t="str">
        <x:v>{"kw":130,"ccm":1968,"vin":"WVW00000000002838","brand":"VOLKSWAGEN, VW  3C","fuel1":"2","fuel2":"0","fuel3":"0","model":"PASSAT","plate":"TEST-2838","is_4wd":"1","gearbox":"A","variant":"ACCFGCX1","version":"AD6AD62E086STP37MJCNVR2O","fab_code":"VW","group_no":"824019","body_code":"AC","type_text":"3C","build_month":"201312","eu_category":"M1","vehicle_type":"PB","vehicle_year":2013,"vehicle_class":"I","registration_date":"20140115"}</x:v>
      </x:c>
    </x:row>
    <x:row r="119" ht="18" customHeight="1">
      <x:c r="A119" s="36" t="n">
        <x:v>2839</x:v>
      </x:c>
      <x:c r="B119" s="36" t="str">
        <x:v>normalization-review-passenger-250-v1-rules-20260805T184409855703Z</x:v>
      </x:c>
      <x:c r="C119" s="36" t="n">
        <x:v>46239.78067008102</x:v>
      </x:c>
      <x:c r="D119" s="38" t="str">
        <x:v>"2026-08-05T18:44:09.895308+00:00"</x:v>
      </x:c>
      <x:c r="E119" s="36"/>
      <x:c r="F119" s="36" t="str">
        <x:v>AD</x:v>
      </x:c>
      <x:c r="G119" s="36"/>
      <x:c r="H119" s="36" t="str">
        <x:v>VOLVO M + C30</x:v>
      </x:c>
      <x:c r="I119" s="36"/>
      <x:c r="J119" s="36" t="str">
        <x:v>200701</x:v>
      </x:c>
      <x:c r="K119" s="36" t="n">
        <x:v>1798</x:v>
      </x:c>
      <x:c r="L119" s="36" t="str">
        <x:v>M1</x:v>
      </x:c>
      <x:c r="M119" s="36"/>
      <x:c r="N119" s="36" t="str">
        <x:v>VO</x:v>
      </x:c>
      <x:c r="O119" s="36" t="str">
        <x:v>1</x:v>
      </x:c>
      <x:c r="P119" s="36" t="str">
        <x:v>7</x:v>
      </x:c>
      <x:c r="Q119" s="36" t="str">
        <x:v>0</x:v>
      </x:c>
      <x:c r="R119" s="36"/>
      <x:c r="S119" s="36" t="str">
        <x:v>M</x:v>
      </x:c>
      <x:c r="T119" s="36" t="str">
        <x:v>780011</x:v>
      </x:c>
      <x:c r="U119" s="36" t="str">
        <x:v>0</x:v>
      </x:c>
      <x:c r="V119" s="36" t="n">
        <x:v>92</x:v>
      </x:c>
      <x:c r="W119" s="36"/>
      <x:c r="X119" s="36"/>
      <x:c r="Y119" s="36"/>
      <x:c r="Z119" s="36"/>
      <x:c r="AA119" s="36" t="str">
        <x:v>TEST-2839</x:v>
      </x:c>
      <x:c r="AB119" s="36" t="str">
        <x:v>20070117</x:v>
      </x:c>
      <x:c r="AC119" s="36" t="str">
        <x:v>M</x:v>
      </x:c>
      <x:c r="AD119" s="36" t="str">
        <x:v>MK08</x:v>
      </x:c>
      <x:c r="AE119" s="36" t="str">
        <x:v>I</x:v>
      </x:c>
      <x:c r="AF119" s="36" t="str">
        <x:v>PB</x:v>
      </x:c>
      <x:c r="AG119" s="36" t="n">
        <x:v>2007</x:v>
      </x:c>
      <x:c r="AH119" s="36" t="str">
        <x:v>MK0842??</x:v>
      </x:c>
      <x:c r="AI119" s="36" t="str">
        <x:v>YV100000000002839</x:v>
      </x:c>
      <x:c r="AJ119" s="38" t="str">
        <x:v>{"kw":92,"ccm":1798,"vin":"YV100000000002839","brand":"VOLVO M + C30","fuel1":"1","fuel2":"7","fuel3":"0","plate":"TEST-2839","is_4wd":"0","gearbox":"M","variant":"MK08","version":"MK0842??","fab_code":"VO","group_no":"780011","body_code":"AD","type_text":"M","build_month":"200701","eu_category":"M1","vehicle_type":"PB","vehicle_year":2007,"vehicle_class":"I","registration_date":"20070117"}</x:v>
      </x:c>
    </x:row>
    <x:row r="120" ht="18" customHeight="1">
      <x:c r="A120" s="36" t="n">
        <x:v>2840</x:v>
      </x:c>
      <x:c r="B120" s="36" t="str">
        <x:v>normalization-review-passenger-250-v1-rules-20260805T184409855703Z</x:v>
      </x:c>
      <x:c r="C120" s="36" t="n">
        <x:v>46239.78067008102</x:v>
      </x:c>
      <x:c r="D120" s="38" t="str">
        <x:v>"2026-08-05T18:44:09.895308+00:00"</x:v>
      </x:c>
      <x:c r="E120" s="36"/>
      <x:c r="F120" s="36" t="str">
        <x:v>01</x:v>
      </x:c>
      <x:c r="G120" s="36"/>
      <x:c r="H120" s="36" t="str">
        <x:v>FORD ESCORT 1300 L</x:v>
      </x:c>
      <x:c r="I120" s="36"/>
      <x:c r="J120" s="36"/>
      <x:c r="K120" s="36"/>
      <x:c r="L120" s="36" t="str">
        <x:v>M1</x:v>
      </x:c>
      <x:c r="M120" s="36"/>
      <x:c r="N120" s="36" t="str">
        <x:v>FO</x:v>
      </x:c>
      <x:c r="O120" s="36" t="str">
        <x:v>1</x:v>
      </x:c>
      <x:c r="P120" s="36" t="str">
        <x:v>0</x:v>
      </x:c>
      <x:c r="Q120" s="36" t="str">
        <x:v>0</x:v>
      </x:c>
      <x:c r="R120" s="36"/>
      <x:c r="S120" s="36" t="str">
        <x:v>M</x:v>
      </x:c>
      <x:c r="T120" s="36" t="str">
        <x:v>002931</x:v>
      </x:c>
      <x:c r="U120" s="36" t="str">
        <x:v>0</x:v>
      </x:c>
      <x:c r="V120" s="36" t="n">
        <x:v>42</x:v>
      </x:c>
      <x:c r="W120" s="36"/>
      <x:c r="X120" s="36"/>
      <x:c r="Y120" s="36" t="str">
        <x:v>002931</x:v>
      </x:c>
      <x:c r="Z120" s="36" t="n">
        <x:v>1975</x:v>
      </x:c>
      <x:c r="AA120" s="36" t="str">
        <x:v>TEST-2840</x:v>
      </x:c>
      <x:c r="AB120" s="36" t="str">
        <x:v>19751013</x:v>
      </x:c>
      <x:c r="AC120" s="36"/>
      <x:c r="AD120" s="36"/>
      <x:c r="AE120" s="36" t="str">
        <x:v>I</x:v>
      </x:c>
      <x:c r="AF120" s="36" t="str">
        <x:v>PB</x:v>
      </x:c>
      <x:c r="AG120" s="36" t="n">
        <x:v>1975</x:v>
      </x:c>
      <x:c r="AH120" s="36"/>
      <x:c r="AI120" s="36" t="str">
        <x:v>GCA00000000002840</x:v>
      </x:c>
      <x:c r="AJ120" s="38" t="str">
        <x:v>{"kw":42,"vin":"GCA00000000002840","brand":"FORD ESCORT 1300 L","fuel1":"1","fuel2":"0","fuel3":"0","plate":"TEST-2840","is_4wd":"0","gearbox":"M","fab_code":"FO","group_no":"002931","model_no":"002931","body_code":"01","model_year":1975,"eu_category":"M1","vehicle_type":"PB","vehicle_year":1975,"vehicle_class":"I","registration_date":"19751013"}</x:v>
      </x:c>
    </x:row>
    <x:row r="121" ht="18" customHeight="1">
      <x:c r="A121" s="36" t="n">
        <x:v>2841</x:v>
      </x:c>
      <x:c r="B121" s="36" t="str">
        <x:v>normalization-review-passenger-250-v1-rules-20260805T184409855703Z</x:v>
      </x:c>
      <x:c r="C121" s="36" t="n">
        <x:v>46239.78067008102</x:v>
      </x:c>
      <x:c r="D121" s="38" t="str">
        <x:v>"2026-08-05T18:44:09.895308+00:00"</x:v>
      </x:c>
      <x:c r="E121" s="36"/>
      <x:c r="F121" s="36" t="str">
        <x:v>01</x:v>
      </x:c>
      <x:c r="G121" s="36"/>
      <x:c r="H121" s="36" t="str">
        <x:v>SAAB 900 I8 AB25J</x:v>
      </x:c>
      <x:c r="I121" s="36"/>
      <x:c r="J121" s="36"/>
      <x:c r="K121" s="36"/>
      <x:c r="L121" s="36" t="str">
        <x:v>M1</x:v>
      </x:c>
      <x:c r="M121" s="36"/>
      <x:c r="N121" s="36" t="str">
        <x:v>SA</x:v>
      </x:c>
      <x:c r="O121" s="36" t="str">
        <x:v>1</x:v>
      </x:c>
      <x:c r="P121" s="36" t="str">
        <x:v>0</x:v>
      </x:c>
      <x:c r="Q121" s="36" t="str">
        <x:v>0</x:v>
      </x:c>
      <x:c r="R121" s="36"/>
      <x:c r="S121" s="36" t="str">
        <x:v>M</x:v>
      </x:c>
      <x:c r="T121" s="36" t="str">
        <x:v>004048</x:v>
      </x:c>
      <x:c r="U121" s="36" t="str">
        <x:v>0</x:v>
      </x:c>
      <x:c r="V121" s="36" t="n">
        <x:v>81</x:v>
      </x:c>
      <x:c r="W121" s="36"/>
      <x:c r="X121" s="36"/>
      <x:c r="Y121" s="36" t="str">
        <x:v>004048</x:v>
      </x:c>
      <x:c r="Z121" s="36" t="n">
        <x:v>1989</x:v>
      </x:c>
      <x:c r="AA121" s="36" t="str">
        <x:v>TEST-2841</x:v>
      </x:c>
      <x:c r="AB121" s="36" t="str">
        <x:v>19890228</x:v>
      </x:c>
      <x:c r="AC121" s="36"/>
      <x:c r="AD121" s="36"/>
      <x:c r="AE121" s="36" t="str">
        <x:v>I</x:v>
      </x:c>
      <x:c r="AF121" s="36" t="str">
        <x:v>PB</x:v>
      </x:c>
      <x:c r="AG121" s="36" t="n">
        <x:v>1989</x:v>
      </x:c>
      <x:c r="AH121" s="36"/>
      <x:c r="AI121" s="36" t="str">
        <x:v>AA200000000002841</x:v>
      </x:c>
      <x:c r="AJ121" s="38" t="str">
        <x:v>{"kw":81,"vin":"AA200000000002841","brand":"SAAB 900 I8 AB25J","fuel1":"1","fuel2":"0","fuel3":"0","plate":"TEST-2841","is_4wd":"0","gearbox":"M","fab_code":"SA","group_no":"004048","model_no":"004048","body_code":"01","model_year":1989,"eu_category":"M1","vehicle_type":"PB","vehicle_year":1989,"vehicle_class":"I","registration_date":"19890228"}</x:v>
      </x:c>
    </x:row>
    <x:row r="122" ht="18" customHeight="1">
      <x:c r="A122" s="36" t="n">
        <x:v>2842</x:v>
      </x:c>
      <x:c r="B122" s="36" t="str">
        <x:v>normalization-review-passenger-250-v1-rules-20260805T184409855703Z</x:v>
      </x:c>
      <x:c r="C122" s="36" t="n">
        <x:v>46239.78067008102</x:v>
      </x:c>
      <x:c r="D122" s="38" t="str">
        <x:v>"2026-08-05T18:44:09.895308+00:00"</x:v>
      </x:c>
      <x:c r="E122" s="36"/>
      <x:c r="F122" s="36" t="str">
        <x:v>03</x:v>
      </x:c>
      <x:c r="G122" s="36"/>
      <x:c r="H122" s="36" t="str">
        <x:v>SAAB 9000 CSE 2.3 TURBO</x:v>
      </x:c>
      <x:c r="I122" s="36"/>
      <x:c r="J122" s="36"/>
      <x:c r="K122" s="36"/>
      <x:c r="L122" s="36" t="str">
        <x:v>M1</x:v>
      </x:c>
      <x:c r="M122" s="36"/>
      <x:c r="N122" s="36" t="str">
        <x:v>SA</x:v>
      </x:c>
      <x:c r="O122" s="36" t="str">
        <x:v>1</x:v>
      </x:c>
      <x:c r="P122" s="36" t="str">
        <x:v>0</x:v>
      </x:c>
      <x:c r="Q122" s="36" t="str">
        <x:v>0</x:v>
      </x:c>
      <x:c r="R122" s="36"/>
      <x:c r="S122" s="36" t="str">
        <x:v>M</x:v>
      </x:c>
      <x:c r="T122" s="36" t="str">
        <x:v>020702</x:v>
      </x:c>
      <x:c r="U122" s="36" t="str">
        <x:v>0</x:v>
      </x:c>
      <x:c r="V122" s="36" t="n">
        <x:v>165</x:v>
      </x:c>
      <x:c r="W122" s="36"/>
      <x:c r="X122" s="36"/>
      <x:c r="Y122" s="36"/>
      <x:c r="Z122" s="36" t="n">
        <x:v>1998</x:v>
      </x:c>
      <x:c r="AA122" s="36" t="str">
        <x:v>TEST-2842</x:v>
      </x:c>
      <x:c r="AB122" s="36" t="str">
        <x:v>19980427</x:v>
      </x:c>
      <x:c r="AC122" s="36"/>
      <x:c r="AD122" s="36" t="str">
        <x:v>21(CHPHXX)</x:v>
      </x:c>
      <x:c r="AE122" s="36" t="str">
        <x:v>I</x:v>
      </x:c>
      <x:c r="AF122" s="36" t="str">
        <x:v>PB</x:v>
      </x:c>
      <x:c r="AG122" s="36" t="n">
        <x:v>1998</x:v>
      </x:c>
      <x:c r="AH122" s="36" t="str">
        <x:v>01(M3)</x:v>
      </x:c>
      <x:c r="AI122" s="36" t="str">
        <x:v>CE600000000002842</x:v>
      </x:c>
      <x:c r="AJ122" s="38" t="str">
        <x:v>{"kw":165,"vin":"CE600000000002842","brand":"SAAB 9000 CSE 2.3 TURBO","fuel1":"1","fuel2":"0","fuel3":"0","plate":"TEST-2842","is_4wd":"0","gearbox":"M","variant":"21(CHPHXX)","version":"01(M3)","fab_code":"SA","group_no":"020702","body_code":"03","model_year":1998,"eu_category":"M1","vehicle_type":"PB","vehicle_year":1998,"vehicle_class":"I","registration_date":"19980427"}</x:v>
      </x:c>
    </x:row>
    <x:row r="123" ht="18" customHeight="1">
      <x:c r="A123" s="36" t="n">
        <x:v>2843</x:v>
      </x:c>
      <x:c r="B123" s="36" t="str">
        <x:v>normalization-review-passenger-250-v1-rules-20260805T184409855703Z</x:v>
      </x:c>
      <x:c r="C123" s="36" t="n">
        <x:v>46239.78067008102</x:v>
      </x:c>
      <x:c r="D123" s="38" t="str">
        <x:v>"2026-08-05T18:44:09.895308+00:00"</x:v>
      </x:c>
      <x:c r="E123" s="36"/>
      <x:c r="F123" s="36" t="str">
        <x:v>03</x:v>
      </x:c>
      <x:c r="G123" s="36"/>
      <x:c r="H123" s="36" t="str">
        <x:v>SAAB 9-3 S 5D 2.0I</x:v>
      </x:c>
      <x:c r="I123" s="36"/>
      <x:c r="J123" s="36" t="str">
        <x:v>199902</x:v>
      </x:c>
      <x:c r="K123" s="36"/>
      <x:c r="L123" s="36" t="str">
        <x:v>M1</x:v>
      </x:c>
      <x:c r="M123" s="36"/>
      <x:c r="N123" s="36" t="str">
        <x:v>SA</x:v>
      </x:c>
      <x:c r="O123" s="36" t="str">
        <x:v>1</x:v>
      </x:c>
      <x:c r="P123" s="36" t="str">
        <x:v>0</x:v>
      </x:c>
      <x:c r="Q123" s="36" t="str">
        <x:v>0</x:v>
      </x:c>
      <x:c r="R123" s="36"/>
      <x:c r="S123" s="36" t="str">
        <x:v>M</x:v>
      </x:c>
      <x:c r="T123" s="36" t="str">
        <x:v>040901</x:v>
      </x:c>
      <x:c r="U123" s="36" t="str">
        <x:v>0</x:v>
      </x:c>
      <x:c r="V123" s="36" t="n">
        <x:v>96</x:v>
      </x:c>
      <x:c r="W123" s="36"/>
      <x:c r="X123" s="36"/>
      <x:c r="Y123" s="36"/>
      <x:c r="Z123" s="36"/>
      <x:c r="AA123" s="36" t="str">
        <x:v>TEST-2843</x:v>
      </x:c>
      <x:c r="AB123" s="36" t="str">
        <x:v>19990308</x:v>
      </x:c>
      <x:c r="AC123" s="36"/>
      <x:c r="AD123" s="36" t="str">
        <x:v>5J</x:v>
      </x:c>
      <x:c r="AE123" s="36" t="str">
        <x:v>I</x:v>
      </x:c>
      <x:c r="AF123" s="36" t="str">
        <x:v>PB</x:v>
      </x:c>
      <x:c r="AG123" s="36" t="n">
        <x:v>1999</x:v>
      </x:c>
      <x:c r="AH123" s="36" t="str">
        <x:v>M05</x:v>
      </x:c>
      <x:c r="AI123" s="36" t="str">
        <x:v>DC500000000002843</x:v>
      </x:c>
      <x:c r="AJ123" s="38" t="str">
        <x:v>{"kw":96,"vin":"DC500000000002843","brand":"SAAB 9-3 S 5D 2.0I","fuel1":"1","fuel2":"0","fuel3":"0","plate":"TEST-2843","is_4wd":"0","gearbox":"M","variant":"5J","version":"M05","fab_code":"SA","group_no":"040901","body_code":"03","build_month":"199902","eu_category":"M1","vehicle_type":"PB","vehicle_year":1999,"vehicle_class":"I","registration_date":"19990308"}</x:v>
      </x:c>
    </x:row>
    <x:row r="124" ht="18" customHeight="1">
      <x:c r="A124" s="36" t="n">
        <x:v>2844</x:v>
      </x:c>
      <x:c r="B124" s="36" t="str">
        <x:v>normalization-review-passenger-250-v1-rules-20260805T184409855703Z</x:v>
      </x:c>
      <x:c r="C124" s="36" t="n">
        <x:v>46239.78067008102</x:v>
      </x:c>
      <x:c r="D124" s="38" t="str">
        <x:v>"2026-08-05T18:44:09.895308+00:00"</x:v>
      </x:c>
      <x:c r="E124" s="36"/>
      <x:c r="F124" s="36" t="str">
        <x:v>01</x:v>
      </x:c>
      <x:c r="G124" s="36"/>
      <x:c r="H124" s="36" t="str">
        <x:v>SAAB 96 V4 LHD</x:v>
      </x:c>
      <x:c r="I124" s="36"/>
      <x:c r="J124" s="36"/>
      <x:c r="K124" s="36"/>
      <x:c r="L124" s="36" t="str">
        <x:v>M1</x:v>
      </x:c>
      <x:c r="M124" s="36"/>
      <x:c r="N124" s="36" t="str">
        <x:v>SA</x:v>
      </x:c>
      <x:c r="O124" s="36" t="str">
        <x:v>1</x:v>
      </x:c>
      <x:c r="P124" s="36" t="str">
        <x:v>0</x:v>
      </x:c>
      <x:c r="Q124" s="36" t="str">
        <x:v>0</x:v>
      </x:c>
      <x:c r="R124" s="36"/>
      <x:c r="S124" s="36" t="str">
        <x:v>M</x:v>
      </x:c>
      <x:c r="T124" s="36" t="str">
        <x:v>000427</x:v>
      </x:c>
      <x:c r="U124" s="36" t="str">
        <x:v>0</x:v>
      </x:c>
      <x:c r="V124" s="36" t="n">
        <x:v>48</x:v>
      </x:c>
      <x:c r="W124" s="36"/>
      <x:c r="X124" s="36"/>
      <x:c r="Y124" s="36" t="str">
        <x:v>000427</x:v>
      </x:c>
      <x:c r="Z124" s="36" t="n">
        <x:v>1974</x:v>
      </x:c>
      <x:c r="AA124" s="36" t="str">
        <x:v>TEST-2844</x:v>
      </x:c>
      <x:c r="AB124" s="36" t="str">
        <x:v>19730903</x:v>
      </x:c>
      <x:c r="AC124" s="36"/>
      <x:c r="AD124" s="36"/>
      <x:c r="AE124" s="36" t="str">
        <x:v>I</x:v>
      </x:c>
      <x:c r="AF124" s="36" t="str">
        <x:v>PB</x:v>
      </x:c>
      <x:c r="AG124" s="36" t="n">
        <x:v>1974</x:v>
      </x:c>
      <x:c r="AH124" s="36"/>
      <x:c r="AI124" s="36" t="str">
        <x:v>96700000000002844</x:v>
      </x:c>
      <x:c r="AJ124" s="38" t="str">
        <x:v>{"kw":48,"vin":"96700000000002844","brand":"SAAB 96 V4 LHD","fuel1":"1","fuel2":"0","fuel3":"0","plate":"TEST-2844","is_4wd":"0","gearbox":"M","fab_code":"SA","group_no":"000427","model_no":"000427","body_code":"01","model_year":1974,"eu_category":"M1","vehicle_type":"PB","vehicle_year":1974,"vehicle_class":"I","registration_date":"19730903"}</x:v>
      </x:c>
    </x:row>
    <x:row r="125" ht="18" customHeight="1">
      <x:c r="A125" s="36" t="n">
        <x:v>2845</x:v>
      </x:c>
      <x:c r="B125" s="36" t="str">
        <x:v>normalization-review-passenger-250-v1-rules-20260805T184409855703Z</x:v>
      </x:c>
      <x:c r="C125" s="36" t="n">
        <x:v>46239.78067008102</x:v>
      </x:c>
      <x:c r="D125" s="38" t="str">
        <x:v>"2026-08-05T18:44:09.895308+00:00"</x:v>
      </x:c>
      <x:c r="E125" s="36"/>
      <x:c r="F125" s="36" t="str">
        <x:v>AF</x:v>
      </x:c>
      <x:c r="G125" s="36"/>
      <x:c r="H125" s="36" t="str">
        <x:v>TOYOTA XP9F(A)</x:v>
      </x:c>
      <x:c r="I125" s="36"/>
      <x:c r="J125" s="36" t="str">
        <x:v>201007</x:v>
      </x:c>
      <x:c r="K125" s="36" t="n">
        <x:v>1329</x:v>
      </x:c>
      <x:c r="L125" s="36" t="str">
        <x:v>M1</x:v>
      </x:c>
      <x:c r="M125" s="36"/>
      <x:c r="N125" s="36" t="str">
        <x:v>TO</x:v>
      </x:c>
      <x:c r="O125" s="36" t="str">
        <x:v>1</x:v>
      </x:c>
      <x:c r="P125" s="36" t="str">
        <x:v>0</x:v>
      </x:c>
      <x:c r="Q125" s="36" t="str">
        <x:v>0</x:v>
      </x:c>
      <x:c r="R125" s="36"/>
      <x:c r="S125" s="36" t="str">
        <x:v>M</x:v>
      </x:c>
      <x:c r="T125" s="36" t="str">
        <x:v>020564</x:v>
      </x:c>
      <x:c r="U125" s="36" t="str">
        <x:v>0</x:v>
      </x:c>
      <x:c r="V125" s="36" t="n">
        <x:v>73</x:v>
      </x:c>
      <x:c r="W125" s="36"/>
      <x:c r="X125" s="36" t="str">
        <x:v>TOYOTA YARIS</x:v>
      </x:c>
      <x:c r="Y125" s="36"/>
      <x:c r="Z125" s="36"/>
      <x:c r="AA125" s="36" t="str">
        <x:v>TEST-2845</x:v>
      </x:c>
      <x:c r="AB125" s="36" t="str">
        <x:v>20101104</x:v>
      </x:c>
      <x:c r="AC125" s="36" t="str">
        <x:v>XP9F(a)</x:v>
      </x:c>
      <x:c r="AD125" s="36" t="str">
        <x:v>NSP90(H)</x:v>
      </x:c>
      <x:c r="AE125" s="36" t="str">
        <x:v>I</x:v>
      </x:c>
      <x:c r="AF125" s="36" t="str">
        <x:v>PB</x:v>
      </x:c>
      <x:c r="AG125" s="36" t="n">
        <x:v>2010</x:v>
      </x:c>
      <x:c r="AH125" s="36" t="str">
        <x:v>NSP90L-CHFGKW(2F)</x:v>
      </x:c>
      <x:c r="AI125" s="36" t="str">
        <x:v>VNK00000000002845</x:v>
      </x:c>
      <x:c r="AJ125" s="38" t="str">
        <x:v>{"kw":73,"ccm":1329,"vin":"VNK00000000002845","brand":"TOYOTA XP9F(A)","fuel1":"1","fuel2":"0","fuel3":"0","model":"TOYOTA YARIS","plate":"TEST-2845","is_4wd":"0","gearbox":"M","variant":"NSP90(H)","version":"NSP90L-CHFGKW(2F)","fab_code":"TO","group_no":"020564","body_code":"AF","type_text":"XP9F(a)","build_month":"201007","eu_category":"M1","vehicle_type":"PB","vehicle_year":2010,"vehicle_class":"I","registration_date":"20101104"}</x:v>
      </x:c>
    </x:row>
    <x:row r="126" ht="18" customHeight="1">
      <x:c r="A126" s="36" t="n">
        <x:v>2846</x:v>
      </x:c>
      <x:c r="B126" s="36" t="str">
        <x:v>normalization-review-passenger-250-v1-rules-20260805T184409855703Z</x:v>
      </x:c>
      <x:c r="C126" s="36" t="n">
        <x:v>46239.78067008102</x:v>
      </x:c>
      <x:c r="D126" s="38" t="str">
        <x:v>"2026-08-05T18:44:09.895308+00:00"</x:v>
      </x:c>
      <x:c r="E126" s="36"/>
      <x:c r="F126" s="36" t="str">
        <x:v>AB</x:v>
      </x:c>
      <x:c r="G126" s="36"/>
      <x:c r="H126" s="36" t="str">
        <x:v>AUDI</x:v>
      </x:c>
      <x:c r="I126" s="36" t="str">
        <x:v>20230518</x:v>
      </x:c>
      <x:c r="J126" s="36" t="str">
        <x:v>202305</x:v>
      </x:c>
      <x:c r="K126" s="36" t="n">
        <x:v>1498</x:v>
      </x:c>
      <x:c r="L126" s="36" t="str">
        <x:v>M1</x:v>
      </x:c>
      <x:c r="M126" s="36"/>
      <x:c r="N126" s="36" t="str">
        <x:v>AU</x:v>
      </x:c>
      <x:c r="O126" s="36" t="str">
        <x:v>1</x:v>
      </x:c>
      <x:c r="P126" s="36" t="str">
        <x:v>0</x:v>
      </x:c>
      <x:c r="Q126" s="36" t="str">
        <x:v>0</x:v>
      </x:c>
      <x:c r="R126" s="36"/>
      <x:c r="S126" s="36" t="str">
        <x:v>A</x:v>
      </x:c>
      <x:c r="T126" s="36" t="str">
        <x:v>387015</x:v>
      </x:c>
      <x:c r="U126" s="36" t="str">
        <x:v>0</x:v>
      </x:c>
      <x:c r="V126" s="36" t="n">
        <x:v>110</x:v>
      </x:c>
      <x:c r="W126" s="36" t="str">
        <x:v>AUDI AG</x:v>
      </x:c>
      <x:c r="X126" s="36" t="str">
        <x:v>Q3 SPORTBACK</x:v>
      </x:c>
      <x:c r="Y126" s="36"/>
      <x:c r="Z126" s="36"/>
      <x:c r="AA126" s="36" t="str">
        <x:v>TEST-2846</x:v>
      </x:c>
      <x:c r="AB126" s="36" t="str">
        <x:v>20230629</x:v>
      </x:c>
      <x:c r="AC126" s="36" t="str">
        <x:v>F3</x:v>
      </x:c>
      <x:c r="AD126" s="36" t="str">
        <x:v>SDXDBF1</x:v>
      </x:c>
      <x:c r="AE126" s="36" t="str">
        <x:v>I</x:v>
      </x:c>
      <x:c r="AF126" s="36" t="str">
        <x:v>PB</x:v>
      </x:c>
      <x:c r="AG126" s="36" t="n">
        <x:v>2023</x:v>
      </x:c>
      <x:c r="AH126" s="36" t="str">
        <x:v>FD7FD7GC008RT51C194BIAHA3EM1BB0</x:v>
      </x:c>
      <x:c r="AI126" s="36" t="str">
        <x:v>WAU00000000002846</x:v>
      </x:c>
      <x:c r="AJ126" s="38" t="str">
        <x:v>{"kw":110,"ccm":1498,"vin":"WAU00000000002846","brand":"AUDI","fuel1":"1","fuel2":"0","fuel3":"0","model":"Q3 SPORTBACK","plate":"TEST-2846","is_4wd":"0","gearbox":"A","variant":"SDXDBF1","version":"FD7FD7GC008RT51C194BIAHA3EM1BB0","fab_code":"AU","group_no":"387015","body_code":"AB","type_text":"F3","build_date":"20230518","build_month":"202305","eu_category":"M1","manufacturer":"AUDI AG","vehicle_type":"PB","vehicle_year":2023,"vehicle_class":"I","registration_date":"20230629"}</x:v>
      </x:c>
    </x:row>
    <x:row r="127" ht="18" customHeight="1">
      <x:c r="A127" s="36" t="n">
        <x:v>2847</x:v>
      </x:c>
      <x:c r="B127" s="36" t="str">
        <x:v>normalization-review-passenger-250-v1-rules-20260805T184409855703Z</x:v>
      </x:c>
      <x:c r="C127" s="36" t="n">
        <x:v>46239.78067008102</x:v>
      </x:c>
      <x:c r="D127" s="38" t="str">
        <x:v>"2026-08-05T18:44:09.895308+00:00"</x:v>
      </x:c>
      <x:c r="E127" s="36"/>
      <x:c r="F127" s="36" t="str">
        <x:v>AF</x:v>
      </x:c>
      <x:c r="G127" s="36"/>
      <x:c r="H127" s="36" t="str">
        <x:v>FORD DM2</x:v>
      </x:c>
      <x:c r="I127" s="36"/>
      <x:c r="J127" s="36" t="str">
        <x:v>201403</x:v>
      </x:c>
      <x:c r="K127" s="36" t="n">
        <x:v>1596</x:v>
      </x:c>
      <x:c r="L127" s="36" t="str">
        <x:v>M1</x:v>
      </x:c>
      <x:c r="M127" s="36"/>
      <x:c r="N127" s="36" t="str">
        <x:v>FO</x:v>
      </x:c>
      <x:c r="O127" s="36" t="str">
        <x:v>1</x:v>
      </x:c>
      <x:c r="P127" s="36" t="str">
        <x:v>0</x:v>
      </x:c>
      <x:c r="Q127" s="36" t="str">
        <x:v>0</x:v>
      </x:c>
      <x:c r="R127" s="36"/>
      <x:c r="S127" s="36" t="str">
        <x:v>M</x:v>
      </x:c>
      <x:c r="T127" s="36" t="str">
        <x:v>017818</x:v>
      </x:c>
      <x:c r="U127" s="36" t="str">
        <x:v>0</x:v>
      </x:c>
      <x:c r="V127" s="36" t="n">
        <x:v>110</x:v>
      </x:c>
      <x:c r="W127" s="36"/>
      <x:c r="X127" s="36" t="str">
        <x:v>KUGA</x:v>
      </x:c>
      <x:c r="Y127" s="36"/>
      <x:c r="Z127" s="36"/>
      <x:c r="AA127" s="36" t="str">
        <x:v>TEST-2847</x:v>
      </x:c>
      <x:c r="AB127" s="36" t="str">
        <x:v>20140626</x:v>
      </x:c>
      <x:c r="AC127" s="36" t="str">
        <x:v>DM2</x:v>
      </x:c>
      <x:c r="AD127" s="36" t="str">
        <x:v>JQMA1A</x:v>
      </x:c>
      <x:c r="AE127" s="36" t="str">
        <x:v>I</x:v>
      </x:c>
      <x:c r="AF127" s="36" t="str">
        <x:v>PB</x:v>
      </x:c>
      <x:c r="AG127" s="36" t="n">
        <x:v>2014</x:v>
      </x:c>
      <x:c r="AH127" s="36" t="str">
        <x:v>5UNAPC</x:v>
      </x:c>
      <x:c r="AI127" s="36" t="str">
        <x:v>WF000000000002847</x:v>
      </x:c>
      <x:c r="AJ127" s="38" t="str">
        <x:v>{"kw":110,"ccm":1596,"vin":"WF000000000002847","brand":"FORD DM2","fuel1":"1","fuel2":"0","fuel3":"0","model":"KUGA","plate":"TEST-2847","is_4wd":"0","gearbox":"M","variant":"JQMA1A","version":"5UNAPC","fab_code":"FO","group_no":"017818","body_code":"AF","type_text":"DM2","build_month":"201403","eu_category":"M1","vehicle_type":"PB","vehicle_year":2014,"vehicle_class":"I","registration_date":"20140626"}</x:v>
      </x:c>
    </x:row>
    <x:row r="128" ht="18" customHeight="1">
      <x:c r="A128" s="36" t="n">
        <x:v>2848</x:v>
      </x:c>
      <x:c r="B128" s="36" t="str">
        <x:v>normalization-review-passenger-250-v1-rules-20260805T184409855703Z</x:v>
      </x:c>
      <x:c r="C128" s="36" t="n">
        <x:v>46239.78067008102</x:v>
      </x:c>
      <x:c r="D128" s="38" t="str">
        <x:v>"2026-08-05T18:44:09.895308+00:00"</x:v>
      </x:c>
      <x:c r="E128" s="36"/>
      <x:c r="F128" s="36" t="str">
        <x:v>AC</x:v>
      </x:c>
      <x:c r="G128" s="36"/>
      <x:c r="H128" s="36" t="str">
        <x:v>VOLKSWAGEN, VW</x:v>
      </x:c>
      <x:c r="I128" s="36"/>
      <x:c r="J128" s="36" t="str">
        <x:v>202010</x:v>
      </x:c>
      <x:c r="K128" s="36" t="n">
        <x:v>1498</x:v>
      </x:c>
      <x:c r="L128" s="36" t="str">
        <x:v>M1</x:v>
      </x:c>
      <x:c r="M128" s="36" t="str">
        <x:v>ELHYBRID</x:v>
      </x:c>
      <x:c r="N128" s="36" t="str">
        <x:v>VW</x:v>
      </x:c>
      <x:c r="O128" s="36" t="str">
        <x:v>1</x:v>
      </x:c>
      <x:c r="P128" s="36" t="str">
        <x:v>0</x:v>
      </x:c>
      <x:c r="Q128" s="36" t="str">
        <x:v>0</x:v>
      </x:c>
      <x:c r="R128" s="36"/>
      <x:c r="S128" s="36" t="str">
        <x:v>A</x:v>
      </x:c>
      <x:c r="T128" s="36" t="str">
        <x:v>715007</x:v>
      </x:c>
      <x:c r="U128" s="36" t="str">
        <x:v>0</x:v>
      </x:c>
      <x:c r="V128" s="36" t="n">
        <x:v>110</x:v>
      </x:c>
      <x:c r="W128" s="36" t="str">
        <x:v>VOLKSWAGEN AG</x:v>
      </x:c>
      <x:c r="X128" s="36" t="str">
        <x:v>GOLF</x:v>
      </x:c>
      <x:c r="Y128" s="36"/>
      <x:c r="Z128" s="36"/>
      <x:c r="AA128" s="36" t="str">
        <x:v>TEST-2848</x:v>
      </x:c>
      <x:c r="AB128" s="36" t="str">
        <x:v>20201112</x:v>
      </x:c>
      <x:c r="AC128" s="36" t="str">
        <x:v>CD</x:v>
      </x:c>
      <x:c r="AD128" s="36" t="str">
        <x:v>ACDFYAX0</x:v>
      </x:c>
      <x:c r="AE128" s="36" t="str">
        <x:v>I</x:v>
      </x:c>
      <x:c r="AF128" s="36" t="str">
        <x:v>PB</x:v>
      </x:c>
      <x:c r="AG128" s="36" t="n">
        <x:v>2020</x:v>
      </x:c>
      <x:c r="AH128" s="36" t="str">
        <x:v>FD7FD7CW002N4BFSON1ML1AVR2A0A</x:v>
      </x:c>
      <x:c r="AI128" s="36" t="str">
        <x:v>WVW00000000002848</x:v>
      </x:c>
      <x:c r="AJ128" s="38" t="str">
        <x:v>{"kw":110,"ccm":1498,"vin":"WVW00000000002848","brand":"VOLKSWAGEN, VW","fuel1":"1","fuel2":"0","fuel3":"0","model":"GOLF","plate":"TEST-2848","is_4wd":"0","gearbox":"A","variant":"ACDFYAX0","version":"FD7FD7CW002N4BFSON1ML1AVR2A0A","fab_code":"VW","group_no":"715007","body_code":"AC","ev_config":"ELHYBRID","type_text":"CD","build_month":"202010","eu_category":"M1","manufacturer":"VOLKSWAGEN AG","vehicle_type":"PB","vehicle_year":2020,"vehicle_class":"I","registration_date":"20201112"}</x:v>
      </x:c>
    </x:row>
    <x:row r="129" ht="18" customHeight="1">
      <x:c r="A129" s="36" t="n">
        <x:v>2849</x:v>
      </x:c>
      <x:c r="B129" s="36" t="str">
        <x:v>normalization-review-passenger-250-v1-rules-20260805T184409855703Z</x:v>
      </x:c>
      <x:c r="C129" s="36" t="n">
        <x:v>46239.78067008102</x:v>
      </x:c>
      <x:c r="D129" s="38" t="str">
        <x:v>"2026-08-05T18:44:09.895308+00:00"</x:v>
      </x:c>
      <x:c r="E129" s="36"/>
      <x:c r="F129" s="36" t="str">
        <x:v>AC</x:v>
      </x:c>
      <x:c r="G129" s="36"/>
      <x:c r="H129" s="36" t="str">
        <x:v>AUDI            B8</x:v>
      </x:c>
      <x:c r="I129" s="36"/>
      <x:c r="J129" s="36" t="str">
        <x:v>201311</x:v>
      </x:c>
      <x:c r="K129" s="36" t="n">
        <x:v>1968</x:v>
      </x:c>
      <x:c r="L129" s="36" t="str">
        <x:v>M1</x:v>
      </x:c>
      <x:c r="M129" s="36"/>
      <x:c r="N129" s="36" t="str">
        <x:v>AU</x:v>
      </x:c>
      <x:c r="O129" s="36" t="str">
        <x:v>2</x:v>
      </x:c>
      <x:c r="P129" s="36" t="str">
        <x:v>0</x:v>
      </x:c>
      <x:c r="Q129" s="36" t="str">
        <x:v>0</x:v>
      </x:c>
      <x:c r="R129" s="36"/>
      <x:c r="S129" s="36" t="str">
        <x:v>A</x:v>
      </x:c>
      <x:c r="T129" s="36" t="str">
        <x:v>424021</x:v>
      </x:c>
      <x:c r="U129" s="36" t="str">
        <x:v>1</x:v>
      </x:c>
      <x:c r="V129" s="36" t="n">
        <x:v>130</x:v>
      </x:c>
      <x:c r="W129" s="36"/>
      <x:c r="X129" s="36" t="str">
        <x:v>A4 AVANT</x:v>
      </x:c>
      <x:c r="Y129" s="36"/>
      <x:c r="Z129" s="36"/>
      <x:c r="AA129" s="36" t="str">
        <x:v>TEST-2849</x:v>
      </x:c>
      <x:c r="AB129" s="36" t="str">
        <x:v>20131216</x:v>
      </x:c>
      <x:c r="AC129" s="36" t="str">
        <x:v>B8</x:v>
      </x:c>
      <x:c r="AD129" s="36" t="str">
        <x:v>ACGLCQ1</x:v>
      </x:c>
      <x:c r="AE129" s="36" t="str">
        <x:v>I</x:v>
      </x:c>
      <x:c r="AF129" s="36" t="str">
        <x:v>PB</x:v>
      </x:c>
      <x:c r="AG129" s="36" t="n">
        <x:v>2013</x:v>
      </x:c>
      <x:c r="AH129" s="36" t="str">
        <x:v>QD7B5027RB8K2S57MJEM1</x:v>
      </x:c>
      <x:c r="AI129" s="36" t="str">
        <x:v>WAU00000000002849</x:v>
      </x:c>
      <x:c r="AJ129" s="38" t="str">
        <x:v>{"kw":130,"ccm":1968,"vin":"WAU00000000002849","brand":"AUDI            B8","fuel1":"2","fuel2":"0","fuel3":"0","model":"A4 AVANT","plate":"TEST-2849","is_4wd":"1","gearbox":"A","variant":"ACGLCQ1","version":"QD7B5027RB8K2S57MJEM1","fab_code":"AU","group_no":"424021","body_code":"AC","type_text":"B8","build_month":"201311","eu_category":"M1","vehicle_type":"PB","vehicle_year":2013,"vehicle_class":"I","registration_date":"20131216"}</x:v>
      </x:c>
    </x:row>
    <x:row r="130" ht="18" customHeight="1">
      <x:c r="A130" s="36" t="n">
        <x:v>2850</x:v>
      </x:c>
      <x:c r="B130" s="36" t="str">
        <x:v>normalization-review-passenger-250-v1-rules-20260805T184409855703Z</x:v>
      </x:c>
      <x:c r="C130" s="36" t="n">
        <x:v>46239.78067008102</x:v>
      </x:c>
      <x:c r="D130" s="38" t="str">
        <x:v>"2026-08-05T18:44:09.895308+00:00"</x:v>
      </x:c>
      <x:c r="E130" s="36"/>
      <x:c r="F130" s="36" t="str">
        <x:v>01</x:v>
      </x:c>
      <x:c r="G130" s="36"/>
      <x:c r="H130" s="36" t="str">
        <x:v>OLDSMOBILE DYNAMIC88 4DR</x:v>
      </x:c>
      <x:c r="I130" s="36"/>
      <x:c r="J130" s="36"/>
      <x:c r="K130" s="36"/>
      <x:c r="L130" s="36" t="str">
        <x:v>M1</x:v>
      </x:c>
      <x:c r="M130" s="36"/>
      <x:c r="N130" s="36" t="str">
        <x:v>OL</x:v>
      </x:c>
      <x:c r="O130" s="36" t="str">
        <x:v>1</x:v>
      </x:c>
      <x:c r="P130" s="36" t="str">
        <x:v>0</x:v>
      </x:c>
      <x:c r="Q130" s="36" t="str">
        <x:v>0</x:v>
      </x:c>
      <x:c r="R130" s="36"/>
      <x:c r="S130" s="36" t="str">
        <x:v>A</x:v>
      </x:c>
      <x:c r="T130" s="36"/>
      <x:c r="U130" s="36" t="str">
        <x:v>0</x:v>
      </x:c>
      <x:c r="V130" s="36" t="n">
        <x:v>206</x:v>
      </x:c>
      <x:c r="W130" s="36"/>
      <x:c r="X130" s="36"/>
      <x:c r="Y130" s="36"/>
      <x:c r="Z130" s="36" t="n">
        <x:v>1963</x:v>
      </x:c>
      <x:c r="AA130" s="36" t="str">
        <x:v>TEST-2850</x:v>
      </x:c>
      <x:c r="AB130" s="36" t="str">
        <x:v>20070822</x:v>
      </x:c>
      <x:c r="AC130" s="36"/>
      <x:c r="AD130" s="36"/>
      <x:c r="AE130" s="36" t="str">
        <x:v>I</x:v>
      </x:c>
      <x:c r="AF130" s="36" t="str">
        <x:v>PB</x:v>
      </x:c>
      <x:c r="AG130" s="36" t="n">
        <x:v>1963</x:v>
      </x:c>
      <x:c r="AH130" s="36"/>
      <x:c r="AI130" s="36" t="str">
        <x:v>63200000000002850</x:v>
      </x:c>
      <x:c r="AJ130" s="38" t="str">
        <x:v>{"kw":206,"vin":"63200000000002850","brand":"OLDSMOBILE DYNAMIC88 4DR","fuel1":"1","fuel2":"0","fuel3":"0","plate":"TEST-2850","is_4wd":"0","gearbox":"A","fab_code":"OL","body_code":"01","model_year":1963,"eu_category":"M1","vehicle_type":"PB","vehicle_year":1963,"vehicle_class":"I","registration_date":"20070822"}</x:v>
      </x:c>
    </x:row>
    <x:row r="131" ht="18" customHeight="1">
      <x:c r="A131" s="36" t="n">
        <x:v>2851</x:v>
      </x:c>
      <x:c r="B131" s="36" t="str">
        <x:v>normalization-review-passenger-250-v1-rules-20260805T184409855703Z</x:v>
      </x:c>
      <x:c r="C131" s="36" t="n">
        <x:v>46239.78067008102</x:v>
      </x:c>
      <x:c r="D131" s="38" t="str">
        <x:v>"2026-08-05T18:44:09.895308+00:00"</x:v>
      </x:c>
      <x:c r="E131" s="36"/>
      <x:c r="F131" s="36" t="str">
        <x:v>AC</x:v>
      </x:c>
      <x:c r="G131" s="36"/>
      <x:c r="H131" s="36" t="str">
        <x:v>MERCEDES-BENZ C 180 KOMP</x:v>
      </x:c>
      <x:c r="I131" s="36"/>
      <x:c r="J131" s="36" t="str">
        <x:v>200606</x:v>
      </x:c>
      <x:c r="K131" s="36" t="n">
        <x:v>1796</x:v>
      </x:c>
      <x:c r="L131" s="36" t="str">
        <x:v>M1</x:v>
      </x:c>
      <x:c r="M131" s="36"/>
      <x:c r="N131" s="36" t="str">
        <x:v>MB</x:v>
      </x:c>
      <x:c r="O131" s="36" t="str">
        <x:v>1</x:v>
      </x:c>
      <x:c r="P131" s="36" t="str">
        <x:v>0</x:v>
      </x:c>
      <x:c r="Q131" s="36" t="str">
        <x:v>0</x:v>
      </x:c>
      <x:c r="R131" s="36"/>
      <x:c r="S131" s="36" t="str">
        <x:v>A</x:v>
      </x:c>
      <x:c r="T131" s="36" t="str">
        <x:v>522460</x:v>
      </x:c>
      <x:c r="U131" s="36" t="str">
        <x:v>0</x:v>
      </x:c>
      <x:c r="V131" s="36" t="n">
        <x:v>105</x:v>
      </x:c>
      <x:c r="W131" s="36"/>
      <x:c r="X131" s="36"/>
      <x:c r="Y131" s="36"/>
      <x:c r="Z131" s="36"/>
      <x:c r="AA131" s="36" t="str">
        <x:v>TEST-2851</x:v>
      </x:c>
      <x:c r="AB131" s="36" t="str">
        <x:v>20060929</x:v>
      </x:c>
      <x:c r="AC131" s="36" t="str">
        <x:v>203 K</x:v>
      </x:c>
      <x:c r="AD131" s="36" t="str">
        <x:v>R246K0</x:v>
      </x:c>
      <x:c r="AE131" s="36" t="str">
        <x:v>I</x:v>
      </x:c>
      <x:c r="AF131" s="36" t="str">
        <x:v>PB</x:v>
      </x:c>
      <x:c r="AG131" s="36" t="n">
        <x:v>2006</x:v>
      </x:c>
      <x:c r="AH131" s="36" t="str">
        <x:v>THBBA500</x:v>
      </x:c>
      <x:c r="AI131" s="36" t="str">
        <x:v>WDB00000000002851</x:v>
      </x:c>
      <x:c r="AJ131" s="38" t="str">
        <x:v>{"kw":105,"ccm":1796,"vin":"WDB00000000002851","brand":"MERCEDES-BENZ C 180 KOMP","fuel1":"1","fuel2":"0","fuel3":"0","plate":"TEST-2851","is_4wd":"0","gearbox":"A","variant":"R246K0","version":"THBBA500","fab_code":"MB","group_no":"522460","body_code":"AC","type_text":"203 K","build_month":"200606","eu_category":"M1","vehicle_type":"PB","vehicle_year":2006,"vehicle_class":"I","registration_date":"20060929"}</x:v>
      </x:c>
    </x:row>
    <x:row r="132" ht="18" customHeight="1">
      <x:c r="A132" s="36" t="n">
        <x:v>2852</x:v>
      </x:c>
      <x:c r="B132" s="36" t="str">
        <x:v>normalization-review-passenger-250-v1-rules-20260805T184409855703Z</x:v>
      </x:c>
      <x:c r="C132" s="36" t="n">
        <x:v>46239.78067008102</x:v>
      </x:c>
      <x:c r="D132" s="38" t="str">
        <x:v>"2026-08-05T18:44:09.895308+00:00"</x:v>
      </x:c>
      <x:c r="E132" s="36"/>
      <x:c r="F132" s="36" t="str">
        <x:v>01</x:v>
      </x:c>
      <x:c r="G132" s="36"/>
      <x:c r="H132" s="36" t="str">
        <x:v>FORD 63 C FAIRLANE 500</x:v>
      </x:c>
      <x:c r="I132" s="36"/>
      <x:c r="J132" s="36"/>
      <x:c r="K132" s="36"/>
      <x:c r="L132" s="36" t="str">
        <x:v>M1</x:v>
      </x:c>
      <x:c r="M132" s="36"/>
      <x:c r="N132" s="36" t="str">
        <x:v>FO</x:v>
      </x:c>
      <x:c r="O132" s="36" t="str">
        <x:v>1</x:v>
      </x:c>
      <x:c r="P132" s="36" t="str">
        <x:v>0</x:v>
      </x:c>
      <x:c r="Q132" s="36" t="str">
        <x:v>0</x:v>
      </x:c>
      <x:c r="R132" s="36"/>
      <x:c r="S132" s="36" t="str">
        <x:v>A</x:v>
      </x:c>
      <x:c r="T132" s="36" t="str">
        <x:v>002206</x:v>
      </x:c>
      <x:c r="U132" s="36" t="str">
        <x:v>0</x:v>
      </x:c>
      <x:c r="V132" s="36" t="n">
        <x:v>147</x:v>
      </x:c>
      <x:c r="W132" s="36"/>
      <x:c r="X132" s="36"/>
      <x:c r="Y132" s="36" t="str">
        <x:v>002206</x:v>
      </x:c>
      <x:c r="Z132" s="36" t="n">
        <x:v>1966</x:v>
      </x:c>
      <x:c r="AA132" s="36" t="str">
        <x:v>TEST-2852</x:v>
      </x:c>
      <x:c r="AB132" s="36" t="str">
        <x:v>19721106</x:v>
      </x:c>
      <x:c r="AC132" s="36"/>
      <x:c r="AD132" s="36"/>
      <x:c r="AE132" s="36" t="str">
        <x:v>I</x:v>
      </x:c>
      <x:c r="AF132" s="36" t="str">
        <x:v>PB</x:v>
      </x:c>
      <x:c r="AG132" s="36" t="n">
        <x:v>1966</x:v>
      </x:c>
      <x:c r="AH132" s="36"/>
      <x:c r="AI132" s="36" t="str">
        <x:v>6H400000000002852</x:v>
      </x:c>
      <x:c r="AJ132" s="38" t="str">
        <x:v>{"kw":147,"vin":"6H400000000002852","brand":"FORD 63 C FAIRLANE 500","fuel1":"1","fuel2":"0","fuel3":"0","plate":"TEST-2852","is_4wd":"0","gearbox":"A","fab_code":"FO","group_no":"002206","model_no":"002206","body_code":"01","model_year":1966,"eu_category":"M1","vehicle_type":"PB","vehicle_year":1966,"vehicle_class":"I","registration_date":"19721106"}</x:v>
      </x:c>
    </x:row>
    <x:row r="133" ht="18" customHeight="1">
      <x:c r="A133" s="36" t="n">
        <x:v>2853</x:v>
      </x:c>
      <x:c r="B133" s="36" t="str">
        <x:v>normalization-review-passenger-250-v1-rules-20260805T184409855703Z</x:v>
      </x:c>
      <x:c r="C133" s="36" t="n">
        <x:v>46239.78067008102</x:v>
      </x:c>
      <x:c r="D133" s="38" t="str">
        <x:v>"2026-08-05T18:44:09.895308+00:00"</x:v>
      </x:c>
      <x:c r="E133" s="36"/>
      <x:c r="F133" s="36" t="str">
        <x:v>03</x:v>
      </x:c>
      <x:c r="G133" s="36"/>
      <x:c r="H133" s="36" t="str">
        <x:v>VW PASSAT VAR TDI</x:v>
      </x:c>
      <x:c r="I133" s="36"/>
      <x:c r="J133" s="36" t="str">
        <x:v>199903</x:v>
      </x:c>
      <x:c r="K133" s="36"/>
      <x:c r="L133" s="36" t="str">
        <x:v>M1</x:v>
      </x:c>
      <x:c r="M133" s="36"/>
      <x:c r="N133" s="36" t="str">
        <x:v>VW</x:v>
      </x:c>
      <x:c r="O133" s="36" t="str">
        <x:v>2</x:v>
      </x:c>
      <x:c r="P133" s="36" t="str">
        <x:v>0</x:v>
      </x:c>
      <x:c r="Q133" s="36" t="str">
        <x:v>0</x:v>
      </x:c>
      <x:c r="R133" s="36"/>
      <x:c r="S133" s="36" t="str">
        <x:v>M</x:v>
      </x:c>
      <x:c r="T133" s="36" t="str">
        <x:v>229030</x:v>
      </x:c>
      <x:c r="U133" s="36" t="str">
        <x:v>0</x:v>
      </x:c>
      <x:c r="V133" s="36" t="n">
        <x:v>81</x:v>
      </x:c>
      <x:c r="W133" s="36"/>
      <x:c r="X133" s="36"/>
      <x:c r="Y133" s="36"/>
      <x:c r="Z133" s="36"/>
      <x:c r="AA133" s="36" t="str">
        <x:v>TEST-2853</x:v>
      </x:c>
      <x:c r="AB133" s="36" t="str">
        <x:v>19990409</x:v>
      </x:c>
      <x:c r="AC133" s="36"/>
      <x:c r="AD133" s="36" t="str">
        <x:v>SEAFNX01</x:v>
      </x:c>
      <x:c r="AE133" s="36" t="str">
        <x:v>I</x:v>
      </x:c>
      <x:c r="AF133" s="36" t="str">
        <x:v>PB</x:v>
      </x:c>
      <x:c r="AG133" s="36" t="n">
        <x:v>1999</x:v>
      </x:c>
      <x:c r="AH133" s="36" t="str">
        <x:v>SGFM512062N</x:v>
      </x:c>
      <x:c r="AI133" s="36" t="str">
        <x:v>ZZZ00000000002853</x:v>
      </x:c>
      <x:c r="AJ133" s="38" t="str">
        <x:v>{"kw":81,"vin":"ZZZ00000000002853","brand":"VW PASSAT VAR TDI","fuel1":"2","fuel2":"0","fuel3":"0","plate":"TEST-2853","is_4wd":"0","gearbox":"M","variant":"SEAFNX01","version":"SGFM512062N","fab_code":"VW","group_no":"229030","body_code":"03","build_month":"199903","eu_category":"M1","vehicle_type":"PB","vehicle_year":1999,"vehicle_class":"I","registration_date":"19990409"}</x:v>
      </x:c>
    </x:row>
    <x:row r="134" ht="18" customHeight="1">
      <x:c r="A134" s="36" t="n">
        <x:v>2854</x:v>
      </x:c>
      <x:c r="B134" s="36" t="str">
        <x:v>normalization-review-passenger-250-v1-rules-20260805T184409855703Z</x:v>
      </x:c>
      <x:c r="C134" s="36" t="n">
        <x:v>46239.78067008102</x:v>
      </x:c>
      <x:c r="D134" s="38" t="str">
        <x:v>"2026-08-05T18:44:09.895308+00:00"</x:v>
      </x:c>
      <x:c r="E134" s="36"/>
      <x:c r="F134" s="36" t="str">
        <x:v>SA</x:v>
      </x:c>
      <x:c r="G134" s="36"/>
      <x:c r="H134" s="36" t="str">
        <x:v>FORD T.E.C CARAVAN GMBH</x:v>
      </x:c>
      <x:c r="I134" s="36"/>
      <x:c r="J134" s="36"/>
      <x:c r="K134" s="36" t="n">
        <x:v>2402</x:v>
      </x:c>
      <x:c r="L134" s="36" t="str">
        <x:v>M1</x:v>
      </x:c>
      <x:c r="M134" s="36"/>
      <x:c r="N134" s="36" t="str">
        <x:v>FO</x:v>
      </x:c>
      <x:c r="O134" s="36" t="str">
        <x:v>2</x:v>
      </x:c>
      <x:c r="P134" s="36" t="str">
        <x:v>0</x:v>
      </x:c>
      <x:c r="Q134" s="36" t="str">
        <x:v>0</x:v>
      </x:c>
      <x:c r="R134" s="36"/>
      <x:c r="S134" s="36" t="str">
        <x:v>M</x:v>
      </x:c>
      <x:c r="T134" s="36" t="str">
        <x:v>010000</x:v>
      </x:c>
      <x:c r="U134" s="36" t="str">
        <x:v>0</x:v>
      </x:c>
      <x:c r="V134" s="36" t="n">
        <x:v>103</x:v>
      </x:c>
      <x:c r="W134" s="36"/>
      <x:c r="X134" s="36" t="str">
        <x:v>FREETEC TI 708</x:v>
      </x:c>
      <x:c r="Y134" s="36"/>
      <x:c r="Z134" s="36" t="n">
        <x:v>2008</x:v>
      </x:c>
      <x:c r="AA134" s="36" t="str">
        <x:v>TEST-2854</x:v>
      </x:c>
      <x:c r="AB134" s="36" t="str">
        <x:v>20090414</x:v>
      </x:c>
      <x:c r="AC134" s="36"/>
      <x:c r="AD134" s="36" t="str">
        <x:v>HTG4HEL1HG7A341TE412</x:v>
      </x:c>
      <x:c r="AE134" s="36" t="str">
        <x:v>II</x:v>
      </x:c>
      <x:c r="AF134" s="36" t="str">
        <x:v>PB</x:v>
      </x:c>
      <x:c r="AG134" s="36" t="n">
        <x:v>2008</x:v>
      </x:c>
      <x:c r="AH134" s="36" t="str">
        <x:v>HTG4HEL1HG7A341TE412</x:v>
      </x:c>
      <x:c r="AI134" s="36" t="str">
        <x:v>WF000000000002854</x:v>
      </x:c>
      <x:c r="AJ134" s="38" t="str">
        <x:v>{"kw":103,"ccm":2402,"vin":"WF000000000002854","brand":"FORD T.E.C CARAVAN GMBH","fuel1":"2","fuel2":"0","fuel3":"0","model":"FREETEC TI 708","plate":"TEST-2854","is_4wd":"0","gearbox":"M","variant":"HTG4HEL1HG7A341TE412","version":"HTG4HEL1HG7A341TE412","fab_code":"FO","group_no":"010000","body_code":"SA","model_year":2008,"eu_category":"M1","vehicle_type":"PB","vehicle_year":2008,"vehicle_class":"II","registration_date":"20090414"}</x:v>
      </x:c>
    </x:row>
    <x:row r="135" ht="18" customHeight="1">
      <x:c r="A135" s="36" t="n">
        <x:v>2855</x:v>
      </x:c>
      <x:c r="B135" s="36" t="str">
        <x:v>normalization-review-passenger-250-v1-rules-20260805T184409855703Z</x:v>
      </x:c>
      <x:c r="C135" s="36" t="n">
        <x:v>46239.78067008102</x:v>
      </x:c>
      <x:c r="D135" s="38" t="str">
        <x:v>"2026-08-05T18:44:09.895308+00:00"</x:v>
      </x:c>
      <x:c r="E135" s="36"/>
      <x:c r="F135" s="36" t="str">
        <x:v>01</x:v>
      </x:c>
      <x:c r="G135" s="36"/>
      <x:c r="H135" s="36" t="str">
        <x:v>VOLVO 1421361 W</x:v>
      </x:c>
      <x:c r="I135" s="36"/>
      <x:c r="J135" s="36"/>
      <x:c r="K135" s="36"/>
      <x:c r="L135" s="36" t="str">
        <x:v>M1</x:v>
      </x:c>
      <x:c r="M135" s="36"/>
      <x:c r="N135" s="36" t="str">
        <x:v>VO</x:v>
      </x:c>
      <x:c r="O135" s="36" t="str">
        <x:v>1</x:v>
      </x:c>
      <x:c r="P135" s="36" t="str">
        <x:v>0</x:v>
      </x:c>
      <x:c r="Q135" s="36" t="str">
        <x:v>0</x:v>
      </x:c>
      <x:c r="R135" s="36"/>
      <x:c r="S135" s="36" t="str">
        <x:v>A</x:v>
      </x:c>
      <x:c r="T135" s="36" t="str">
        <x:v>000892</x:v>
      </x:c>
      <x:c r="U135" s="36" t="str">
        <x:v>0</x:v>
      </x:c>
      <x:c r="V135" s="36" t="n">
        <x:v>60</x:v>
      </x:c>
      <x:c r="W135" s="36"/>
      <x:c r="X135" s="36"/>
      <x:c r="Y135" s="36" t="str">
        <x:v>000892</x:v>
      </x:c>
      <x:c r="Z135" s="36" t="n">
        <x:v>1972</x:v>
      </x:c>
      <x:c r="AA135" s="36" t="str">
        <x:v>TEST-2855</x:v>
      </x:c>
      <x:c r="AB135" s="36" t="str">
        <x:v>19710929</x:v>
      </x:c>
      <x:c r="AC135" s="36"/>
      <x:c r="AD135" s="36"/>
      <x:c r="AE135" s="36" t="str">
        <x:v>I</x:v>
      </x:c>
      <x:c r="AF135" s="36" t="str">
        <x:v>PB</x:v>
      </x:c>
      <x:c r="AG135" s="36" t="n">
        <x:v>1972</x:v>
      </x:c>
      <x:c r="AH135" s="36"/>
      <x:c r="AI135" s="36" t="str">
        <x:v>25100000000002855</x:v>
      </x:c>
      <x:c r="AJ135" s="38" t="str">
        <x:v>{"kw":60,"vin":"25100000000002855","brand":"VOLVO 1421361 W","fuel1":"1","fuel2":"0","fuel3":"0","plate":"TEST-2855","is_4wd":"0","gearbox":"A","fab_code":"VO","group_no":"000892","model_no":"000892","body_code":"01","model_year":1972,"eu_category":"M1","vehicle_type":"PB","vehicle_year":1972,"vehicle_class":"I","registration_date":"19710929"}</x:v>
      </x:c>
    </x:row>
    <x:row r="136" ht="18" customHeight="1">
      <x:c r="A136" s="36" t="n">
        <x:v>2856</x:v>
      </x:c>
      <x:c r="B136" s="36" t="str">
        <x:v>normalization-review-passenger-250-v1-rules-20260805T184409855703Z</x:v>
      </x:c>
      <x:c r="C136" s="36" t="n">
        <x:v>46239.78067008102</x:v>
      </x:c>
      <x:c r="D136" s="38" t="str">
        <x:v>"2026-08-05T18:44:09.895308+00:00"</x:v>
      </x:c>
      <x:c r="E136" s="36"/>
      <x:c r="F136" s="36" t="str">
        <x:v>AC</x:v>
      </x:c>
      <x:c r="G136" s="36"/>
      <x:c r="H136" s="36" t="str">
        <x:v>VOLVO</x:v>
      </x:c>
      <x:c r="I136" s="36"/>
      <x:c r="J136" s="36" t="str">
        <x:v>201909</x:v>
      </x:c>
      <x:c r="K136" s="36" t="n">
        <x:v>1969</x:v>
      </x:c>
      <x:c r="L136" s="36" t="str">
        <x:v>M1</x:v>
      </x:c>
      <x:c r="M136" s="36"/>
      <x:c r="N136" s="36" t="str">
        <x:v>VO</x:v>
      </x:c>
      <x:c r="O136" s="36" t="str">
        <x:v>2</x:v>
      </x:c>
      <x:c r="P136" s="36" t="str">
        <x:v>0</x:v>
      </x:c>
      <x:c r="Q136" s="36" t="str">
        <x:v>0</x:v>
      </x:c>
      <x:c r="R136" s="36"/>
      <x:c r="S136" s="36" t="str">
        <x:v>A</x:v>
      </x:c>
      <x:c r="T136" s="36" t="str">
        <x:v>020302</x:v>
      </x:c>
      <x:c r="U136" s="36" t="str">
        <x:v>0</x:v>
      </x:c>
      <x:c r="V136" s="36" t="n">
        <x:v>110</x:v>
      </x:c>
      <x:c r="W136" s="36" t="str">
        <x:v>VOLVO PERSONVAGNAR AB</x:v>
      </x:c>
      <x:c r="X136" s="36" t="str">
        <x:v>V60</x:v>
      </x:c>
      <x:c r="Y136" s="36"/>
      <x:c r="Z136" s="36"/>
      <x:c r="AA136" s="36" t="str">
        <x:v>TEST-2856</x:v>
      </x:c>
      <x:c r="AB136" s="36" t="str">
        <x:v>20191023</x:v>
      </x:c>
      <x:c r="AC136" s="36" t="str">
        <x:v>Z</x:v>
      </x:c>
      <x:c r="AD136" s="36" t="str">
        <x:v>ZW72</x:v>
      </x:c>
      <x:c r="AE136" s="36" t="str">
        <x:v>I</x:v>
      </x:c>
      <x:c r="AF136" s="36" t="str">
        <x:v>PB</x:v>
      </x:c>
      <x:c r="AG136" s="36" t="n">
        <x:v>2019</x:v>
      </x:c>
      <x:c r="AH136" s="36" t="str">
        <x:v>ZW72VD0?</x:v>
      </x:c>
      <x:c r="AI136" s="36" t="str">
        <x:v>YV100000000002856</x:v>
      </x:c>
      <x:c r="AJ136" s="38" t="str">
        <x:v>{"kw":110,"ccm":1969,"vin":"YV100000000002856","brand":"VOLVO","fuel1":"2","fuel2":"0","fuel3":"0","model":"V60","plate":"TEST-2856","is_4wd":"0","gearbox":"A","variant":"ZW72","version":"ZW72VD0?","fab_code":"VO","group_no":"020302","body_code":"AC","type_text":"Z","build_month":"201909","eu_category":"M1","manufacturer":"VOLVO PERSONVAGNAR AB","vehicle_type":"PB","vehicle_year":2019,"vehicle_class":"I","registration_date":"20191023"}</x:v>
      </x:c>
    </x:row>
    <x:row r="137" ht="18" customHeight="1">
      <x:c r="A137" s="36" t="n">
        <x:v>2857</x:v>
      </x:c>
      <x:c r="B137" s="36" t="str">
        <x:v>normalization-review-passenger-250-v1-rules-20260805T184409855703Z</x:v>
      </x:c>
      <x:c r="C137" s="36" t="n">
        <x:v>46239.78067008102</x:v>
      </x:c>
      <x:c r="D137" s="38" t="str">
        <x:v>"2026-08-05T18:44:09.895308+00:00"</x:v>
      </x:c>
      <x:c r="E137" s="36"/>
      <x:c r="F137" s="36" t="str">
        <x:v>AC</x:v>
      </x:c>
      <x:c r="G137" s="36"/>
      <x:c r="H137" s="36" t="str">
        <x:v>SEAT</x:v>
      </x:c>
      <x:c r="I137" s="36" t="str">
        <x:v>20220525</x:v>
      </x:c>
      <x:c r="J137" s="36" t="str">
        <x:v>202205</x:v>
      </x:c>
      <x:c r="K137" s="36" t="n">
        <x:v>1984</x:v>
      </x:c>
      <x:c r="L137" s="36" t="str">
        <x:v>M1</x:v>
      </x:c>
      <x:c r="M137" s="36"/>
      <x:c r="N137" s="36" t="str">
        <x:v>S4</x:v>
      </x:c>
      <x:c r="O137" s="36" t="str">
        <x:v>1</x:v>
      </x:c>
      <x:c r="P137" s="36" t="str">
        <x:v>0</x:v>
      </x:c>
      <x:c r="Q137" s="36" t="str">
        <x:v>0</x:v>
      </x:c>
      <x:c r="R137" s="36"/>
      <x:c r="S137" s="36" t="str">
        <x:v>A</x:v>
      </x:c>
      <x:c r="T137" s="36" t="str">
        <x:v>036648</x:v>
      </x:c>
      <x:c r="U137" s="36" t="str">
        <x:v>1</x:v>
      </x:c>
      <x:c r="V137" s="36" t="n">
        <x:v>180</x:v>
      </x:c>
      <x:c r="W137" s="36" t="str">
        <x:v>SEAT, S.A.</x:v>
      </x:c>
      <x:c r="X137" s="36" t="str">
        <x:v>TARRACO</x:v>
      </x:c>
      <x:c r="Y137" s="36"/>
      <x:c r="Z137" s="36"/>
      <x:c r="AA137" s="36" t="str">
        <x:v>TEST-2857</x:v>
      </x:c>
      <x:c r="AB137" s="36" t="str">
        <x:v>20220729</x:v>
      </x:c>
      <x:c r="AC137" s="36" t="str">
        <x:v>KN</x:v>
      </x:c>
      <x:c r="AD137" s="36" t="str">
        <x:v>XDNPAX1</x:v>
      </x:c>
      <x:c r="AE137" s="36" t="str">
        <x:v>I</x:v>
      </x:c>
      <x:c r="AF137" s="36" t="str">
        <x:v>PB</x:v>
      </x:c>
      <x:c r="AG137" s="36" t="n">
        <x:v>2022</x:v>
      </x:c>
      <x:c r="AH137" s="36" t="str">
        <x:v>AD7MAD7GC0064BIML761BBB</x:v>
      </x:c>
      <x:c r="AI137" s="36" t="str">
        <x:v>VSS00000000002857</x:v>
      </x:c>
      <x:c r="AJ137" s="38" t="str">
        <x:v>{"kw":180,"ccm":1984,"vin":"VSS00000000002857","brand":"SEAT","fuel1":"1","fuel2":"0","fuel3":"0","model":"TARRACO","plate":"TEST-2857","is_4wd":"1","gearbox":"A","variant":"XDNPAX1","version":"AD7MAD7GC0064BIML761BBB","fab_code":"S4","group_no":"036648","body_code":"AC","type_text":"KN","build_date":"20220525","build_month":"202205","eu_category":"M1","manufacturer":"SEAT, S.A.","vehicle_type":"PB","vehicle_year":2022,"vehicle_class":"I","registration_date":"20220729"}</x:v>
      </x:c>
    </x:row>
    <x:row r="138" ht="18" customHeight="1">
      <x:c r="A138" s="36" t="n">
        <x:v>2858</x:v>
      </x:c>
      <x:c r="B138" s="36" t="str">
        <x:v>normalization-review-passenger-250-v1-rules-20260805T184409855703Z</x:v>
      </x:c>
      <x:c r="C138" s="36" t="n">
        <x:v>46239.78067008102</x:v>
      </x:c>
      <x:c r="D138" s="38" t="str">
        <x:v>"2026-08-05T18:44:09.895308+00:00"</x:v>
      </x:c>
      <x:c r="E138" s="36"/>
      <x:c r="F138" s="36" t="str">
        <x:v>AC</x:v>
      </x:c>
      <x:c r="G138" s="36"/>
      <x:c r="H138" s="36" t="str">
        <x:v>BMW UKL-L</x:v>
      </x:c>
      <x:c r="I138" s="36"/>
      <x:c r="J138" s="36" t="str">
        <x:v>201410</x:v>
      </x:c>
      <x:c r="K138" s="36" t="n">
        <x:v>1499</x:v>
      </x:c>
      <x:c r="L138" s="36" t="str">
        <x:v>M1</x:v>
      </x:c>
      <x:c r="M138" s="36"/>
      <x:c r="N138" s="36" t="str">
        <x:v>BW</x:v>
      </x:c>
      <x:c r="O138" s="36" t="str">
        <x:v>1</x:v>
      </x:c>
      <x:c r="P138" s="36" t="str">
        <x:v>0</x:v>
      </x:c>
      <x:c r="Q138" s="36" t="str">
        <x:v>0</x:v>
      </x:c>
      <x:c r="R138" s="36"/>
      <x:c r="S138" s="36" t="str">
        <x:v>M</x:v>
      </x:c>
      <x:c r="T138" s="36" t="str">
        <x:v>225002</x:v>
      </x:c>
      <x:c r="U138" s="36" t="str">
        <x:v>0</x:v>
      </x:c>
      <x:c r="V138" s="36" t="n">
        <x:v>100</x:v>
      </x:c>
      <x:c r="W138" s="36"/>
      <x:c r="X138" s="36" t="str">
        <x:v>218I ACTIVE TOURER</x:v>
      </x:c>
      <x:c r="Y138" s="36"/>
      <x:c r="Z138" s="36"/>
      <x:c r="AA138" s="36" t="str">
        <x:v>TEST-2858</x:v>
      </x:c>
      <x:c r="AB138" s="36" t="str">
        <x:v>20150901</x:v>
      </x:c>
      <x:c r="AC138" s="36" t="str">
        <x:v>UKL-L</x:v>
      </x:c>
      <x:c r="AD138" s="36" t="str">
        <x:v>2A31</x:v>
      </x:c>
      <x:c r="AE138" s="36" t="str">
        <x:v>I</x:v>
      </x:c>
      <x:c r="AF138" s="36" t="str">
        <x:v>PB</x:v>
      </x:c>
      <x:c r="AG138" s="36" t="n">
        <x:v>2014</x:v>
      </x:c>
      <x:c r="AH138" s="36" t="str">
        <x:v>6H1500C0</x:v>
      </x:c>
      <x:c r="AI138" s="36" t="str">
        <x:v>WBA00000000002858</x:v>
      </x:c>
      <x:c r="AJ138" s="38" t="str">
        <x:v>{"kw":100,"ccm":1499,"vin":"WBA00000000002858","brand":"BMW UKL-L","fuel1":"1","fuel2":"0","fuel3":"0","model":"218I ACTIVE TOURER","plate":"TEST-2858","is_4wd":"0","gearbox":"M","variant":"2A31","version":"6H1500C0","fab_code":"BW","group_no":"225002","body_code":"AC","type_text":"UKL-L","build_month":"201410","eu_category":"M1","vehicle_type":"PB","vehicle_year":2014,"vehicle_class":"I","registration_date":"20150901"}</x:v>
      </x:c>
    </x:row>
    <x:row r="139" ht="18" customHeight="1">
      <x:c r="A139" s="36" t="n">
        <x:v>2859</x:v>
      </x:c>
      <x:c r="B139" s="36" t="str">
        <x:v>normalization-review-passenger-250-v1-rules-20260805T184409855703Z</x:v>
      </x:c>
      <x:c r="C139" s="36" t="n">
        <x:v>46239.78067008102</x:v>
      </x:c>
      <x:c r="D139" s="38" t="str">
        <x:v>"2026-08-05T18:44:09.895308+00:00"</x:v>
      </x:c>
      <x:c r="E139" s="36"/>
      <x:c r="F139" s="36" t="str">
        <x:v>AC</x:v>
      </x:c>
      <x:c r="G139" s="36"/>
      <x:c r="H139" s="36" t="str">
        <x:v>AUDI            8P</x:v>
      </x:c>
      <x:c r="I139" s="36"/>
      <x:c r="J139" s="36" t="str">
        <x:v>201102</x:v>
      </x:c>
      <x:c r="K139" s="36" t="n">
        <x:v>1598</x:v>
      </x:c>
      <x:c r="L139" s="36" t="str">
        <x:v>M1</x:v>
      </x:c>
      <x:c r="M139" s="36"/>
      <x:c r="N139" s="36" t="str">
        <x:v>AU</x:v>
      </x:c>
      <x:c r="O139" s="36" t="str">
        <x:v>2</x:v>
      </x:c>
      <x:c r="P139" s="36" t="str">
        <x:v>0</x:v>
      </x:c>
      <x:c r="Q139" s="36" t="str">
        <x:v>0</x:v>
      </x:c>
      <x:c r="R139" s="36"/>
      <x:c r="S139" s="36" t="str">
        <x:v>M</x:v>
      </x:c>
      <x:c r="T139" s="36" t="str">
        <x:v>341007</x:v>
      </x:c>
      <x:c r="U139" s="36" t="str">
        <x:v>0</x:v>
      </x:c>
      <x:c r="V139" s="36" t="n">
        <x:v>77</x:v>
      </x:c>
      <x:c r="W139" s="36"/>
      <x:c r="X139" s="36" t="str">
        <x:v>AUDI A3</x:v>
      </x:c>
      <x:c r="Y139" s="36"/>
      <x:c r="Z139" s="36"/>
      <x:c r="AA139" s="36" t="str">
        <x:v>TEST-2859</x:v>
      </x:c>
      <x:c r="AB139" s="36" t="str">
        <x:v>20110225</x:v>
      </x:c>
      <x:c r="AC139" s="36" t="str">
        <x:v>8P</x:v>
      </x:c>
      <x:c r="AD139" s="36" t="str">
        <x:v>SCAYCF1</x:v>
      </x:c>
      <x:c r="AE139" s="36" t="str">
        <x:v>I</x:v>
      </x:c>
      <x:c r="AF139" s="36" t="str">
        <x:v>PB</x:v>
      </x:c>
      <x:c r="AG139" s="36" t="n">
        <x:v>2011</x:v>
      </x:c>
      <x:c r="AH139" s="36" t="str">
        <x:v>FM5A4051R8P607MGEM1</x:v>
      </x:c>
      <x:c r="AI139" s="36" t="str">
        <x:v>WAU00000000002859</x:v>
      </x:c>
      <x:c r="AJ139" s="38" t="str">
        <x:v>{"kw":77,"ccm":1598,"vin":"WAU00000000002859","brand":"AUDI            8P","fuel1":"2","fuel2":"0","fuel3":"0","model":"AUDI A3","plate":"TEST-2859","is_4wd":"0","gearbox":"M","variant":"SCAYCF1","version":"FM5A4051R8P607MGEM1","fab_code":"AU","group_no":"341007","body_code":"AC","type_text":"8P","build_month":"201102","eu_category":"M1","vehicle_type":"PB","vehicle_year":2011,"vehicle_class":"I","registration_date":"20110225"}</x:v>
      </x:c>
    </x:row>
    <x:row r="140" ht="18" customHeight="1">
      <x:c r="A140" s="36" t="n">
        <x:v>2860</x:v>
      </x:c>
      <x:c r="B140" s="36" t="str">
        <x:v>normalization-review-passenger-250-v1-rules-20260805T184409855703Z</x:v>
      </x:c>
      <x:c r="C140" s="36" t="n">
        <x:v>46239.78067008102</x:v>
      </x:c>
      <x:c r="D140" s="38" t="str">
        <x:v>"2026-08-05T18:44:09.895308+00:00"</x:v>
      </x:c>
      <x:c r="E140" s="36"/>
      <x:c r="F140" s="36" t="str">
        <x:v>04</x:v>
      </x:c>
      <x:c r="G140" s="36"/>
      <x:c r="H140" s="36" t="str">
        <x:v>MERCEDES-BENZ 190E 2,5</x:v>
      </x:c>
      <x:c r="I140" s="36"/>
      <x:c r="J140" s="36"/>
      <x:c r="K140" s="36"/>
      <x:c r="L140" s="36" t="str">
        <x:v>M1</x:v>
      </x:c>
      <x:c r="M140" s="36"/>
      <x:c r="N140" s="36" t="str">
        <x:v>MB</x:v>
      </x:c>
      <x:c r="O140" s="36" t="str">
        <x:v>1</x:v>
      </x:c>
      <x:c r="P140" s="36" t="str">
        <x:v>0</x:v>
      </x:c>
      <x:c r="Q140" s="36" t="str">
        <x:v>0</x:v>
      </x:c>
      <x:c r="R140" s="36"/>
      <x:c r="S140" s="36" t="str">
        <x:v>M</x:v>
      </x:c>
      <x:c r="T140" s="36"/>
      <x:c r="U140" s="36" t="str">
        <x:v>0</x:v>
      </x:c>
      <x:c r="V140" s="36" t="n">
        <x:v>143</x:v>
      </x:c>
      <x:c r="W140" s="36"/>
      <x:c r="X140" s="36"/>
      <x:c r="Y140" s="36"/>
      <x:c r="Z140" s="36" t="n">
        <x:v>1990</x:v>
      </x:c>
      <x:c r="AA140" s="36" t="str">
        <x:v>TEST-2860</x:v>
      </x:c>
      <x:c r="AB140" s="36" t="str">
        <x:v>20070413</x:v>
      </x:c>
      <x:c r="AC140" s="36"/>
      <x:c r="AD140" s="36"/>
      <x:c r="AE140" s="36" t="str">
        <x:v>I</x:v>
      </x:c>
      <x:c r="AF140" s="36" t="str">
        <x:v>PB</x:v>
      </x:c>
      <x:c r="AG140" s="36" t="n">
        <x:v>1990</x:v>
      </x:c>
      <x:c r="AH140" s="36"/>
      <x:c r="AI140" s="36" t="str">
        <x:v>WDB00000000002860</x:v>
      </x:c>
      <x:c r="AJ140" s="38" t="str">
        <x:v>{"kw":143,"vin":"WDB00000000002860","brand":"MERCEDES-BENZ 190E 2,5","fuel1":"1","fuel2":"0","fuel3":"0","plate":"TEST-2860","is_4wd":"0","gearbox":"M","fab_code":"MB","body_code":"04","model_year":1990,"eu_category":"M1","vehicle_type":"PB","vehicle_year":1990,"vehicle_class":"I","registration_date":"20070413"}</x:v>
      </x:c>
    </x:row>
    <x:row r="141" ht="18" customHeight="1">
      <x:c r="A141" s="36" t="n">
        <x:v>2861</x:v>
      </x:c>
      <x:c r="B141" s="36" t="str">
        <x:v>normalization-review-passenger-250-v1-rules-20260805T184409855703Z</x:v>
      </x:c>
      <x:c r="C141" s="36" t="n">
        <x:v>46239.78067008102</x:v>
      </x:c>
      <x:c r="D141" s="38" t="str">
        <x:v>"2026-08-05T18:44:09.895308+00:00"</x:v>
      </x:c>
      <x:c r="E141" s="36"/>
      <x:c r="F141" s="36" t="str">
        <x:v>AF</x:v>
      </x:c>
      <x:c r="G141" s="36"/>
      <x:c r="H141" s="36" t="str">
        <x:v>TOYOTA T27</x:v>
      </x:c>
      <x:c r="I141" s="36"/>
      <x:c r="J141" s="36" t="str">
        <x:v>201303</x:v>
      </x:c>
      <x:c r="K141" s="36" t="n">
        <x:v>1998</x:v>
      </x:c>
      <x:c r="L141" s="36" t="str">
        <x:v>M1</x:v>
      </x:c>
      <x:c r="M141" s="36"/>
      <x:c r="N141" s="36" t="str">
        <x:v>TO</x:v>
      </x:c>
      <x:c r="O141" s="36" t="str">
        <x:v>2</x:v>
      </x:c>
      <x:c r="P141" s="36" t="str">
        <x:v>0</x:v>
      </x:c>
      <x:c r="Q141" s="36" t="str">
        <x:v>0</x:v>
      </x:c>
      <x:c r="R141" s="36"/>
      <x:c r="S141" s="36" t="str">
        <x:v>M</x:v>
      </x:c>
      <x:c r="T141" s="36" t="str">
        <x:v>143540</x:v>
      </x:c>
      <x:c r="U141" s="36" t="str">
        <x:v>0</x:v>
      </x:c>
      <x:c r="V141" s="36" t="n">
        <x:v>91</x:v>
      </x:c>
      <x:c r="W141" s="36"/>
      <x:c r="X141" s="36" t="str">
        <x:v>TOYOTA AVENSIS</x:v>
      </x:c>
      <x:c r="Y141" s="36"/>
      <x:c r="Z141" s="36"/>
      <x:c r="AA141" s="36" t="str">
        <x:v>TEST-2861</x:v>
      </x:c>
      <x:c r="AB141" s="36" t="str">
        <x:v>20131230</x:v>
      </x:c>
      <x:c r="AC141" s="36" t="str">
        <x:v>T27</x:v>
      </x:c>
      <x:c r="AD141" s="36" t="str">
        <x:v>ADT270(W)</x:v>
      </x:c>
      <x:c r="AE141" s="36" t="str">
        <x:v>I</x:v>
      </x:c>
      <x:c r="AF141" s="36" t="str">
        <x:v>PB</x:v>
      </x:c>
      <x:c r="AG141" s="36" t="n">
        <x:v>2013</x:v>
      </x:c>
      <x:c r="AH141" s="36" t="str">
        <x:v>ADT270L-AWFGYW(AG)</x:v>
      </x:c>
      <x:c r="AI141" s="36" t="str">
        <x:v>SB100000000002861</x:v>
      </x:c>
      <x:c r="AJ141" s="38" t="str">
        <x:v>{"kw":91,"ccm":1998,"vin":"SB100000000002861","brand":"TOYOTA T27","fuel1":"2","fuel2":"0","fuel3":"0","model":"TOYOTA AVENSIS","plate":"TEST-2861","is_4wd":"0","gearbox":"M","variant":"ADT270(W)","version":"ADT270L-AWFGYW(AG)","fab_code":"TO","group_no":"143540","body_code":"AF","type_text":"T27","build_month":"201303","eu_category":"M1","vehicle_type":"PB","vehicle_year":2013,"vehicle_class":"I","registration_date":"20131230"}</x:v>
      </x:c>
    </x:row>
    <x:row r="142" ht="18" customHeight="1">
      <x:c r="A142" s="36" t="n">
        <x:v>2862</x:v>
      </x:c>
      <x:c r="B142" s="36" t="str">
        <x:v>normalization-review-passenger-250-v1-rules-20260805T184409855703Z</x:v>
      </x:c>
      <x:c r="C142" s="36" t="n">
        <x:v>46239.78067008102</x:v>
      </x:c>
      <x:c r="D142" s="38" t="str">
        <x:v>"2026-08-05T18:44:09.895308+00:00"</x:v>
      </x:c>
      <x:c r="E142" s="36"/>
      <x:c r="F142" s="36" t="str">
        <x:v>AC</x:v>
      </x:c>
      <x:c r="G142" s="36"/>
      <x:c r="H142" s="36" t="str">
        <x:v>AUDI</x:v>
      </x:c>
      <x:c r="I142" s="36"/>
      <x:c r="J142" s="36" t="str">
        <x:v>201803</x:v>
      </x:c>
      <x:c r="K142" s="36" t="n">
        <x:v>1968</x:v>
      </x:c>
      <x:c r="L142" s="36" t="str">
        <x:v>M1</x:v>
      </x:c>
      <x:c r="M142" s="36"/>
      <x:c r="N142" s="36" t="str">
        <x:v>AU</x:v>
      </x:c>
      <x:c r="O142" s="36" t="str">
        <x:v>2</x:v>
      </x:c>
      <x:c r="P142" s="36" t="str">
        <x:v>0</x:v>
      </x:c>
      <x:c r="Q142" s="36" t="str">
        <x:v>0</x:v>
      </x:c>
      <x:c r="R142" s="36"/>
      <x:c r="S142" s="36" t="str">
        <x:v>A</x:v>
      </x:c>
      <x:c r="T142" s="36" t="str">
        <x:v>625016</x:v>
      </x:c>
      <x:c r="U142" s="36" t="str">
        <x:v>1</x:v>
      </x:c>
      <x:c r="V142" s="36" t="n">
        <x:v>140</x:v>
      </x:c>
      <x:c r="W142" s="36"/>
      <x:c r="X142" s="36" t="str">
        <x:v>A6 AVANT</x:v>
      </x:c>
      <x:c r="Y142" s="36"/>
      <x:c r="Z142" s="36"/>
      <x:c r="AA142" s="36" t="str">
        <x:v>TEST-2862</x:v>
      </x:c>
      <x:c r="AB142" s="36" t="str">
        <x:v>20180518</x:v>
      </x:c>
      <x:c r="AC142" s="36" t="str">
        <x:v>4G</x:v>
      </x:c>
      <x:c r="AD142" s="36" t="str">
        <x:v>ADDDAQ1</x:v>
      </x:c>
      <x:c r="AE142" s="36" t="str">
        <x:v>I</x:v>
      </x:c>
      <x:c r="AF142" s="36" t="str">
        <x:v>PB</x:v>
      </x:c>
      <x:c r="AG142" s="36" t="n">
        <x:v>2018</x:v>
      </x:c>
      <x:c r="AH142" s="36" t="str">
        <x:v>QD7QD7B5027P4G03S57MMEM2</x:v>
      </x:c>
      <x:c r="AI142" s="36" t="str">
        <x:v>WAU00000000002862</x:v>
      </x:c>
      <x:c r="AJ142" s="38" t="str">
        <x:v>{"kw":140,"ccm":1968,"vin":"WAU00000000002862","brand":"AUDI","fuel1":"2","fuel2":"0","fuel3":"0","model":"A6 AVANT","plate":"TEST-2862","is_4wd":"1","gearbox":"A","variant":"ADDDAQ1","version":"QD7QD7B5027P4G03S57MMEM2","fab_code":"AU","group_no":"625016","body_code":"AC","type_text":"4G","build_month":"201803","eu_category":"M1","vehicle_type":"PB","vehicle_year":2018,"vehicle_class":"I","registration_date":"20180518"}</x:v>
      </x:c>
    </x:row>
    <x:row r="143" ht="18" customHeight="1">
      <x:c r="A143" s="36" t="n">
        <x:v>2863</x:v>
      </x:c>
      <x:c r="B143" s="36" t="str">
        <x:v>normalization-review-passenger-250-v1-rules-20260805T184409855703Z</x:v>
      </x:c>
      <x:c r="C143" s="36" t="n">
        <x:v>46239.78067008102</x:v>
      </x:c>
      <x:c r="D143" s="38" t="str">
        <x:v>"2026-08-05T18:44:09.895308+00:00"</x:v>
      </x:c>
      <x:c r="E143" s="36"/>
      <x:c r="F143" s="36" t="str">
        <x:v>01</x:v>
      </x:c>
      <x:c r="G143" s="36"/>
      <x:c r="H143" s="36" t="str">
        <x:v>BMW 740IA</x:v>
      </x:c>
      <x:c r="I143" s="36"/>
      <x:c r="J143" s="36"/>
      <x:c r="K143" s="36"/>
      <x:c r="L143" s="36" t="str">
        <x:v>M1</x:v>
      </x:c>
      <x:c r="M143" s="36"/>
      <x:c r="N143" s="36" t="str">
        <x:v>BW</x:v>
      </x:c>
      <x:c r="O143" s="36" t="str">
        <x:v>1</x:v>
      </x:c>
      <x:c r="P143" s="36" t="str">
        <x:v>0</x:v>
      </x:c>
      <x:c r="Q143" s="36" t="str">
        <x:v>0</x:v>
      </x:c>
      <x:c r="R143" s="36"/>
      <x:c r="S143" s="36" t="str">
        <x:v>Z</x:v>
      </x:c>
      <x:c r="T143" s="36" t="str">
        <x:v>002261</x:v>
      </x:c>
      <x:c r="U143" s="36" t="str">
        <x:v>0</x:v>
      </x:c>
      <x:c r="V143" s="36" t="n">
        <x:v>210</x:v>
      </x:c>
      <x:c r="W143" s="36"/>
      <x:c r="X143" s="36"/>
      <x:c r="Y143" s="36" t="str">
        <x:v>002261</x:v>
      </x:c>
      <x:c r="Z143" s="36" t="n">
        <x:v>1995</x:v>
      </x:c>
      <x:c r="AA143" s="36" t="str">
        <x:v>TEST-2863</x:v>
      </x:c>
      <x:c r="AB143" s="36" t="str">
        <x:v>19941207</x:v>
      </x:c>
      <x:c r="AC143" s="36"/>
      <x:c r="AD143" s="36"/>
      <x:c r="AE143" s="36" t="str">
        <x:v>I</x:v>
      </x:c>
      <x:c r="AF143" s="36" t="str">
        <x:v>PB</x:v>
      </x:c>
      <x:c r="AG143" s="36" t="n">
        <x:v>1995</x:v>
      </x:c>
      <x:c r="AH143" s="36"/>
      <x:c r="AI143" s="36" t="str">
        <x:v>GF600000000002863</x:v>
      </x:c>
      <x:c r="AJ143" s="38" t="str">
        <x:v>{"kw":210,"vin":"GF600000000002863","brand":"BMW 740IA","fuel1":"1","fuel2":"0","fuel3":"0","plate":"TEST-2863","is_4wd":"0","gearbox":"Z","fab_code":"BW","group_no":"002261","model_no":"002261","body_code":"01","model_year":1995,"eu_category":"M1","vehicle_type":"PB","vehicle_year":1995,"vehicle_class":"I","registration_date":"19941207"}</x:v>
      </x:c>
    </x:row>
    <x:row r="144" ht="18" customHeight="1">
      <x:c r="A144" s="36" t="n">
        <x:v>2864</x:v>
      </x:c>
      <x:c r="B144" s="36" t="str">
        <x:v>normalization-review-passenger-250-v1-rules-20260805T184409855703Z</x:v>
      </x:c>
      <x:c r="C144" s="36" t="n">
        <x:v>46239.78067008102</x:v>
      </x:c>
      <x:c r="D144" s="38" t="str">
        <x:v>"2026-08-05T18:44:09.895308+00:00"</x:v>
      </x:c>
      <x:c r="E144" s="36"/>
      <x:c r="F144" s="36" t="str">
        <x:v>AB</x:v>
      </x:c>
      <x:c r="G144" s="36"/>
      <x:c r="H144" s="36" t="str">
        <x:v>PEUGEOT 207</x:v>
      </x:c>
      <x:c r="I144" s="36"/>
      <x:c r="J144" s="36" t="str">
        <x:v>201001</x:v>
      </x:c>
      <x:c r="K144" s="36" t="n">
        <x:v>1397</x:v>
      </x:c>
      <x:c r="L144" s="36" t="str">
        <x:v>M1</x:v>
      </x:c>
      <x:c r="M144" s="36"/>
      <x:c r="N144" s="36" t="str">
        <x:v>PG</x:v>
      </x:c>
      <x:c r="O144" s="36" t="str">
        <x:v>1</x:v>
      </x:c>
      <x:c r="P144" s="36" t="str">
        <x:v>0</x:v>
      </x:c>
      <x:c r="Q144" s="36" t="str">
        <x:v>0</x:v>
      </x:c>
      <x:c r="R144" s="36"/>
      <x:c r="S144" s="36" t="str">
        <x:v>M</x:v>
      </x:c>
      <x:c r="T144" s="36" t="str">
        <x:v>015162</x:v>
      </x:c>
      <x:c r="U144" s="36" t="str">
        <x:v>0</x:v>
      </x:c>
      <x:c r="V144" s="36" t="n">
        <x:v>70</x:v>
      </x:c>
      <x:c r="W144" s="36"/>
      <x:c r="X144" s="36" t="str">
        <x:v>207</x:v>
      </x:c>
      <x:c r="Y144" s="36"/>
      <x:c r="Z144" s="36"/>
      <x:c r="AA144" s="36" t="str">
        <x:v>TEST-2864</x:v>
      </x:c>
      <x:c r="AB144" s="36" t="str">
        <x:v>20100331</x:v>
      </x:c>
      <x:c r="AC144" s="36" t="str">
        <x:v>W*****</x:v>
      </x:c>
      <x:c r="AD144" s="36" t="str">
        <x:v>WC8FS*</x:v>
      </x:c>
      <x:c r="AE144" s="36" t="str">
        <x:v>I</x:v>
      </x:c>
      <x:c r="AF144" s="36" t="str">
        <x:v>PB</x:v>
      </x:c>
      <x:c r="AG144" s="36" t="n">
        <x:v>2010</x:v>
      </x:c>
      <x:c r="AH144" s="36" t="str">
        <x:v>WC8FSC/1</x:v>
      </x:c>
      <x:c r="AI144" s="36" t="str">
        <x:v>VF300000000002864</x:v>
      </x:c>
      <x:c r="AJ144" s="38" t="str">
        <x:v>{"kw":70,"ccm":1397,"vin":"VF300000000002864","brand":"PEUGEOT 207","fuel1":"1","fuel2":"0","fuel3":"0","model":"207","plate":"TEST-2864","is_4wd":"0","gearbox":"M","variant":"WC8FS*","version":"WC8FSC/1","fab_code":"PG","group_no":"015162","body_code":"AB","type_text":"W*****","build_month":"201001","eu_category":"M1","vehicle_type":"PB","vehicle_year":2010,"vehicle_class":"I","registration_date":"20100331"}</x:v>
      </x:c>
    </x:row>
    <x:row r="145" ht="18" customHeight="1">
      <x:c r="A145" s="36" t="n">
        <x:v>2865</x:v>
      </x:c>
      <x:c r="B145" s="36" t="str">
        <x:v>normalization-review-passenger-250-v1-rules-20260805T184409855703Z</x:v>
      </x:c>
      <x:c r="C145" s="36" t="n">
        <x:v>46239.78067008102</x:v>
      </x:c>
      <x:c r="D145" s="38" t="str">
        <x:v>"2026-08-05T18:44:09.895308+00:00"</x:v>
      </x:c>
      <x:c r="E145" s="36"/>
      <x:c r="F145" s="36" t="str">
        <x:v>01</x:v>
      </x:c>
      <x:c r="G145" s="36"/>
      <x:c r="H145" s="36" t="str">
        <x:v>JAGUAR MARK II 2 4 LITER</x:v>
      </x:c>
      <x:c r="I145" s="36"/>
      <x:c r="J145" s="36"/>
      <x:c r="K145" s="36"/>
      <x:c r="L145" s="36" t="str">
        <x:v>M1</x:v>
      </x:c>
      <x:c r="M145" s="36"/>
      <x:c r="N145" s="36" t="str">
        <x:v>JA</x:v>
      </x:c>
      <x:c r="O145" s="36" t="str">
        <x:v>1</x:v>
      </x:c>
      <x:c r="P145" s="36" t="str">
        <x:v>0</x:v>
      </x:c>
      <x:c r="Q145" s="36" t="str">
        <x:v>0</x:v>
      </x:c>
      <x:c r="R145" s="36"/>
      <x:c r="S145" s="36" t="str">
        <x:v>M</x:v>
      </x:c>
      <x:c r="T145" s="36" t="str">
        <x:v>000209</x:v>
      </x:c>
      <x:c r="U145" s="36" t="str">
        <x:v>0</x:v>
      </x:c>
      <x:c r="V145" s="36" t="n">
        <x:v>88</x:v>
      </x:c>
      <x:c r="W145" s="36"/>
      <x:c r="X145" s="36"/>
      <x:c r="Y145" s="36" t="str">
        <x:v>000209</x:v>
      </x:c>
      <x:c r="Z145" s="36" t="n">
        <x:v>1961</x:v>
      </x:c>
      <x:c r="AA145" s="36" t="str">
        <x:v>TEST-2865</x:v>
      </x:c>
      <x:c r="AB145" s="36" t="str">
        <x:v>19610101</x:v>
      </x:c>
      <x:c r="AC145" s="36"/>
      <x:c r="AD145" s="36"/>
      <x:c r="AE145" s="36" t="str">
        <x:v>I</x:v>
      </x:c>
      <x:c r="AF145" s="36" t="str">
        <x:v>PB</x:v>
      </x:c>
      <x:c r="AG145" s="36" t="n">
        <x:v>1961</x:v>
      </x:c>
      <x:c r="AH145" s="36"/>
      <x:c r="AI145" s="36" t="str">
        <x:v>12600000000002865</x:v>
      </x:c>
      <x:c r="AJ145" s="38" t="str">
        <x:v>{"kw":88,"vin":"12600000000002865","brand":"JAGUAR MARK II 2 4 LITER","fuel1":"1","fuel2":"0","fuel3":"0","plate":"TEST-2865","is_4wd":"0","gearbox":"M","fab_code":"JA","group_no":"000209","model_no":"000209","body_code":"01","model_year":1961,"eu_category":"M1","vehicle_type":"PB","vehicle_year":1961,"vehicle_class":"I","registration_date":"19610101"}</x:v>
      </x:c>
    </x:row>
    <x:row r="146" ht="18" customHeight="1">
      <x:c r="A146" s="36" t="n">
        <x:v>2866</x:v>
      </x:c>
      <x:c r="B146" s="36" t="str">
        <x:v>normalization-review-passenger-250-v1-rules-20260805T184409855703Z</x:v>
      </x:c>
      <x:c r="C146" s="36" t="n">
        <x:v>46239.78067008102</x:v>
      </x:c>
      <x:c r="D146" s="38" t="str">
        <x:v>"2026-08-05T18:44:09.895308+00:00"</x:v>
      </x:c>
      <x:c r="E146" s="36"/>
      <x:c r="F146" s="36" t="str">
        <x:v>01</x:v>
      </x:c>
      <x:c r="G146" s="36"/>
      <x:c r="H146" s="36" t="str">
        <x:v>BMW 523IA</x:v>
      </x:c>
      <x:c r="I146" s="36"/>
      <x:c r="J146" s="36"/>
      <x:c r="K146" s="36"/>
      <x:c r="L146" s="36" t="str">
        <x:v>M1</x:v>
      </x:c>
      <x:c r="M146" s="36"/>
      <x:c r="N146" s="36" t="str">
        <x:v>BW</x:v>
      </x:c>
      <x:c r="O146" s="36" t="str">
        <x:v>1</x:v>
      </x:c>
      <x:c r="P146" s="36" t="str">
        <x:v>0</x:v>
      </x:c>
      <x:c r="Q146" s="36" t="str">
        <x:v>0</x:v>
      </x:c>
      <x:c r="R146" s="36"/>
      <x:c r="S146" s="36" t="str">
        <x:v>A</x:v>
      </x:c>
      <x:c r="T146" s="36" t="str">
        <x:v>012804</x:v>
      </x:c>
      <x:c r="U146" s="36" t="str">
        <x:v>0</x:v>
      </x:c>
      <x:c r="V146" s="36" t="n">
        <x:v>125</x:v>
      </x:c>
      <x:c r="W146" s="36"/>
      <x:c r="X146" s="36"/>
      <x:c r="Y146" s="36"/>
      <x:c r="Z146" s="36" t="n">
        <x:v>1997</x:v>
      </x:c>
      <x:c r="AA146" s="36" t="str">
        <x:v>TEST-2866</x:v>
      </x:c>
      <x:c r="AB146" s="36" t="str">
        <x:v>19970110</x:v>
      </x:c>
      <x:c r="AC146" s="36"/>
      <x:c r="AD146" s="36" t="str">
        <x:v>DD41</x:v>
      </x:c>
      <x:c r="AE146" s="36" t="str">
        <x:v>I</x:v>
      </x:c>
      <x:c r="AF146" s="36" t="str">
        <x:v>PB</x:v>
      </x:c>
      <x:c r="AG146" s="36" t="n">
        <x:v>1997</x:v>
      </x:c>
      <x:c r="AH146" s="36" t="str">
        <x:v>01</x:v>
      </x:c>
      <x:c r="AI146" s="36" t="str">
        <x:v>DD400000000002866</x:v>
      </x:c>
      <x:c r="AJ146" s="38" t="str">
        <x:v>{"kw":125,"vin":"DD400000000002866","brand":"BMW 523IA","fuel1":"1","fuel2":"0","fuel3":"0","plate":"TEST-2866","is_4wd":"0","gearbox":"A","variant":"DD41","version":"01","fab_code":"BW","group_no":"012804","body_code":"01","model_year":1997,"eu_category":"M1","vehicle_type":"PB","vehicle_year":1997,"vehicle_class":"I","registration_date":"19970110"}</x:v>
      </x:c>
    </x:row>
    <x:row r="147" ht="18" customHeight="1">
      <x:c r="A147" s="36" t="n">
        <x:v>2867</x:v>
      </x:c>
      <x:c r="B147" s="36" t="str">
        <x:v>normalization-review-passenger-250-v1-rules-20260805T184409855703Z</x:v>
      </x:c>
      <x:c r="C147" s="36" t="n">
        <x:v>46239.78067008102</x:v>
      </x:c>
      <x:c r="D147" s="38" t="str">
        <x:v>"2026-08-05T18:44:09.895308+00:00"</x:v>
      </x:c>
      <x:c r="E147" s="36"/>
      <x:c r="F147" s="36" t="str">
        <x:v>AB</x:v>
      </x:c>
      <x:c r="G147" s="36"/>
      <x:c r="H147" s="36" t="str">
        <x:v>MITSUBISHI Z30</x:v>
      </x:c>
      <x:c r="I147" s="36"/>
      <x:c r="J147" s="36" t="str">
        <x:v>201207</x:v>
      </x:c>
      <x:c r="K147" s="36" t="n">
        <x:v>1332</x:v>
      </x:c>
      <x:c r="L147" s="36" t="str">
        <x:v>M1</x:v>
      </x:c>
      <x:c r="M147" s="36"/>
      <x:c r="N147" s="36" t="str">
        <x:v>MH</x:v>
      </x:c>
      <x:c r="O147" s="36" t="str">
        <x:v>1</x:v>
      </x:c>
      <x:c r="P147" s="36" t="str">
        <x:v>0</x:v>
      </x:c>
      <x:c r="Q147" s="36" t="str">
        <x:v>0</x:v>
      </x:c>
      <x:c r="R147" s="36"/>
      <x:c r="S147" s="36" t="str">
        <x:v>M</x:v>
      </x:c>
      <x:c r="T147" s="36" t="str">
        <x:v>023041</x:v>
      </x:c>
      <x:c r="U147" s="36" t="str">
        <x:v>0</x:v>
      </x:c>
      <x:c r="V147" s="36" t="n">
        <x:v>70</x:v>
      </x:c>
      <x:c r="W147" s="36"/>
      <x:c r="X147" s="36" t="str">
        <x:v>MITSUBISHI COLT</x:v>
      </x:c>
      <x:c r="Y147" s="36"/>
      <x:c r="Z147" s="36"/>
      <x:c r="AA147" s="36" t="str">
        <x:v>TEST-2867</x:v>
      </x:c>
      <x:c r="AB147" s="36" t="str">
        <x:v>20120918</x:v>
      </x:c>
      <x:c r="AC147" s="36" t="str">
        <x:v>Z30</x:v>
      </x:c>
      <x:c r="AD147" s="36" t="str">
        <x:v>Z3311</x:v>
      </x:c>
      <x:c r="AE147" s="36" t="str">
        <x:v>I</x:v>
      </x:c>
      <x:c r="AF147" s="36" t="str">
        <x:v>PB</x:v>
      </x:c>
      <x:c r="AG147" s="36" t="n">
        <x:v>2012</x:v>
      </x:c>
      <x:c r="AH147" s="36" t="str">
        <x:v>APMPA5B5EAAA</x:v>
      </x:c>
      <x:c r="AI147" s="36" t="str">
        <x:v>XMC00000000002867</x:v>
      </x:c>
      <x:c r="AJ147" s="38" t="str">
        <x:v>{"kw":70,"ccm":1332,"vin":"XMC00000000002867","brand":"MITSUBISHI Z30","fuel1":"1","fuel2":"0","fuel3":"0","model":"MITSUBISHI COLT","plate":"TEST-2867","is_4wd":"0","gearbox":"M","variant":"Z3311","version":"APMPA5B5EAAA","fab_code":"MH","group_no":"023041","body_code":"AB","type_text":"Z30","build_month":"201207","eu_category":"M1","vehicle_type":"PB","vehicle_year":2012,"vehicle_class":"I","registration_date":"20120918"}</x:v>
      </x:c>
    </x:row>
    <x:row r="148" ht="18" customHeight="1">
      <x:c r="A148" s="36" t="n">
        <x:v>2868</x:v>
      </x:c>
      <x:c r="B148" s="36" t="str">
        <x:v>normalization-review-passenger-250-v1-rules-20260805T184409855703Z</x:v>
      </x:c>
      <x:c r="C148" s="36" t="n">
        <x:v>46239.78067008102</x:v>
      </x:c>
      <x:c r="D148" s="38" t="str">
        <x:v>"2026-08-05T18:44:09.895308+00:00"</x:v>
      </x:c>
      <x:c r="E148" s="36"/>
      <x:c r="F148" s="36" t="str">
        <x:v>AC</x:v>
      </x:c>
      <x:c r="G148" s="36"/>
      <x:c r="H148" s="36" t="str">
        <x:v>SAAB 9-5 VECTOR</x:v>
      </x:c>
      <x:c r="I148" s="36"/>
      <x:c r="J148" s="36" t="str">
        <x:v>200710</x:v>
      </x:c>
      <x:c r="K148" s="36" t="n">
        <x:v>2290</x:v>
      </x:c>
      <x:c r="L148" s="36" t="str">
        <x:v>M1</x:v>
      </x:c>
      <x:c r="M148" s="36"/>
      <x:c r="N148" s="36" t="str">
        <x:v>SA</x:v>
      </x:c>
      <x:c r="O148" s="36" t="str">
        <x:v>1</x:v>
      </x:c>
      <x:c r="P148" s="36" t="str">
        <x:v>7</x:v>
      </x:c>
      <x:c r="Q148" s="36" t="str">
        <x:v>0</x:v>
      </x:c>
      <x:c r="R148" s="36"/>
      <x:c r="S148" s="36" t="str">
        <x:v>M</x:v>
      </x:c>
      <x:c r="T148" s="36" t="str">
        <x:v>038909</x:v>
      </x:c>
      <x:c r="U148" s="36" t="str">
        <x:v>0</x:v>
      </x:c>
      <x:c r="V148" s="36" t="n">
        <x:v>136</x:v>
      </x:c>
      <x:c r="W148" s="36"/>
      <x:c r="X148" s="36"/>
      <x:c r="Y148" s="36"/>
      <x:c r="Z148" s="36"/>
      <x:c r="AA148" s="36" t="str">
        <x:v>TEST-2868</x:v>
      </x:c>
      <x:c r="AB148" s="36" t="str">
        <x:v>20071203</x:v>
      </x:c>
      <x:c r="AC148" s="36" t="str">
        <x:v>YS3E</x:v>
      </x:c>
      <x:c r="AD148" s="36" t="str">
        <x:v>E5E/BP</x:v>
      </x:c>
      <x:c r="AE148" s="36" t="str">
        <x:v>I</x:v>
      </x:c>
      <x:c r="AF148" s="36" t="str">
        <x:v>PB</x:v>
      </x:c>
      <x:c r="AG148" s="36" t="n">
        <x:v>2007</x:v>
      </x:c>
      <x:c r="AH148" s="36" t="str">
        <x:v>M501</x:v>
      </x:c>
      <x:c r="AI148" s="36" t="str">
        <x:v>YS300000000002868</x:v>
      </x:c>
      <x:c r="AJ148" s="38" t="str">
        <x:v>{"kw":136,"ccm":2290,"vin":"YS300000000002868","brand":"SAAB 9-5 VECTOR","fuel1":"1","fuel2":"7","fuel3":"0","plate":"TEST-2868","is_4wd":"0","gearbox":"M","variant":"E5E/BP","version":"M501","fab_code":"SA","group_no":"038909","body_code":"AC","type_text":"YS3E","build_month":"200710","eu_category":"M1","vehicle_type":"PB","vehicle_year":2007,"vehicle_class":"I","registration_date":"20071203"}</x:v>
      </x:c>
    </x:row>
    <x:row r="149" ht="18" customHeight="1">
      <x:c r="A149" s="36" t="n">
        <x:v>2869</x:v>
      </x:c>
      <x:c r="B149" s="36" t="str">
        <x:v>normalization-review-passenger-250-v1-rules-20260805T184409855703Z</x:v>
      </x:c>
      <x:c r="C149" s="36" t="n">
        <x:v>46239.78067008102</x:v>
      </x:c>
      <x:c r="D149" s="38" t="str">
        <x:v>"2026-08-05T18:44:09.895308+00:00"</x:v>
      </x:c>
      <x:c r="E149" s="36"/>
      <x:c r="F149" s="36" t="str">
        <x:v>01</x:v>
      </x:c>
      <x:c r="G149" s="36"/>
      <x:c r="H149" s="36" t="str">
        <x:v>BUICK 4119 SPECIAL</x:v>
      </x:c>
      <x:c r="I149" s="36"/>
      <x:c r="J149" s="36"/>
      <x:c r="K149" s="36"/>
      <x:c r="L149" s="36" t="str">
        <x:v>M1</x:v>
      </x:c>
      <x:c r="M149" s="36"/>
      <x:c r="N149" s="36" t="str">
        <x:v>BU</x:v>
      </x:c>
      <x:c r="O149" s="36" t="str">
        <x:v>1</x:v>
      </x:c>
      <x:c r="P149" s="36" t="str">
        <x:v>0</x:v>
      </x:c>
      <x:c r="Q149" s="36" t="str">
        <x:v>0</x:v>
      </x:c>
      <x:c r="R149" s="36"/>
      <x:c r="S149" s="36" t="str">
        <x:v>A</x:v>
      </x:c>
      <x:c r="T149" s="36" t="str">
        <x:v>000101</x:v>
      </x:c>
      <x:c r="U149" s="36" t="str">
        <x:v>0</x:v>
      </x:c>
      <x:c r="V149" s="36" t="n">
        <x:v>77</x:v>
      </x:c>
      <x:c r="W149" s="36"/>
      <x:c r="X149" s="36"/>
      <x:c r="Y149" s="36" t="str">
        <x:v>000101</x:v>
      </x:c>
      <x:c r="Z149" s="36" t="n">
        <x:v>1961</x:v>
      </x:c>
      <x:c r="AA149" s="36" t="str">
        <x:v>TEST-2869</x:v>
      </x:c>
      <x:c r="AB149" s="36" t="str">
        <x:v>19610101</x:v>
      </x:c>
      <x:c r="AC149" s="36"/>
      <x:c r="AD149" s="36"/>
      <x:c r="AE149" s="36" t="str">
        <x:v>I</x:v>
      </x:c>
      <x:c r="AF149" s="36" t="str">
        <x:v>PB</x:v>
      </x:c>
      <x:c r="AG149" s="36" t="n">
        <x:v>1961</x:v>
      </x:c>
      <x:c r="AH149" s="36"/>
      <x:c r="AI149" s="36" t="str">
        <x:v>1H100000000002869</x:v>
      </x:c>
      <x:c r="AJ149" s="38" t="str">
        <x:v>{"kw":77,"vin":"1H100000000002869","brand":"BUICK 4119 SPECIAL","fuel1":"1","fuel2":"0","fuel3":"0","plate":"TEST-2869","is_4wd":"0","gearbox":"A","fab_code":"BU","group_no":"000101","model_no":"000101","body_code":"01","model_year":1961,"eu_category":"M1","vehicle_type":"PB","vehicle_year":1961,"vehicle_class":"I","registration_date":"19610101"}</x:v>
      </x:c>
    </x:row>
    <x:row r="150" ht="18" customHeight="1">
      <x:c r="A150" s="36" t="n">
        <x:v>2870</x:v>
      </x:c>
      <x:c r="B150" s="36" t="str">
        <x:v>normalization-review-passenger-250-v1-rules-20260805T184409855703Z</x:v>
      </x:c>
      <x:c r="C150" s="36" t="n">
        <x:v>46239.78067008102</x:v>
      </x:c>
      <x:c r="D150" s="38" t="str">
        <x:v>"2026-08-05T18:44:09.895308+00:00"</x:v>
      </x:c>
      <x:c r="E150" s="36"/>
      <x:c r="F150" s="36" t="str">
        <x:v>AC</x:v>
      </x:c>
      <x:c r="G150" s="36"/>
      <x:c r="H150" s="36" t="str">
        <x:v>VOLVO B + XC70</x:v>
      </x:c>
      <x:c r="I150" s="36"/>
      <x:c r="J150" s="36" t="str">
        <x:v>201103</x:v>
      </x:c>
      <x:c r="K150" s="36" t="n">
        <x:v>2400</x:v>
      </x:c>
      <x:c r="L150" s="36" t="str">
        <x:v>M1</x:v>
      </x:c>
      <x:c r="M150" s="36"/>
      <x:c r="N150" s="36" t="str">
        <x:v>VO</x:v>
      </x:c>
      <x:c r="O150" s="36" t="str">
        <x:v>2</x:v>
      </x:c>
      <x:c r="P150" s="36" t="str">
        <x:v>0</x:v>
      </x:c>
      <x:c r="Q150" s="36" t="str">
        <x:v>0</x:v>
      </x:c>
      <x:c r="R150" s="36"/>
      <x:c r="S150" s="36" t="str">
        <x:v>A</x:v>
      </x:c>
      <x:c r="T150" s="36" t="str">
        <x:v>011480</x:v>
      </x:c>
      <x:c r="U150" s="36" t="str">
        <x:v>1</x:v>
      </x:c>
      <x:c r="V150" s="36" t="n">
        <x:v>151</x:v>
      </x:c>
      <x:c r="W150" s="36"/>
      <x:c r="X150" s="36" t="str">
        <x:v>XC70</x:v>
      </x:c>
      <x:c r="Y150" s="36"/>
      <x:c r="Z150" s="36"/>
      <x:c r="AA150" s="36" t="str">
        <x:v>TEST-2870</x:v>
      </x:c>
      <x:c r="AB150" s="36" t="str">
        <x:v>20110408</x:v>
      </x:c>
      <x:c r="AC150" s="36" t="str">
        <x:v>B</x:v>
      </x:c>
      <x:c r="AD150" s="36" t="str">
        <x:v>BZ70</x:v>
      </x:c>
      <x:c r="AE150" s="36" t="str">
        <x:v>I</x:v>
      </x:c>
      <x:c r="AF150" s="36" t="str">
        <x:v>PB</x:v>
      </x:c>
      <x:c r="AG150" s="36" t="n">
        <x:v>2011</x:v>
      </x:c>
      <x:c r="AH150" s="36" t="str">
        <x:v>BZ7056??</x:v>
      </x:c>
      <x:c r="AI150" s="36" t="str">
        <x:v>YV100000000002870</x:v>
      </x:c>
      <x:c r="AJ150" s="38" t="str">
        <x:v>{"kw":151,"ccm":2400,"vin":"YV100000000002870","brand":"VOLVO B + XC70","fuel1":"2","fuel2":"0","fuel3":"0","model":"XC70","plate":"TEST-2870","is_4wd":"1","gearbox":"A","variant":"BZ70","version":"BZ7056??","fab_code":"VO","group_no":"011480","body_code":"AC","type_text":"B","build_month":"201103","eu_category":"M1","vehicle_type":"PB","vehicle_year":2011,"vehicle_class":"I","registration_date":"20110408"}</x:v>
      </x:c>
    </x:row>
    <x:row r="151" ht="18" customHeight="1">
      <x:c r="A151" s="36" t="n">
        <x:v>2871</x:v>
      </x:c>
      <x:c r="B151" s="36" t="str">
        <x:v>normalization-review-passenger-250-v1-rules-20260805T184409855703Z</x:v>
      </x:c>
      <x:c r="C151" s="36" t="n">
        <x:v>46239.78067008102</x:v>
      </x:c>
      <x:c r="D151" s="38" t="str">
        <x:v>"2026-08-05T18:44:09.895308+00:00"</x:v>
      </x:c>
      <x:c r="E151" s="36"/>
      <x:c r="F151" s="36" t="str">
        <x:v>AF</x:v>
      </x:c>
      <x:c r="G151" s="36"/>
      <x:c r="H151" s="36" t="str">
        <x:v>PEUGEOT 5008</x:v>
      </x:c>
      <x:c r="I151" s="36"/>
      <x:c r="J151" s="36" t="str">
        <x:v>201002</x:v>
      </x:c>
      <x:c r="K151" s="36" t="n">
        <x:v>1560</x:v>
      </x:c>
      <x:c r="L151" s="36" t="str">
        <x:v>M1</x:v>
      </x:c>
      <x:c r="M151" s="36"/>
      <x:c r="N151" s="36" t="str">
        <x:v>PG</x:v>
      </x:c>
      <x:c r="O151" s="36" t="str">
        <x:v>2</x:v>
      </x:c>
      <x:c r="P151" s="36" t="str">
        <x:v>0</x:v>
      </x:c>
      <x:c r="Q151" s="36" t="str">
        <x:v>0</x:v>
      </x:c>
      <x:c r="R151" s="36"/>
      <x:c r="S151" s="36" t="str">
        <x:v>A</x:v>
      </x:c>
      <x:c r="T151" s="36" t="str">
        <x:v>061007</x:v>
      </x:c>
      <x:c r="U151" s="36" t="str">
        <x:v>0</x:v>
      </x:c>
      <x:c r="V151" s="36" t="n">
        <x:v>80</x:v>
      </x:c>
      <x:c r="W151" s="36"/>
      <x:c r="X151" s="36" t="str">
        <x:v>5008</x:v>
      </x:c>
      <x:c r="Y151" s="36"/>
      <x:c r="Z151" s="36"/>
      <x:c r="AA151" s="36" t="str">
        <x:v>TEST-2871</x:v>
      </x:c>
      <x:c r="AB151" s="36" t="str">
        <x:v>20100623</x:v>
      </x:c>
      <x:c r="AC151" s="36" t="str">
        <x:v>0*****</x:v>
      </x:c>
      <x:c r="AD151" s="36" t="str">
        <x:v>0E9HZ*</x:v>
      </x:c>
      <x:c r="AE151" s="36" t="str">
        <x:v>I</x:v>
      </x:c>
      <x:c r="AF151" s="36" t="str">
        <x:v>PB</x:v>
      </x:c>
      <x:c r="AG151" s="36" t="n">
        <x:v>2010</x:v>
      </x:c>
      <x:c r="AH151" s="36" t="str">
        <x:v>0E9HZH/P</x:v>
      </x:c>
      <x:c r="AI151" s="36" t="str">
        <x:v>VF300000000002871</x:v>
      </x:c>
      <x:c r="AJ151" s="38" t="str">
        <x:v>{"kw":80,"ccm":1560,"vin":"VF300000000002871","brand":"PEUGEOT 5008","fuel1":"2","fuel2":"0","fuel3":"0","model":"5008","plate":"TEST-2871","is_4wd":"0","gearbox":"A","variant":"0E9HZ*","version":"0E9HZH/P","fab_code":"PG","group_no":"061007","body_code":"AF","type_text":"0*****","build_month":"201002","eu_category":"M1","vehicle_type":"PB","vehicle_year":2010,"vehicle_class":"I","registration_date":"20100623"}</x:v>
      </x:c>
    </x:row>
    <x:row r="152" ht="18" customHeight="1">
      <x:c r="A152" s="36" t="n">
        <x:v>2872</x:v>
      </x:c>
      <x:c r="B152" s="36" t="str">
        <x:v>normalization-review-passenger-250-v1-rules-20260805T184409855703Z</x:v>
      </x:c>
      <x:c r="C152" s="36" t="n">
        <x:v>46239.78067008102</x:v>
      </x:c>
      <x:c r="D152" s="38" t="str">
        <x:v>"2026-08-05T18:44:09.895308+00:00"</x:v>
      </x:c>
      <x:c r="E152" s="36"/>
      <x:c r="F152" s="36" t="str">
        <x:v>01</x:v>
      </x:c>
      <x:c r="G152" s="36"/>
      <x:c r="H152" s="36" t="str">
        <x:v>JAGUAR DAIMLER SOU</x:v>
      </x:c>
      <x:c r="I152" s="36"/>
      <x:c r="J152" s="36"/>
      <x:c r="K152" s="36"/>
      <x:c r="L152" s="36" t="str">
        <x:v>M1</x:v>
      </x:c>
      <x:c r="M152" s="36"/>
      <x:c r="N152" s="36" t="str">
        <x:v>JA</x:v>
      </x:c>
      <x:c r="O152" s="36" t="str">
        <x:v>1</x:v>
      </x:c>
      <x:c r="P152" s="36" t="str">
        <x:v>0</x:v>
      </x:c>
      <x:c r="Q152" s="36" t="str">
        <x:v>0</x:v>
      </x:c>
      <x:c r="R152" s="36"/>
      <x:c r="S152" s="36" t="str">
        <x:v>A</x:v>
      </x:c>
      <x:c r="T152" s="36"/>
      <x:c r="U152" s="36" t="str">
        <x:v>0</x:v>
      </x:c>
      <x:c r="V152" s="36" t="n">
        <x:v>126</x:v>
      </x:c>
      <x:c r="W152" s="36"/>
      <x:c r="X152" s="36"/>
      <x:c r="Y152" s="36"/>
      <x:c r="Z152" s="36" t="n">
        <x:v>1977</x:v>
      </x:c>
      <x:c r="AA152" s="36" t="str">
        <x:v>TEST-2872</x:v>
      </x:c>
      <x:c r="AB152" s="36" t="str">
        <x:v>19871009</x:v>
      </x:c>
      <x:c r="AC152" s="36"/>
      <x:c r="AD152" s="36"/>
      <x:c r="AE152" s="36" t="str">
        <x:v>I</x:v>
      </x:c>
      <x:c r="AF152" s="36" t="str">
        <x:v>PB</x:v>
      </x:c>
      <x:c r="AG152" s="36" t="n">
        <x:v>1977</x:v>
      </x:c>
      <x:c r="AH152" s="36"/>
      <x:c r="AI152" s="36" t="str">
        <x:v>2S500000000002872</x:v>
      </x:c>
      <x:c r="AJ152" s="38" t="str">
        <x:v>{"kw":126,"vin":"2S500000000002872","brand":"JAGUAR DAIMLER SOU","fuel1":"1","fuel2":"0","fuel3":"0","plate":"TEST-2872","is_4wd":"0","gearbox":"A","fab_code":"JA","body_code":"01","model_year":1977,"eu_category":"M1","vehicle_type":"PB","vehicle_year":1977,"vehicle_class":"I","registration_date":"19871009"}</x:v>
      </x:c>
    </x:row>
    <x:row r="153" ht="18" customHeight="1">
      <x:c r="A153" s="36" t="n">
        <x:v>2873</x:v>
      </x:c>
      <x:c r="B153" s="36" t="str">
        <x:v>normalization-review-passenger-250-v1-rules-20260805T184409855703Z</x:v>
      </x:c>
      <x:c r="C153" s="36" t="n">
        <x:v>46239.78067008102</x:v>
      </x:c>
      <x:c r="D153" s="38" t="str">
        <x:v>"2026-08-05T18:44:09.895308+00:00"</x:v>
      </x:c>
      <x:c r="E153" s="36"/>
      <x:c r="F153" s="36" t="str">
        <x:v>AC</x:v>
      </x:c>
      <x:c r="G153" s="36"/>
      <x:c r="H153" s="36" t="str">
        <x:v>DACIA</x:v>
      </x:c>
      <x:c r="I153" s="36"/>
      <x:c r="J153" s="36" t="str">
        <x:v>202005</x:v>
      </x:c>
      <x:c r="K153" s="36" t="n">
        <x:v>1332</x:v>
      </x:c>
      <x:c r="L153" s="36" t="str">
        <x:v>M1</x:v>
      </x:c>
      <x:c r="M153" s="36"/>
      <x:c r="N153" s="36" t="str">
        <x:v>DQ</x:v>
      </x:c>
      <x:c r="O153" s="36" t="str">
        <x:v>1</x:v>
      </x:c>
      <x:c r="P153" s="36" t="str">
        <x:v>0</x:v>
      </x:c>
      <x:c r="Q153" s="36" t="str">
        <x:v>0</x:v>
      </x:c>
      <x:c r="R153" s="36"/>
      <x:c r="S153" s="36"/>
      <x:c r="T153" s="36" t="str">
        <x:v>033043</x:v>
      </x:c>
      <x:c r="U153" s="36" t="str">
        <x:v>0</x:v>
      </x:c>
      <x:c r="V153" s="36" t="n">
        <x:v>96</x:v>
      </x:c>
      <x:c r="W153" s="36" t="str">
        <x:v>RENAULT S.A.S.</x:v>
      </x:c>
      <x:c r="X153" s="36" t="str">
        <x:v>DUSTER</x:v>
      </x:c>
      <x:c r="Y153" s="36"/>
      <x:c r="Z153" s="36"/>
      <x:c r="AA153" s="36" t="str">
        <x:v>TEST-2873</x:v>
      </x:c>
      <x:c r="AB153" s="36" t="str">
        <x:v>20200713</x:v>
      </x:c>
      <x:c r="AC153" s="36" t="str">
        <x:v>SR</x:v>
      </x:c>
      <x:c r="AD153" s="36" t="str">
        <x:v>DHE2</x:v>
      </x:c>
      <x:c r="AE153" s="36" t="str">
        <x:v>I</x:v>
      </x:c>
      <x:c r="AF153" s="36" t="str">
        <x:v>PB</x:v>
      </x:c>
      <x:c r="AG153" s="36" t="n">
        <x:v>2020</x:v>
      </x:c>
      <x:c r="AH153" s="36" t="str">
        <x:v>MF6DA1J0M02E</x:v>
      </x:c>
      <x:c r="AI153" s="36" t="str">
        <x:v>VF100000000002873</x:v>
      </x:c>
      <x:c r="AJ153" s="38" t="str">
        <x:v>{"kw":96,"ccm":1332,"vin":"VF100000000002873","brand":"DACIA","fuel1":"1","fuel2":"0","fuel3":"0","model":"DUSTER","plate":"TEST-2873","is_4wd":"0","variant":"DHE2","version":"MF6DA1J0M02E","fab_code":"DQ","group_no":"033043","body_code":"AC","type_text":"SR","build_month":"202005","eu_category":"M1","manufacturer":"RENAULT S.A.S.","vehicle_type":"PB","vehicle_year":2020,"vehicle_class":"I","registration_date":"20200713"}</x:v>
      </x:c>
    </x:row>
    <x:row r="154" ht="18" customHeight="1">
      <x:c r="A154" s="36" t="n">
        <x:v>2874</x:v>
      </x:c>
      <x:c r="B154" s="36" t="str">
        <x:v>normalization-review-passenger-250-v1-rules-20260805T184409855703Z</x:v>
      </x:c>
      <x:c r="C154" s="36" t="n">
        <x:v>46239.78067008102</x:v>
      </x:c>
      <x:c r="D154" s="38" t="str">
        <x:v>"2026-08-05T18:44:09.895308+00:00"</x:v>
      </x:c>
      <x:c r="E154" s="36"/>
      <x:c r="F154" s="36" t="str">
        <x:v>AB</x:v>
      </x:c>
      <x:c r="G154" s="36"/>
      <x:c r="H154" s="36" t="str">
        <x:v>FORD DA3    FOCUS</x:v>
      </x:c>
      <x:c r="I154" s="36"/>
      <x:c r="J154" s="36" t="str">
        <x:v>200801</x:v>
      </x:c>
      <x:c r="K154" s="36" t="n">
        <x:v>1798</x:v>
      </x:c>
      <x:c r="L154" s="36" t="str">
        <x:v>M1</x:v>
      </x:c>
      <x:c r="M154" s="36"/>
      <x:c r="N154" s="36" t="str">
        <x:v>FO</x:v>
      </x:c>
      <x:c r="O154" s="36" t="str">
        <x:v>1</x:v>
      </x:c>
      <x:c r="P154" s="36" t="str">
        <x:v>7</x:v>
      </x:c>
      <x:c r="Q154" s="36" t="str">
        <x:v>0</x:v>
      </x:c>
      <x:c r="R154" s="36"/>
      <x:c r="S154" s="36" t="str">
        <x:v>M</x:v>
      </x:c>
      <x:c r="T154" s="36" t="str">
        <x:v>017501</x:v>
      </x:c>
      <x:c r="U154" s="36" t="str">
        <x:v>0</x:v>
      </x:c>
      <x:c r="V154" s="36" t="n">
        <x:v>92</x:v>
      </x:c>
      <x:c r="W154" s="36"/>
      <x:c r="X154" s="36"/>
      <x:c r="Y154" s="36"/>
      <x:c r="Z154" s="36"/>
      <x:c r="AA154" s="36" t="str">
        <x:v>TEST-2874</x:v>
      </x:c>
      <x:c r="AB154" s="36" t="str">
        <x:v>20080829</x:v>
      </x:c>
      <x:c r="AC154" s="36" t="str">
        <x:v>DA3</x:v>
      </x:c>
      <x:c r="AD154" s="36" t="str">
        <x:v>Q7DA1P</x:v>
      </x:c>
      <x:c r="AE154" s="36" t="str">
        <x:v>I</x:v>
      </x:c>
      <x:c r="AF154" s="36" t="str">
        <x:v>PB</x:v>
      </x:c>
      <x:c r="AG154" s="36" t="n">
        <x:v>2008</x:v>
      </x:c>
      <x:c r="AH154" s="36" t="str">
        <x:v>5ABAMJ</x:v>
      </x:c>
      <x:c r="AI154" s="36" t="str">
        <x:v>WF000000000002874</x:v>
      </x:c>
      <x:c r="AJ154" s="38" t="str">
        <x:v>{"kw":92,"ccm":1798,"vin":"WF000000000002874","brand":"FORD DA3    FOCUS","fuel1":"1","fuel2":"7","fuel3":"0","plate":"TEST-2874","is_4wd":"0","gearbox":"M","variant":"Q7DA1P","version":"5ABAMJ","fab_code":"FO","group_no":"017501","body_code":"AB","type_text":"DA3","build_month":"200801","eu_category":"M1","vehicle_type":"PB","vehicle_year":2008,"vehicle_class":"I","registration_date":"20080829"}</x:v>
      </x:c>
    </x:row>
    <x:row r="155" ht="18" customHeight="1">
      <x:c r="A155" s="36" t="n">
        <x:v>2875</x:v>
      </x:c>
      <x:c r="B155" s="36" t="str">
        <x:v>normalization-review-passenger-250-v1-rules-20260805T184409855703Z</x:v>
      </x:c>
      <x:c r="C155" s="36" t="n">
        <x:v>46239.78067008102</x:v>
      </x:c>
      <x:c r="D155" s="38" t="str">
        <x:v>"2026-08-05T18:44:09.895308+00:00"</x:v>
      </x:c>
      <x:c r="E155" s="36"/>
      <x:c r="F155" s="36" t="str">
        <x:v>01</x:v>
      </x:c>
      <x:c r="G155" s="36"/>
      <x:c r="H155" s="36" t="str">
        <x:v>FORD TAUNUS 1600 XL</x:v>
      </x:c>
      <x:c r="I155" s="36"/>
      <x:c r="J155" s="36"/>
      <x:c r="K155" s="36"/>
      <x:c r="L155" s="36" t="str">
        <x:v>M1</x:v>
      </x:c>
      <x:c r="M155" s="36"/>
      <x:c r="N155" s="36" t="str">
        <x:v>FO</x:v>
      </x:c>
      <x:c r="O155" s="36" t="str">
        <x:v>1</x:v>
      </x:c>
      <x:c r="P155" s="36" t="str">
        <x:v>0</x:v>
      </x:c>
      <x:c r="Q155" s="36" t="str">
        <x:v>0</x:v>
      </x:c>
      <x:c r="R155" s="36"/>
      <x:c r="S155" s="36" t="str">
        <x:v>M</x:v>
      </x:c>
      <x:c r="T155" s="36" t="str">
        <x:v>003205</x:v>
      </x:c>
      <x:c r="U155" s="36" t="str">
        <x:v>0</x:v>
      </x:c>
      <x:c r="V155" s="36" t="n">
        <x:v>53</x:v>
      </x:c>
      <x:c r="W155" s="36"/>
      <x:c r="X155" s="36"/>
      <x:c r="Y155" s="36" t="str">
        <x:v>003205</x:v>
      </x:c>
      <x:c r="Z155" s="36" t="n">
        <x:v>1971</x:v>
      </x:c>
      <x:c r="AA155" s="36" t="str">
        <x:v>TEST-2875</x:v>
      </x:c>
      <x:c r="AB155" s="36" t="str">
        <x:v>19710209</x:v>
      </x:c>
      <x:c r="AC155" s="36"/>
      <x:c r="AD155" s="36"/>
      <x:c r="AE155" s="36" t="str">
        <x:v>I</x:v>
      </x:c>
      <x:c r="AF155" s="36" t="str">
        <x:v>PB</x:v>
      </x:c>
      <x:c r="AG155" s="36" t="n">
        <x:v>1971</x:v>
      </x:c>
      <x:c r="AH155" s="36"/>
      <x:c r="AI155" s="36" t="str">
        <x:v>GBB00000000002875</x:v>
      </x:c>
      <x:c r="AJ155" s="38" t="str">
        <x:v>{"kw":53,"vin":"GBB00000000002875","brand":"FORD TAUNUS 1600 XL","fuel1":"1","fuel2":"0","fuel3":"0","plate":"TEST-2875","is_4wd":"0","gearbox":"M","fab_code":"FO","group_no":"003205","model_no":"003205","body_code":"01","model_year":1971,"eu_category":"M1","vehicle_type":"PB","vehicle_year":1971,"vehicle_class":"I","registration_date":"19710209"}</x:v>
      </x:c>
    </x:row>
    <x:row r="156" ht="18" customHeight="1">
      <x:c r="A156" s="36" t="n">
        <x:v>2876</x:v>
      </x:c>
      <x:c r="B156" s="36" t="str">
        <x:v>normalization-review-passenger-250-v1-rules-20260805T184409855703Z</x:v>
      </x:c>
      <x:c r="C156" s="36" t="n">
        <x:v>46239.78067008102</x:v>
      </x:c>
      <x:c r="D156" s="38" t="str">
        <x:v>"2026-08-05T18:44:09.895308+00:00"</x:v>
      </x:c>
      <x:c r="E156" s="36"/>
      <x:c r="F156" s="36" t="str">
        <x:v>05</x:v>
      </x:c>
      <x:c r="G156" s="36"/>
      <x:c r="H156" s="36" t="str">
        <x:v>BMW 330 XD</x:v>
      </x:c>
      <x:c r="I156" s="36"/>
      <x:c r="J156" s="36"/>
      <x:c r="K156" s="36"/>
      <x:c r="L156" s="36" t="str">
        <x:v>M1</x:v>
      </x:c>
      <x:c r="M156" s="36"/>
      <x:c r="N156" s="36" t="str">
        <x:v>BW</x:v>
      </x:c>
      <x:c r="O156" s="36" t="str">
        <x:v>2</x:v>
      </x:c>
      <x:c r="P156" s="36" t="str">
        <x:v>0</x:v>
      </x:c>
      <x:c r="Q156" s="36" t="str">
        <x:v>0</x:v>
      </x:c>
      <x:c r="R156" s="36"/>
      <x:c r="S156" s="36" t="str">
        <x:v>A</x:v>
      </x:c>
      <x:c r="T156" s="36" t="str">
        <x:v>010000</x:v>
      </x:c>
      <x:c r="U156" s="36" t="str">
        <x:v>1</x:v>
      </x:c>
      <x:c r="V156" s="36" t="n">
        <x:v>135</x:v>
      </x:c>
      <x:c r="W156" s="36"/>
      <x:c r="X156" s="36"/>
      <x:c r="Y156" s="36"/>
      <x:c r="Z156" s="36"/>
      <x:c r="AA156" s="36" t="str">
        <x:v>TEST-2876</x:v>
      </x:c>
      <x:c r="AB156" s="36" t="str">
        <x:v>20071017</x:v>
      </x:c>
      <x:c r="AC156" s="36" t="str">
        <x:v>346X</x:v>
      </x:c>
      <x:c r="AD156" s="36"/>
      <x:c r="AE156" s="36" t="str">
        <x:v>I</x:v>
      </x:c>
      <x:c r="AF156" s="36" t="str">
        <x:v>PB</x:v>
      </x:c>
      <x:c r="AG156" s="36" t="n">
        <x:v>2001</x:v>
      </x:c>
      <x:c r="AH156" s="36"/>
      <x:c r="AI156" s="36" t="str">
        <x:v>WBA00000000002876</x:v>
      </x:c>
      <x:c r="AJ156" s="38" t="str">
        <x:v>{"kw":135,"vin":"WBA00000000002876","brand":"BMW 330 XD","fuel1":"2","fuel2":"0","fuel3":"0","plate":"TEST-2876","is_4wd":"1","gearbox":"A","fab_code":"BW","group_no":"010000","body_code":"05","type_text":"346X","eu_category":"M1","vehicle_type":"PB","vehicle_year":2001,"vehicle_class":"I","registration_date":"20071017"}</x:v>
      </x:c>
    </x:row>
    <x:row r="157" ht="18" customHeight="1">
      <x:c r="A157" s="36" t="n">
        <x:v>2877</x:v>
      </x:c>
      <x:c r="B157" s="36" t="str">
        <x:v>normalization-review-passenger-250-v1-rules-20260805T184409855703Z</x:v>
      </x:c>
      <x:c r="C157" s="36" t="n">
        <x:v>46239.78067008102</x:v>
      </x:c>
      <x:c r="D157" s="38" t="str">
        <x:v>"2026-08-05T18:44:09.895308+00:00"</x:v>
      </x:c>
      <x:c r="E157" s="36"/>
      <x:c r="F157" s="36" t="str">
        <x:v>03</x:v>
      </x:c>
      <x:c r="G157" s="36"/>
      <x:c r="H157" s="36" t="str">
        <x:v>SAAB 9-5 SE KOMBI 2.0T</x:v>
      </x:c>
      <x:c r="I157" s="36"/>
      <x:c r="J157" s="36" t="str">
        <x:v>199905</x:v>
      </x:c>
      <x:c r="K157" s="36"/>
      <x:c r="L157" s="36" t="str">
        <x:v>M1</x:v>
      </x:c>
      <x:c r="M157" s="36"/>
      <x:c r="N157" s="36" t="str">
        <x:v>SA</x:v>
      </x:c>
      <x:c r="O157" s="36" t="str">
        <x:v>1</x:v>
      </x:c>
      <x:c r="P157" s="36" t="str">
        <x:v>0</x:v>
      </x:c>
      <x:c r="Q157" s="36" t="str">
        <x:v>0</x:v>
      </x:c>
      <x:c r="R157" s="36"/>
      <x:c r="S157" s="36" t="str">
        <x:v>A</x:v>
      </x:c>
      <x:c r="T157" s="36" t="str">
        <x:v>030403</x:v>
      </x:c>
      <x:c r="U157" s="36" t="str">
        <x:v>0</x:v>
      </x:c>
      <x:c r="V157" s="36" t="n">
        <x:v>110</x:v>
      </x:c>
      <x:c r="W157" s="36"/>
      <x:c r="X157" s="36"/>
      <x:c r="Y157" s="36"/>
      <x:c r="Z157" s="36"/>
      <x:c r="AA157" s="36" t="str">
        <x:v>TEST-2877</x:v>
      </x:c>
      <x:c r="AB157" s="36" t="str">
        <x:v>19990615</x:v>
      </x:c>
      <x:c r="AC157" s="36"/>
      <x:c r="AD157" s="36" t="str">
        <x:v>E5C</x:v>
      </x:c>
      <x:c r="AE157" s="36" t="str">
        <x:v>I</x:v>
      </x:c>
      <x:c r="AF157" s="36" t="str">
        <x:v>PB</x:v>
      </x:c>
      <x:c r="AG157" s="36" t="n">
        <x:v>1999</x:v>
      </x:c>
      <x:c r="AH157" s="36" t="str">
        <x:v>A01</x:v>
      </x:c>
      <x:c r="AI157" s="36" t="str">
        <x:v>YS300000000002877</x:v>
      </x:c>
      <x:c r="AJ157" s="38" t="str">
        <x:v>{"kw":110,"vin":"YS300000000002877","brand":"SAAB 9-5 SE KOMBI 2.0T","fuel1":"1","fuel2":"0","fuel3":"0","plate":"TEST-2877","is_4wd":"0","gearbox":"A","variant":"E5C","version":"A01","fab_code":"SA","group_no":"030403","body_code":"03","build_month":"199905","eu_category":"M1","vehicle_type":"PB","vehicle_year":1999,"vehicle_class":"I","registration_date":"19990615"}</x:v>
      </x:c>
    </x:row>
    <x:row r="158" ht="18" customHeight="1">
      <x:c r="A158" s="36" t="n">
        <x:v>2878</x:v>
      </x:c>
      <x:c r="B158" s="36" t="str">
        <x:v>normalization-review-passenger-250-v1-rules-20260805T184409855703Z</x:v>
      </x:c>
      <x:c r="C158" s="36" t="n">
        <x:v>46239.78067008102</x:v>
      </x:c>
      <x:c r="D158" s="38" t="str">
        <x:v>"2026-08-05T18:44:09.895308+00:00"</x:v>
      </x:c>
      <x:c r="E158" s="36"/>
      <x:c r="F158" s="36" t="str">
        <x:v>AC</x:v>
      </x:c>
      <x:c r="G158" s="36"/>
      <x:c r="H158" s="36" t="str">
        <x:v>VOLVO</x:v>
      </x:c>
      <x:c r="I158" s="36"/>
      <x:c r="J158" s="36" t="str">
        <x:v>201712</x:v>
      </x:c>
      <x:c r="K158" s="36" t="n">
        <x:v>1969</x:v>
      </x:c>
      <x:c r="L158" s="36" t="str">
        <x:v>M1G</x:v>
      </x:c>
      <x:c r="M158" s="36"/>
      <x:c r="N158" s="36" t="str">
        <x:v>VO</x:v>
      </x:c>
      <x:c r="O158" s="36" t="str">
        <x:v>2</x:v>
      </x:c>
      <x:c r="P158" s="36" t="str">
        <x:v>0</x:v>
      </x:c>
      <x:c r="Q158" s="36" t="str">
        <x:v>0</x:v>
      </x:c>
      <x:c r="R158" s="36"/>
      <x:c r="S158" s="36" t="str">
        <x:v>A</x:v>
      </x:c>
      <x:c r="T158" s="36" t="str">
        <x:v>018201</x:v>
      </x:c>
      <x:c r="U158" s="36" t="str">
        <x:v>1</x:v>
      </x:c>
      <x:c r="V158" s="36" t="n">
        <x:v>140</x:v>
      </x:c>
      <x:c r="W158" s="36"/>
      <x:c r="X158" s="36" t="str">
        <x:v>XC40</x:v>
      </x:c>
      <x:c r="Y158" s="36"/>
      <x:c r="Z158" s="36"/>
      <x:c r="AA158" s="36" t="str">
        <x:v>TEST-2878</x:v>
      </x:c>
      <x:c r="AB158" s="36" t="str">
        <x:v>20180919</x:v>
      </x:c>
      <x:c r="AC158" s="36" t="str">
        <x:v>X</x:v>
      </x:c>
      <x:c r="AD158" s="36" t="str">
        <x:v>XZA6</x:v>
      </x:c>
      <x:c r="AE158" s="36" t="str">
        <x:v>I</x:v>
      </x:c>
      <x:c r="AF158" s="36" t="str">
        <x:v>PB</x:v>
      </x:c>
      <x:c r="AG158" s="36" t="n">
        <x:v>2017</x:v>
      </x:c>
      <x:c r="AH158" s="36" t="str">
        <x:v>XZA6BC??</x:v>
      </x:c>
      <x:c r="AI158" s="36" t="str">
        <x:v>YV100000000002878</x:v>
      </x:c>
      <x:c r="AJ158" s="38" t="str">
        <x:v>{"kw":140,"ccm":1969,"vin":"YV100000000002878","brand":"VOLVO","fuel1":"2","fuel2":"0","fuel3":"0","model":"XC40","plate":"TEST-2878","is_4wd":"1","gearbox":"A","variant":"XZA6","version":"XZA6BC??","fab_code":"VO","group_no":"018201","body_code":"AC","type_text":"X","build_month":"201712","eu_category":"M1G","vehicle_type":"PB","vehicle_year":2017,"vehicle_class":"I","registration_date":"20180919"}</x:v>
      </x:c>
    </x:row>
    <x:row r="159" ht="18" customHeight="1">
      <x:c r="A159" s="36" t="n">
        <x:v>2879</x:v>
      </x:c>
      <x:c r="B159" s="36" t="str">
        <x:v>normalization-review-passenger-250-v1-rules-20260805T184409855703Z</x:v>
      </x:c>
      <x:c r="C159" s="36" t="n">
        <x:v>46239.78067008102</x:v>
      </x:c>
      <x:c r="D159" s="38" t="str">
        <x:v>"2026-08-05T18:44:09.895308+00:00"</x:v>
      </x:c>
      <x:c r="E159" s="36"/>
      <x:c r="F159" s="36" t="str">
        <x:v>01</x:v>
      </x:c>
      <x:c r="G159" s="36"/>
      <x:c r="H159" s="36" t="str">
        <x:v>BMW M3/4</x:v>
      </x:c>
      <x:c r="I159" s="36"/>
      <x:c r="J159" s="36"/>
      <x:c r="K159" s="36"/>
      <x:c r="L159" s="36" t="str">
        <x:v>M1</x:v>
      </x:c>
      <x:c r="M159" s="36"/>
      <x:c r="N159" s="36" t="str">
        <x:v>BW</x:v>
      </x:c>
      <x:c r="O159" s="36" t="str">
        <x:v>1</x:v>
      </x:c>
      <x:c r="P159" s="36" t="str">
        <x:v>0</x:v>
      </x:c>
      <x:c r="Q159" s="36" t="str">
        <x:v>0</x:v>
      </x:c>
      <x:c r="R159" s="36"/>
      <x:c r="S159" s="36" t="str">
        <x:v>M</x:v>
      </x:c>
      <x:c r="T159" s="36" t="str">
        <x:v>012737</x:v>
      </x:c>
      <x:c r="U159" s="36" t="str">
        <x:v>0</x:v>
      </x:c>
      <x:c r="V159" s="36" t="n">
        <x:v>236</x:v>
      </x:c>
      <x:c r="W159" s="36"/>
      <x:c r="X159" s="36"/>
      <x:c r="Y159" s="36"/>
      <x:c r="Z159" s="36" t="n">
        <x:v>1997</x:v>
      </x:c>
      <x:c r="AA159" s="36" t="str">
        <x:v>TEST-2879</x:v>
      </x:c>
      <x:c r="AB159" s="36" t="str">
        <x:v>19961120</x:v>
      </x:c>
      <x:c r="AC159" s="36"/>
      <x:c r="AD159" s="36" t="str">
        <x:v>CD91</x:v>
      </x:c>
      <x:c r="AE159" s="36" t="str">
        <x:v>I</x:v>
      </x:c>
      <x:c r="AF159" s="36" t="str">
        <x:v>PB</x:v>
      </x:c>
      <x:c r="AG159" s="36" t="n">
        <x:v>1997</x:v>
      </x:c>
      <x:c r="AH159" s="36" t="str">
        <x:v>-</x:v>
      </x:c>
      <x:c r="AI159" s="36" t="str">
        <x:v>CD900000000002879</x:v>
      </x:c>
      <x:c r="AJ159" s="38" t="str">
        <x:v>{"kw":236,"vin":"CD900000000002879","brand":"BMW M3/4","fuel1":"1","fuel2":"0","fuel3":"0","plate":"TEST-2879","is_4wd":"0","gearbox":"M","variant":"CD91","version":"-","fab_code":"BW","group_no":"012737","body_code":"01","model_year":1997,"eu_category":"M1","vehicle_type":"PB","vehicle_year":1997,"vehicle_class":"I","registration_date":"19961120"}</x:v>
      </x:c>
    </x:row>
    <x:row r="160" ht="18" customHeight="1">
      <x:c r="A160" s="36" t="n">
        <x:v>2880</x:v>
      </x:c>
      <x:c r="B160" s="36" t="str">
        <x:v>normalization-review-passenger-250-v1-rules-20260805T184409855703Z</x:v>
      </x:c>
      <x:c r="C160" s="36" t="n">
        <x:v>46239.78067008102</x:v>
      </x:c>
      <x:c r="D160" s="38" t="str">
        <x:v>"2026-08-05T18:44:09.895308+00:00"</x:v>
      </x:c>
      <x:c r="E160" s="36"/>
      <x:c r="F160" s="36" t="str">
        <x:v>AC</x:v>
      </x:c>
      <x:c r="G160" s="36"/>
      <x:c r="H160" s="36" t="str">
        <x:v>KIA</x:v>
      </x:c>
      <x:c r="I160" s="36" t="str">
        <x:v>20230912</x:v>
      </x:c>
      <x:c r="J160" s="36" t="str">
        <x:v>202309</x:v>
      </x:c>
      <x:c r="K160" s="36" t="n">
        <x:v>1580</x:v>
      </x:c>
      <x:c r="L160" s="36" t="str">
        <x:v>M1</x:v>
      </x:c>
      <x:c r="M160" s="36" t="str">
        <x:v>ELHYBRID</x:v>
      </x:c>
      <x:c r="N160" s="36" t="str">
        <x:v>KG</x:v>
      </x:c>
      <x:c r="O160" s="36" t="str">
        <x:v>1</x:v>
      </x:c>
      <x:c r="P160" s="36" t="str">
        <x:v>0</x:v>
      </x:c>
      <x:c r="Q160" s="36" t="str">
        <x:v>0</x:v>
      </x:c>
      <x:c r="R160" s="36"/>
      <x:c r="S160" s="36" t="str">
        <x:v>A</x:v>
      </x:c>
      <x:c r="T160" s="36" t="str">
        <x:v>210004</x:v>
      </x:c>
      <x:c r="U160" s="36" t="str">
        <x:v>0</x:v>
      </x:c>
      <x:c r="V160" s="36" t="n">
        <x:v>77</x:v>
      </x:c>
      <x:c r="W160" s="36" t="str">
        <x:v>KIACORPORATION</x:v>
      </x:c>
      <x:c r="X160" s="36" t="str">
        <x:v>NIRO</x:v>
      </x:c>
      <x:c r="Y160" s="36"/>
      <x:c r="Z160" s="36"/>
      <x:c r="AA160" s="36" t="str">
        <x:v>TEST-2880</x:v>
      </x:c>
      <x:c r="AB160" s="36" t="str">
        <x:v>20231124</x:v>
      </x:c>
      <x:c r="AC160" s="36" t="str">
        <x:v>SG2</x:v>
      </x:c>
      <x:c r="AD160" s="36" t="str">
        <x:v>C5P11</x:v>
      </x:c>
      <x:c r="AE160" s="36" t="str">
        <x:v>I</x:v>
      </x:c>
      <x:c r="AF160" s="36" t="str">
        <x:v>PB</x:v>
      </x:c>
      <x:c r="AG160" s="36" t="n">
        <x:v>2023</x:v>
      </x:c>
      <x:c r="AH160" s="36" t="str">
        <x:v>D61AY1</x:v>
      </x:c>
      <x:c r="AI160" s="36" t="str">
        <x:v>KNA00000000002880</x:v>
      </x:c>
      <x:c r="AJ160" s="38" t="str">
        <x:v>{"kw":77,"ccm":1580,"vin":"KNA00000000002880","brand":"KIA","fuel1":"1","fuel2":"0","fuel3":"0","model":"NIRO","plate":"TEST-2880","is_4wd":"0","gearbox":"A","variant":"C5P11","version":"D61AY1","fab_code":"KG","group_no":"210004","body_code":"AC","ev_config":"ELHYBRID","type_text":"SG2","build_date":"20230912","build_month":"202309","eu_category":"M1","manufacturer":"KIACORPORATION","vehicle_type":"PB","vehicle_year":2023,"vehicle_class":"I","registration_date":"20231124"}</x:v>
      </x:c>
    </x:row>
    <x:row r="161" ht="18" customHeight="1">
      <x:c r="A161" s="36" t="n">
        <x:v>2881</x:v>
      </x:c>
      <x:c r="B161" s="36" t="str">
        <x:v>normalization-review-passenger-250-v1-rules-20260805T184409855703Z</x:v>
      </x:c>
      <x:c r="C161" s="36" t="n">
        <x:v>46239.78067008102</x:v>
      </x:c>
      <x:c r="D161" s="38" t="str">
        <x:v>"2026-08-05T18:44:09.895308+00:00"</x:v>
      </x:c>
      <x:c r="E161" s="36"/>
      <x:c r="F161" s="36" t="str">
        <x:v>02</x:v>
      </x:c>
      <x:c r="G161" s="36"/>
      <x:c r="H161" s="36" t="str">
        <x:v>BMW 318I CAB</x:v>
      </x:c>
      <x:c r="I161" s="36"/>
      <x:c r="J161" s="36" t="str">
        <x:v>199902</x:v>
      </x:c>
      <x:c r="K161" s="36"/>
      <x:c r="L161" s="36" t="str">
        <x:v>M1</x:v>
      </x:c>
      <x:c r="M161" s="36"/>
      <x:c r="N161" s="36" t="str">
        <x:v>BW</x:v>
      </x:c>
      <x:c r="O161" s="36" t="str">
        <x:v>1</x:v>
      </x:c>
      <x:c r="P161" s="36" t="str">
        <x:v>0</x:v>
      </x:c>
      <x:c r="Q161" s="36" t="str">
        <x:v>0</x:v>
      </x:c>
      <x:c r="R161" s="36"/>
      <x:c r="S161" s="36" t="str">
        <x:v>M</x:v>
      </x:c>
      <x:c r="T161" s="36" t="str">
        <x:v>012730</x:v>
      </x:c>
      <x:c r="U161" s="36" t="str">
        <x:v>0</x:v>
      </x:c>
      <x:c r="V161" s="36" t="n">
        <x:v>85</x:v>
      </x:c>
      <x:c r="W161" s="36"/>
      <x:c r="X161" s="36"/>
      <x:c r="Y161" s="36"/>
      <x:c r="Z161" s="36" t="n">
        <x:v>1999</x:v>
      </x:c>
      <x:c r="AA161" s="36" t="str">
        <x:v>TEST-2881</x:v>
      </x:c>
      <x:c r="AB161" s="36" t="str">
        <x:v>19990317</x:v>
      </x:c>
      <x:c r="AC161" s="36"/>
      <x:c r="AD161" s="36" t="str">
        <x:v>BH31</x:v>
      </x:c>
      <x:c r="AE161" s="36" t="str">
        <x:v>I</x:v>
      </x:c>
      <x:c r="AF161" s="36" t="str">
        <x:v>PB</x:v>
      </x:c>
      <x:c r="AG161" s="36" t="n">
        <x:v>1999</x:v>
      </x:c>
      <x:c r="AH161" s="36" t="str">
        <x:v>01</x:v>
      </x:c>
      <x:c r="AI161" s="36" t="str">
        <x:v>BH300000000002881</x:v>
      </x:c>
      <x:c r="AJ161" s="38" t="str">
        <x:v>{"kw":85,"vin":"BH300000000002881","brand":"BMW 318I CAB","fuel1":"1","fuel2":"0","fuel3":"0","plate":"TEST-2881","is_4wd":"0","gearbox":"M","variant":"BH31","version":"01","fab_code":"BW","group_no":"012730","body_code":"02","model_year":1999,"build_month":"199902","eu_category":"M1","vehicle_type":"PB","vehicle_year":1999,"vehicle_class":"I","registration_date":"19990317"}</x:v>
      </x:c>
    </x:row>
    <x:row r="162" ht="18" customHeight="1">
      <x:c r="A162" s="36" t="n">
        <x:v>2882</x:v>
      </x:c>
      <x:c r="B162" s="36" t="str">
        <x:v>normalization-review-passenger-250-v1-rules-20260805T184409855703Z</x:v>
      </x:c>
      <x:c r="C162" s="36" t="n">
        <x:v>46239.78067008102</x:v>
      </x:c>
      <x:c r="D162" s="38" t="str">
        <x:v>"2026-08-05T18:44:09.895308+00:00"</x:v>
      </x:c>
      <x:c r="E162" s="36"/>
      <x:c r="F162" s="36" t="str">
        <x:v>AF</x:v>
      </x:c>
      <x:c r="G162" s="36"/>
      <x:c r="H162" s="36" t="str">
        <x:v>CITROEN</x:v>
      </x:c>
      <x:c r="I162" s="36" t="str">
        <x:v>20231018</x:v>
      </x:c>
      <x:c r="J162" s="36" t="str">
        <x:v>202310</x:v>
      </x:c>
      <x:c r="K162" s="36" t="n">
        <x:v>1199</x:v>
      </x:c>
      <x:c r="L162" s="36" t="str">
        <x:v>M1</x:v>
      </x:c>
      <x:c r="M162" s="36"/>
      <x:c r="N162" s="36" t="str">
        <x:v>CI</x:v>
      </x:c>
      <x:c r="O162" s="36" t="str">
        <x:v>1</x:v>
      </x:c>
      <x:c r="P162" s="36" t="str">
        <x:v>0</x:v>
      </x:c>
      <x:c r="Q162" s="36" t="str">
        <x:v>0</x:v>
      </x:c>
      <x:c r="R162" s="36"/>
      <x:c r="S162" s="36" t="str">
        <x:v>A</x:v>
      </x:c>
      <x:c r="T162" s="36" t="str">
        <x:v>010000</x:v>
      </x:c>
      <x:c r="U162" s="36" t="str">
        <x:v>0</x:v>
      </x:c>
      <x:c r="V162" s="36" t="n">
        <x:v>96</x:v>
      </x:c>
      <x:c r="W162" s="36" t="str">
        <x:v>PSA AUTOMOBILES SA</x:v>
      </x:c>
      <x:c r="X162" s="36" t="str">
        <x:v>C5 AIRCROSS</x:v>
      </x:c>
      <x:c r="Y162" s="36"/>
      <x:c r="Z162" s="36"/>
      <x:c r="AA162" s="36" t="str">
        <x:v>TEST-2882</x:v>
      </x:c>
      <x:c r="AB162" s="36"/>
      <x:c r="AC162" s="36" t="str">
        <x:v>A</x:v>
      </x:c>
      <x:c r="AD162" s="36" t="str">
        <x:v>R</x:v>
      </x:c>
      <x:c r="AE162" s="36" t="str">
        <x:v>I</x:v>
      </x:c>
      <x:c r="AF162" s="36" t="str">
        <x:v>PB</x:v>
      </x:c>
      <x:c r="AG162" s="36" t="n">
        <x:v>2023</x:v>
      </x:c>
      <x:c r="AH162" s="36" t="str">
        <x:v>HNSS-C1NH00</x:v>
      </x:c>
      <x:c r="AI162" s="36" t="str">
        <x:v>VR700000000002882</x:v>
      </x:c>
      <x:c r="AJ162" s="38" t="str">
        <x:v>{"kw":96,"ccm":1199,"vin":"VR700000000002882","brand":"CITROEN","fuel1":"1","fuel2":"0","fuel3":"0","model":"C5 AIRCROSS","plate":"TEST-2882","is_4wd":"0","gearbox":"A","variant":"R","version":"HNSS-C1NH00","fab_code":"CI","group_no":"010000","body_code":"AF","type_text":"A","build_date":"20231018","build_month":"202310","eu_category":"M1","manufacturer":"PSA AUTOMOBILES SA","vehicle_type":"PB","vehicle_year":2023,"vehicle_class":"I"}</x:v>
      </x:c>
    </x:row>
    <x:row r="163" ht="18" customHeight="1">
      <x:c r="A163" s="36" t="n">
        <x:v>2883</x:v>
      </x:c>
      <x:c r="B163" s="36" t="str">
        <x:v>normalization-review-passenger-250-v1-rules-20260805T184409855703Z</x:v>
      </x:c>
      <x:c r="C163" s="36" t="n">
        <x:v>46239.78067008102</x:v>
      </x:c>
      <x:c r="D163" s="38" t="str">
        <x:v>"2026-08-05T18:44:09.895308+00:00"</x:v>
      </x:c>
      <x:c r="E163" s="36"/>
      <x:c r="F163" s="36" t="str">
        <x:v>03</x:v>
      </x:c>
      <x:c r="G163" s="36"/>
      <x:c r="H163" s="36" t="str">
        <x:v>FORD MONDEO 2,0I GT</x:v>
      </x:c>
      <x:c r="I163" s="36"/>
      <x:c r="J163" s="36"/>
      <x:c r="K163" s="36"/>
      <x:c r="L163" s="36" t="str">
        <x:v>M1</x:v>
      </x:c>
      <x:c r="M163" s="36"/>
      <x:c r="N163" s="36" t="str">
        <x:v>FO</x:v>
      </x:c>
      <x:c r="O163" s="36" t="str">
        <x:v>1</x:v>
      </x:c>
      <x:c r="P163" s="36" t="str">
        <x:v>0</x:v>
      </x:c>
      <x:c r="Q163" s="36" t="str">
        <x:v>0</x:v>
      </x:c>
      <x:c r="R163" s="36"/>
      <x:c r="S163" s="36" t="str">
        <x:v>M</x:v>
      </x:c>
      <x:c r="T163" s="36" t="str">
        <x:v>002093</x:v>
      </x:c>
      <x:c r="U163" s="36" t="str">
        <x:v>0</x:v>
      </x:c>
      <x:c r="V163" s="36" t="n">
        <x:v>96</x:v>
      </x:c>
      <x:c r="W163" s="36"/>
      <x:c r="X163" s="36"/>
      <x:c r="Y163" s="36" t="str">
        <x:v>002093</x:v>
      </x:c>
      <x:c r="Z163" s="36" t="n">
        <x:v>1997</x:v>
      </x:c>
      <x:c r="AA163" s="36" t="str">
        <x:v>TEST-2883</x:v>
      </x:c>
      <x:c r="AB163" s="36" t="str">
        <x:v>19970115</x:v>
      </x:c>
      <x:c r="AC163" s="36"/>
      <x:c r="AD163" s="36"/>
      <x:c r="AE163" s="36" t="str">
        <x:v>I</x:v>
      </x:c>
      <x:c r="AF163" s="36" t="str">
        <x:v>PB</x:v>
      </x:c>
      <x:c r="AG163" s="36" t="n">
        <x:v>1997</x:v>
      </x:c>
      <x:c r="AH163" s="36"/>
      <x:c r="AI163" s="36" t="str">
        <x:v>AXX00000000002883</x:v>
      </x:c>
      <x:c r="AJ163" s="38" t="str">
        <x:v>{"kw":96,"vin":"AXX00000000002883","brand":"FORD MONDEO 2,0I GT","fuel1":"1","fuel2":"0","fuel3":"0","plate":"TEST-2883","is_4wd":"0","gearbox":"M","fab_code":"FO","group_no":"002093","model_no":"002093","body_code":"03","model_year":1997,"eu_category":"M1","vehicle_type":"PB","vehicle_year":1997,"vehicle_class":"I","registration_date":"19970115"}</x:v>
      </x:c>
    </x:row>
    <x:row r="164" ht="18" customHeight="1">
      <x:c r="A164" s="36" t="n">
        <x:v>2884</x:v>
      </x:c>
      <x:c r="B164" s="36" t="str">
        <x:v>normalization-review-passenger-250-v1-rules-20260805T184409855703Z</x:v>
      </x:c>
      <x:c r="C164" s="36" t="n">
        <x:v>46239.78067008102</x:v>
      </x:c>
      <x:c r="D164" s="38" t="str">
        <x:v>"2026-08-05T18:44:09.895308+00:00"</x:v>
      </x:c>
      <x:c r="E164" s="36"/>
      <x:c r="F164" s="36" t="str">
        <x:v>01</x:v>
      </x:c>
      <x:c r="G164" s="36"/>
      <x:c r="H164" s="36" t="str">
        <x:v>VOLKSWAGEN 1500 LIM 113</x:v>
      </x:c>
      <x:c r="I164" s="36"/>
      <x:c r="J164" s="36"/>
      <x:c r="K164" s="36"/>
      <x:c r="L164" s="36" t="str">
        <x:v>M1</x:v>
      </x:c>
      <x:c r="M164" s="36"/>
      <x:c r="N164" s="36" t="str">
        <x:v>VW</x:v>
      </x:c>
      <x:c r="O164" s="36" t="str">
        <x:v>1</x:v>
      </x:c>
      <x:c r="P164" s="36" t="str">
        <x:v>0</x:v>
      </x:c>
      <x:c r="Q164" s="36" t="str">
        <x:v>0</x:v>
      </x:c>
      <x:c r="R164" s="36"/>
      <x:c r="S164" s="36" t="str">
        <x:v>M</x:v>
      </x:c>
      <x:c r="T164" s="36" t="str">
        <x:v>000164</x:v>
      </x:c>
      <x:c r="U164" s="36" t="str">
        <x:v>0</x:v>
      </x:c>
      <x:c r="V164" s="36" t="n">
        <x:v>32</x:v>
      </x:c>
      <x:c r="W164" s="36"/>
      <x:c r="X164" s="36"/>
      <x:c r="Y164" s="36" t="str">
        <x:v>000164</x:v>
      </x:c>
      <x:c r="Z164" s="36" t="n">
        <x:v>1967</x:v>
      </x:c>
      <x:c r="AA164" s="36" t="str">
        <x:v>TEST-2884</x:v>
      </x:c>
      <x:c r="AB164" s="36" t="str">
        <x:v>19670410</x:v>
      </x:c>
      <x:c r="AC164" s="36"/>
      <x:c r="AD164" s="36"/>
      <x:c r="AE164" s="36" t="str">
        <x:v>I</x:v>
      </x:c>
      <x:c r="AF164" s="36" t="str">
        <x:v>PB</x:v>
      </x:c>
      <x:c r="AG164" s="36" t="n">
        <x:v>1967</x:v>
      </x:c>
      <x:c r="AH164" s="36"/>
      <x:c r="AI164" s="36" t="str">
        <x:v>11700000000002884</x:v>
      </x:c>
      <x:c r="AJ164" s="38" t="str">
        <x:v>{"kw":32,"vin":"11700000000002884","brand":"VOLKSWAGEN 1500 LIM 113","fuel1":"1","fuel2":"0","fuel3":"0","plate":"TEST-2884","is_4wd":"0","gearbox":"M","fab_code":"VW","group_no":"000164","model_no":"000164","body_code":"01","model_year":1967,"eu_category":"M1","vehicle_type":"PB","vehicle_year":1967,"vehicle_class":"I","registration_date":"19670410"}</x:v>
      </x:c>
    </x:row>
    <x:row r="165" ht="18" customHeight="1">
      <x:c r="A165" s="36" t="n">
        <x:v>2885</x:v>
      </x:c>
      <x:c r="B165" s="36" t="str">
        <x:v>normalization-review-passenger-250-v1-rules-20260805T184409855703Z</x:v>
      </x:c>
      <x:c r="C165" s="36" t="n">
        <x:v>46239.78067008102</x:v>
      </x:c>
      <x:c r="D165" s="38" t="str">
        <x:v>"2026-08-05T18:44:09.895308+00:00"</x:v>
      </x:c>
      <x:c r="E165" s="36"/>
      <x:c r="F165" s="36" t="str">
        <x:v>01</x:v>
      </x:c>
      <x:c r="G165" s="36"/>
      <x:c r="H165" s="36" t="str">
        <x:v>SKODA FELICIA COMBI 1,6</x:v>
      </x:c>
      <x:c r="I165" s="36"/>
      <x:c r="J165" s="36"/>
      <x:c r="K165" s="36"/>
      <x:c r="L165" s="36" t="str">
        <x:v>M1</x:v>
      </x:c>
      <x:c r="M165" s="36"/>
      <x:c r="N165" s="36" t="str">
        <x:v>SK</x:v>
      </x:c>
      <x:c r="O165" s="36" t="str">
        <x:v>1</x:v>
      </x:c>
      <x:c r="P165" s="36" t="str">
        <x:v>0</x:v>
      </x:c>
      <x:c r="Q165" s="36" t="str">
        <x:v>0</x:v>
      </x:c>
      <x:c r="R165" s="36"/>
      <x:c r="S165" s="36" t="str">
        <x:v>M</x:v>
      </x:c>
      <x:c r="T165" s="36" t="str">
        <x:v>001138</x:v>
      </x:c>
      <x:c r="U165" s="36" t="str">
        <x:v>0</x:v>
      </x:c>
      <x:c r="V165" s="36" t="n">
        <x:v>55</x:v>
      </x:c>
      <x:c r="W165" s="36"/>
      <x:c r="X165" s="36"/>
      <x:c r="Y165" s="36" t="str">
        <x:v>001138</x:v>
      </x:c>
      <x:c r="Z165" s="36" t="n">
        <x:v>1997</x:v>
      </x:c>
      <x:c r="AA165" s="36" t="str">
        <x:v>TEST-2885</x:v>
      </x:c>
      <x:c r="AB165" s="36" t="str">
        <x:v>19970405</x:v>
      </x:c>
      <x:c r="AC165" s="36"/>
      <x:c r="AD165" s="36"/>
      <x:c r="AE165" s="36" t="str">
        <x:v>I</x:v>
      </x:c>
      <x:c r="AF165" s="36" t="str">
        <x:v>PB</x:v>
      </x:c>
      <x:c r="AG165" s="36" t="n">
        <x:v>1997</x:v>
      </x:c>
      <x:c r="AH165" s="36"/>
      <x:c r="AI165" s="36" t="str">
        <x:v>EGF00000000002885</x:v>
      </x:c>
      <x:c r="AJ165" s="38" t="str">
        <x:v>{"kw":55,"vin":"EGF00000000002885","brand":"SKODA FELICIA COMBI 1,6","fuel1":"1","fuel2":"0","fuel3":"0","plate":"TEST-2885","is_4wd":"0","gearbox":"M","fab_code":"SK","group_no":"001138","model_no":"001138","body_code":"01","model_year":1997,"eu_category":"M1","vehicle_type":"PB","vehicle_year":1997,"vehicle_class":"I","registration_date":"19970405"}</x:v>
      </x:c>
    </x:row>
    <x:row r="166" ht="18" customHeight="1">
      <x:c r="A166" s="36" t="n">
        <x:v>2886</x:v>
      </x:c>
      <x:c r="B166" s="36" t="str">
        <x:v>normalization-review-passenger-250-v1-rules-20260805T184409855703Z</x:v>
      </x:c>
      <x:c r="C166" s="36" t="n">
        <x:v>46239.78067008102</x:v>
      </x:c>
      <x:c r="D166" s="38" t="str">
        <x:v>"2026-08-05T18:44:09.895308+00:00"</x:v>
      </x:c>
      <x:c r="E166" s="36"/>
      <x:c r="F166" s="36" t="str">
        <x:v>AC</x:v>
      </x:c>
      <x:c r="G166" s="36"/>
      <x:c r="H166" s="36" t="str">
        <x:v>VOLVO F + V60</x:v>
      </x:c>
      <x:c r="I166" s="36"/>
      <x:c r="J166" s="36" t="str">
        <x:v>201102</x:v>
      </x:c>
      <x:c r="K166" s="36" t="n">
        <x:v>1984</x:v>
      </x:c>
      <x:c r="L166" s="36" t="str">
        <x:v>M1</x:v>
      </x:c>
      <x:c r="M166" s="36"/>
      <x:c r="N166" s="36" t="str">
        <x:v>VO</x:v>
      </x:c>
      <x:c r="O166" s="36" t="str">
        <x:v>2</x:v>
      </x:c>
      <x:c r="P166" s="36" t="str">
        <x:v>0</x:v>
      </x:c>
      <x:c r="Q166" s="36" t="str">
        <x:v>0</x:v>
      </x:c>
      <x:c r="R166" s="36"/>
      <x:c r="S166" s="36" t="str">
        <x:v>M</x:v>
      </x:c>
      <x:c r="T166" s="36" t="str">
        <x:v>011715</x:v>
      </x:c>
      <x:c r="U166" s="36" t="str">
        <x:v>0</x:v>
      </x:c>
      <x:c r="V166" s="36" t="n">
        <x:v>120</x:v>
      </x:c>
      <x:c r="W166" s="36"/>
      <x:c r="X166" s="36" t="str">
        <x:v>V60</x:v>
      </x:c>
      <x:c r="Y166" s="36"/>
      <x:c r="Z166" s="36"/>
      <x:c r="AA166" s="36" t="str">
        <x:v>TEST-2886</x:v>
      </x:c>
      <x:c r="AB166" s="36" t="str">
        <x:v>20110225</x:v>
      </x:c>
      <x:c r="AC166" s="36" t="str">
        <x:v>F</x:v>
      </x:c>
      <x:c r="AD166" s="36" t="str">
        <x:v>FW52</x:v>
      </x:c>
      <x:c r="AE166" s="36" t="str">
        <x:v>I</x:v>
      </x:c>
      <x:c r="AF166" s="36" t="str">
        <x:v>PB</x:v>
      </x:c>
      <x:c r="AG166" s="36" t="n">
        <x:v>2011</x:v>
      </x:c>
      <x:c r="AH166" s="36" t="str">
        <x:v>FW5251??</x:v>
      </x:c>
      <x:c r="AI166" s="36" t="str">
        <x:v>YV100000000002886</x:v>
      </x:c>
      <x:c r="AJ166" s="38" t="str">
        <x:v>{"kw":120,"ccm":1984,"vin":"YV100000000002886","brand":"VOLVO F + V60","fuel1":"2","fuel2":"0","fuel3":"0","model":"V60","plate":"TEST-2886","is_4wd":"0","gearbox":"M","variant":"FW52","version":"FW5251??","fab_code":"VO","group_no":"011715","body_code":"AC","type_text":"F","build_month":"201102","eu_category":"M1","vehicle_type":"PB","vehicle_year":2011,"vehicle_class":"I","registration_date":"20110225"}</x:v>
      </x:c>
    </x:row>
    <x:row r="167" ht="18" customHeight="1">
      <x:c r="A167" s="36" t="n">
        <x:v>2887</x:v>
      </x:c>
      <x:c r="B167" s="36" t="str">
        <x:v>normalization-review-passenger-250-v1-rules-20260805T184409855703Z</x:v>
      </x:c>
      <x:c r="C167" s="36" t="n">
        <x:v>46239.78067008102</x:v>
      </x:c>
      <x:c r="D167" s="38" t="str">
        <x:v>"2026-08-05T18:44:09.895308+00:00"</x:v>
      </x:c>
      <x:c r="E167" s="36"/>
      <x:c r="F167" s="36" t="str">
        <x:v>AF</x:v>
      </x:c>
      <x:c r="G167" s="36"/>
      <x:c r="H167" s="36" t="str">
        <x:v>VOLVO</x:v>
      </x:c>
      <x:c r="I167" s="36"/>
      <x:c r="J167" s="36" t="str">
        <x:v>201801</x:v>
      </x:c>
      <x:c r="K167" s="36" t="n">
        <x:v>1969</x:v>
      </x:c>
      <x:c r="L167" s="36" t="str">
        <x:v>M1</x:v>
      </x:c>
      <x:c r="M167" s="36"/>
      <x:c r="N167" s="36" t="str">
        <x:v>VO</x:v>
      </x:c>
      <x:c r="O167" s="36" t="str">
        <x:v>2</x:v>
      </x:c>
      <x:c r="P167" s="36" t="str">
        <x:v>0</x:v>
      </x:c>
      <x:c r="Q167" s="36" t="str">
        <x:v>0</x:v>
      </x:c>
      <x:c r="R167" s="36"/>
      <x:c r="S167" s="36" t="str">
        <x:v>M</x:v>
      </x:c>
      <x:c r="T167" s="36" t="str">
        <x:v>018518</x:v>
      </x:c>
      <x:c r="U167" s="36" t="str">
        <x:v>0</x:v>
      </x:c>
      <x:c r="V167" s="36" t="n">
        <x:v>88</x:v>
      </x:c>
      <x:c r="W167" s="36"/>
      <x:c r="X167" s="36" t="str">
        <x:v>V40 CROSS COUNTRY</x:v>
      </x:c>
      <x:c r="Y167" s="36"/>
      <x:c r="Z167" s="36"/>
      <x:c r="AA167" s="36" t="str">
        <x:v>TEST-2887</x:v>
      </x:c>
      <x:c r="AB167" s="36" t="str">
        <x:v>20180627</x:v>
      </x:c>
      <x:c r="AC167" s="36" t="str">
        <x:v>M</x:v>
      </x:c>
      <x:c r="AD167" s="36" t="str">
        <x:v>MZ74</x:v>
      </x:c>
      <x:c r="AE167" s="36" t="str">
        <x:v>I</x:v>
      </x:c>
      <x:c r="AF167" s="36" t="str">
        <x:v>PB</x:v>
      </x:c>
      <x:c r="AG167" s="36" t="n">
        <x:v>2018</x:v>
      </x:c>
      <x:c r="AH167" s="36" t="str">
        <x:v>MZ74L1??</x:v>
      </x:c>
      <x:c r="AI167" s="36" t="str">
        <x:v>YV100000000002887</x:v>
      </x:c>
      <x:c r="AJ167" s="38" t="str">
        <x:v>{"kw":88,"ccm":1969,"vin":"YV100000000002887","brand":"VOLVO","fuel1":"2","fuel2":"0","fuel3":"0","model":"V40 CROSS COUNTRY","plate":"TEST-2887","is_4wd":"0","gearbox":"M","variant":"MZ74","version":"MZ74L1??","fab_code":"VO","group_no":"018518","body_code":"AF","type_text":"M","build_month":"201801","eu_category":"M1","vehicle_type":"PB","vehicle_year":2018,"vehicle_class":"I","registration_date":"20180627"}</x:v>
      </x:c>
    </x:row>
    <x:row r="168" ht="18" customHeight="1">
      <x:c r="A168" s="36" t="n">
        <x:v>2888</x:v>
      </x:c>
      <x:c r="B168" s="36" t="str">
        <x:v>normalization-review-passenger-250-v1-rules-20260805T184409855703Z</x:v>
      </x:c>
      <x:c r="C168" s="36" t="n">
        <x:v>46239.78067008102</x:v>
      </x:c>
      <x:c r="D168" s="38" t="str">
        <x:v>"2026-08-05T18:44:09.895308+00:00"</x:v>
      </x:c>
      <x:c r="E168" s="36"/>
      <x:c r="F168" s="36" t="str">
        <x:v>AC</x:v>
      </x:c>
      <x:c r="G168" s="36"/>
      <x:c r="H168" s="36" t="str">
        <x:v>MERCEDES-BENZ 246</x:v>
      </x:c>
      <x:c r="I168" s="36"/>
      <x:c r="J168" s="36" t="str">
        <x:v>201306</x:v>
      </x:c>
      <x:c r="K168" s="36" t="n">
        <x:v>1595</x:v>
      </x:c>
      <x:c r="L168" s="36" t="str">
        <x:v>M1</x:v>
      </x:c>
      <x:c r="M168" s="36"/>
      <x:c r="N168" s="36" t="str">
        <x:v>MB</x:v>
      </x:c>
      <x:c r="O168" s="36" t="str">
        <x:v>1</x:v>
      </x:c>
      <x:c r="P168" s="36" t="str">
        <x:v>0</x:v>
      </x:c>
      <x:c r="Q168" s="36" t="str">
        <x:v>0</x:v>
      </x:c>
      <x:c r="R168" s="36"/>
      <x:c r="S168" s="36"/>
      <x:c r="T168" s="36" t="str">
        <x:v>512422</x:v>
      </x:c>
      <x:c r="U168" s="36" t="str">
        <x:v>0</x:v>
      </x:c>
      <x:c r="V168" s="36" t="n">
        <x:v>90</x:v>
      </x:c>
      <x:c r="W168" s="36"/>
      <x:c r="X168" s="36" t="str">
        <x:v>B 180</x:v>
      </x:c>
      <x:c r="Y168" s="36"/>
      <x:c r="Z168" s="36"/>
      <x:c r="AA168" s="36" t="str">
        <x:v>TEST-2888</x:v>
      </x:c>
      <x:c r="AB168" s="36" t="str">
        <x:v>20140626</x:v>
      </x:c>
      <x:c r="AC168" s="36" t="str">
        <x:v>246</x:v>
      </x:c>
      <x:c r="AD168" s="36" t="str">
        <x:v>M24GP2</x:v>
      </x:c>
      <x:c r="AE168" s="36" t="str">
        <x:v>I</x:v>
      </x:c>
      <x:c r="AF168" s="36" t="str">
        <x:v>PB</x:v>
      </x:c>
      <x:c r="AG168" s="36" t="n">
        <x:v>2013</x:v>
      </x:c>
      <x:c r="AH168" s="36" t="str">
        <x:v>HZAAB500</x:v>
      </x:c>
      <x:c r="AI168" s="36" t="str">
        <x:v>WDD00000000002888</x:v>
      </x:c>
      <x:c r="AJ168" s="38" t="str">
        <x:v>{"kw":90,"ccm":1595,"vin":"WDD00000000002888","brand":"MERCEDES-BENZ 246","fuel1":"1","fuel2":"0","fuel3":"0","model":"B 180","plate":"TEST-2888","is_4wd":"0","variant":"M24GP2","version":"HZAAB500","fab_code":"MB","group_no":"512422","body_code":"AC","type_text":"246","build_month":"201306","eu_category":"M1","vehicle_type":"PB","vehicle_year":2013,"vehicle_class":"I","registration_date":"20140626"}</x:v>
      </x:c>
    </x:row>
    <x:row r="169" ht="18" customHeight="1">
      <x:c r="A169" s="36" t="n">
        <x:v>2889</x:v>
      </x:c>
      <x:c r="B169" s="36" t="str">
        <x:v>normalization-review-passenger-250-v1-rules-20260805T184409855703Z</x:v>
      </x:c>
      <x:c r="C169" s="36" t="n">
        <x:v>46239.78067008102</x:v>
      </x:c>
      <x:c r="D169" s="38" t="str">
        <x:v>"2026-08-05T18:44:09.895308+00:00"</x:v>
      </x:c>
      <x:c r="E169" s="36"/>
      <x:c r="F169" s="36" t="str">
        <x:v>02</x:v>
      </x:c>
      <x:c r="G169" s="36"/>
      <x:c r="H169" s="36" t="str">
        <x:v>MERCEDES-BENZ CLK 240</x:v>
      </x:c>
      <x:c r="I169" s="36"/>
      <x:c r="J169" s="36"/>
      <x:c r="K169" s="36"/>
      <x:c r="L169" s="36" t="str">
        <x:v>M1</x:v>
      </x:c>
      <x:c r="M169" s="36"/>
      <x:c r="N169" s="36" t="str">
        <x:v>MB</x:v>
      </x:c>
      <x:c r="O169" s="36" t="str">
        <x:v>1</x:v>
      </x:c>
      <x:c r="P169" s="36" t="str">
        <x:v>0</x:v>
      </x:c>
      <x:c r="Q169" s="36" t="str">
        <x:v>0</x:v>
      </x:c>
      <x:c r="R169" s="36"/>
      <x:c r="S169" s="36" t="str">
        <x:v>A</x:v>
      </x:c>
      <x:c r="T169" s="36" t="str">
        <x:v>010000</x:v>
      </x:c>
      <x:c r="U169" s="36" t="str">
        <x:v>0</x:v>
      </x:c>
      <x:c r="V169" s="36" t="n">
        <x:v>125</x:v>
      </x:c>
      <x:c r="W169" s="36"/>
      <x:c r="X169" s="36"/>
      <x:c r="Y169" s="36"/>
      <x:c r="Z169" s="36"/>
      <x:c r="AA169" s="36" t="str">
        <x:v>TEST-2889</x:v>
      </x:c>
      <x:c r="AB169" s="36" t="str">
        <x:v>20070713</x:v>
      </x:c>
      <x:c r="AC169" s="36"/>
      <x:c r="AD169" s="36"/>
      <x:c r="AE169" s="36" t="str">
        <x:v>I</x:v>
      </x:c>
      <x:c r="AF169" s="36" t="str">
        <x:v>PB</x:v>
      </x:c>
      <x:c r="AG169" s="36" t="n">
        <x:v>2003</x:v>
      </x:c>
      <x:c r="AH169" s="36"/>
      <x:c r="AI169" s="36" t="str">
        <x:v>WDB00000000002889</x:v>
      </x:c>
      <x:c r="AJ169" s="38" t="str">
        <x:v>{"kw":125,"vin":"WDB00000000002889","brand":"MERCEDES-BENZ CLK 240","fuel1":"1","fuel2":"0","fuel3":"0","plate":"TEST-2889","is_4wd":"0","gearbox":"A","fab_code":"MB","group_no":"010000","body_code":"02","eu_category":"M1","vehicle_type":"PB","vehicle_year":2003,"vehicle_class":"I","registration_date":"20070713"}</x:v>
      </x:c>
    </x:row>
    <x:row r="170" ht="18" customHeight="1">
      <x:c r="A170" s="36" t="n">
        <x:v>2890</x:v>
      </x:c>
      <x:c r="B170" s="36" t="str">
        <x:v>normalization-review-passenger-250-v1-rules-20260805T184409855703Z</x:v>
      </x:c>
      <x:c r="C170" s="36" t="n">
        <x:v>46239.78067008102</x:v>
      </x:c>
      <x:c r="D170" s="38" t="str">
        <x:v>"2026-08-05T18:44:09.895308+00:00"</x:v>
      </x:c>
      <x:c r="E170" s="36"/>
      <x:c r="F170" s="36" t="str">
        <x:v>01</x:v>
      </x:c>
      <x:c r="G170" s="36"/>
      <x:c r="H170" s="36" t="str">
        <x:v>VOLKSWAGEN 1200 LIM 113</x:v>
      </x:c>
      <x:c r="I170" s="36"/>
      <x:c r="J170" s="36"/>
      <x:c r="K170" s="36"/>
      <x:c r="L170" s="36" t="str">
        <x:v>M1</x:v>
      </x:c>
      <x:c r="M170" s="36"/>
      <x:c r="N170" s="36" t="str">
        <x:v>VW</x:v>
      </x:c>
      <x:c r="O170" s="36" t="str">
        <x:v>1</x:v>
      </x:c>
      <x:c r="P170" s="36" t="str">
        <x:v>0</x:v>
      </x:c>
      <x:c r="Q170" s="36" t="str">
        <x:v>0</x:v>
      </x:c>
      <x:c r="R170" s="36"/>
      <x:c r="S170" s="36" t="str">
        <x:v>M</x:v>
      </x:c>
      <x:c r="T170" s="36" t="str">
        <x:v>000147</x:v>
      </x:c>
      <x:c r="U170" s="36" t="str">
        <x:v>0</x:v>
      </x:c>
      <x:c r="V170" s="36" t="n">
        <x:v>25</x:v>
      </x:c>
      <x:c r="W170" s="36"/>
      <x:c r="X170" s="36"/>
      <x:c r="Y170" s="36" t="str">
        <x:v>000147</x:v>
      </x:c>
      <x:c r="Z170" s="36" t="n">
        <x:v>1965</x:v>
      </x:c>
      <x:c r="AA170" s="36" t="str">
        <x:v>TEST-2890</x:v>
      </x:c>
      <x:c r="AB170" s="36" t="str">
        <x:v>19650623</x:v>
      </x:c>
      <x:c r="AC170" s="36"/>
      <x:c r="AD170" s="36"/>
      <x:c r="AE170" s="36" t="str">
        <x:v>I</x:v>
      </x:c>
      <x:c r="AF170" s="36" t="str">
        <x:v>PB</x:v>
      </x:c>
      <x:c r="AG170" s="36" t="n">
        <x:v>1965</x:v>
      </x:c>
      <x:c r="AH170" s="36"/>
      <x:c r="AI170" s="36" t="str">
        <x:v>11500000000002890</x:v>
      </x:c>
      <x:c r="AJ170" s="38" t="str">
        <x:v>{"kw":25,"vin":"11500000000002890","brand":"VOLKSWAGEN 1200 LIM 113","fuel1":"1","fuel2":"0","fuel3":"0","plate":"TEST-2890","is_4wd":"0","gearbox":"M","fab_code":"VW","group_no":"000147","model_no":"000147","body_code":"01","model_year":1965,"eu_category":"M1","vehicle_type":"PB","vehicle_year":1965,"vehicle_class":"I","registration_date":"19650623"}</x:v>
      </x:c>
    </x:row>
    <x:row r="171" ht="18" customHeight="1">
      <x:c r="A171" s="36" t="n">
        <x:v>2891</x:v>
      </x:c>
      <x:c r="B171" s="36" t="str">
        <x:v>normalization-review-passenger-250-v1-rules-20260805T184409855703Z</x:v>
      </x:c>
      <x:c r="C171" s="36" t="n">
        <x:v>46239.78067008102</x:v>
      </x:c>
      <x:c r="D171" s="38" t="str">
        <x:v>"2026-08-05T18:44:09.895308+00:00"</x:v>
      </x:c>
      <x:c r="E171" s="36"/>
      <x:c r="F171" s="36" t="str">
        <x:v>AF</x:v>
      </x:c>
      <x:c r="G171" s="36"/>
      <x:c r="H171" s="36" t="str">
        <x:v>TOYOTA T27</x:v>
      </x:c>
      <x:c r="I171" s="36"/>
      <x:c r="J171" s="36" t="str">
        <x:v>201101</x:v>
      </x:c>
      <x:c r="K171" s="36" t="n">
        <x:v>1998</x:v>
      </x:c>
      <x:c r="L171" s="36" t="str">
        <x:v>M1</x:v>
      </x:c>
      <x:c r="M171" s="36"/>
      <x:c r="N171" s="36" t="str">
        <x:v>TO</x:v>
      </x:c>
      <x:c r="O171" s="36" t="str">
        <x:v>2</x:v>
      </x:c>
      <x:c r="P171" s="36" t="str">
        <x:v>0</x:v>
      </x:c>
      <x:c r="Q171" s="36" t="str">
        <x:v>0</x:v>
      </x:c>
      <x:c r="R171" s="36"/>
      <x:c r="S171" s="36" t="str">
        <x:v>M</x:v>
      </x:c>
      <x:c r="T171" s="36" t="str">
        <x:v>143512</x:v>
      </x:c>
      <x:c r="U171" s="36" t="str">
        <x:v>0</x:v>
      </x:c>
      <x:c r="V171" s="36" t="n">
        <x:v>93</x:v>
      </x:c>
      <x:c r="W171" s="36"/>
      <x:c r="X171" s="36" t="str">
        <x:v>TOYOTA AVENSIS</x:v>
      </x:c>
      <x:c r="Y171" s="36"/>
      <x:c r="Z171" s="36"/>
      <x:c r="AA171" s="36" t="str">
        <x:v>TEST-2891</x:v>
      </x:c>
      <x:c r="AB171" s="36" t="str">
        <x:v>20110415</x:v>
      </x:c>
      <x:c r="AC171" s="36" t="str">
        <x:v>T27</x:v>
      </x:c>
      <x:c r="AD171" s="36" t="str">
        <x:v>ADT270(W)</x:v>
      </x:c>
      <x:c r="AE171" s="36" t="str">
        <x:v>I</x:v>
      </x:c>
      <x:c r="AF171" s="36" t="str">
        <x:v>PB</x:v>
      </x:c>
      <x:c r="AG171" s="36" t="n">
        <x:v>2011</x:v>
      </x:c>
      <x:c r="AH171" s="36" t="str">
        <x:v>ADT270L-AWFEYW(1E)</x:v>
      </x:c>
      <x:c r="AI171" s="36" t="str">
        <x:v>SB100000000002891</x:v>
      </x:c>
      <x:c r="AJ171" s="38" t="str">
        <x:v>{"kw":93,"ccm":1998,"vin":"SB100000000002891","brand":"TOYOTA T27","fuel1":"2","fuel2":"0","fuel3":"0","model":"TOYOTA AVENSIS","plate":"TEST-2891","is_4wd":"0","gearbox":"M","variant":"ADT270(W)","version":"ADT270L-AWFEYW(1E)","fab_code":"TO","group_no":"143512","body_code":"AF","type_text":"T27","build_month":"201101","eu_category":"M1","vehicle_type":"PB","vehicle_year":2011,"vehicle_class":"I","registration_date":"20110415"}</x:v>
      </x:c>
    </x:row>
    <x:row r="172" ht="18" customHeight="1">
      <x:c r="A172" s="36" t="n">
        <x:v>2892</x:v>
      </x:c>
      <x:c r="B172" s="36" t="str">
        <x:v>normalization-review-passenger-250-v1-rules-20260805T184409855703Z</x:v>
      </x:c>
      <x:c r="C172" s="36" t="n">
        <x:v>46239.78067008102</x:v>
      </x:c>
      <x:c r="D172" s="38" t="str">
        <x:v>"2026-08-05T18:44:09.895308+00:00"</x:v>
      </x:c>
      <x:c r="E172" s="36"/>
      <x:c r="F172" s="36" t="str">
        <x:v>AA</x:v>
      </x:c>
      <x:c r="G172" s="36"/>
      <x:c r="H172" s="36" t="str">
        <x:v>BMW</x:v>
      </x:c>
      <x:c r="I172" s="36"/>
      <x:c r="J172" s="36" t="str">
        <x:v>201907</x:v>
      </x:c>
      <x:c r="K172" s="36"/>
      <x:c r="L172" s="36" t="str">
        <x:v>M1</x:v>
      </x:c>
      <x:c r="M172" s="36" t="str">
        <x:v>EL</x:v>
      </x:c>
      <x:c r="N172" s="36" t="str">
        <x:v>BW</x:v>
      </x:c>
      <x:c r="O172" s="36" t="str">
        <x:v>3</x:v>
      </x:c>
      <x:c r="P172" s="36" t="str">
        <x:v>0</x:v>
      </x:c>
      <x:c r="Q172" s="36" t="str">
        <x:v>0</x:v>
      </x:c>
      <x:c r="R172" s="36"/>
      <x:c r="S172" s="36"/>
      <x:c r="T172" s="36" t="str">
        <x:v>600010</x:v>
      </x:c>
      <x:c r="U172" s="36" t="str">
        <x:v>0</x:v>
      </x:c>
      <x:c r="V172" s="36"/>
      <x:c r="W172" s="36" t="str">
        <x:v>BAYERISCHE MOTOREN WERKE AG, DE-80788 MÅNCHEN</x:v>
      </x:c>
      <x:c r="X172" s="36" t="str">
        <x:v>I3S</x:v>
      </x:c>
      <x:c r="Y172" s="36"/>
      <x:c r="Z172" s="36"/>
      <x:c r="AA172" s="36" t="str">
        <x:v>TEST-2892</x:v>
      </x:c>
      <x:c r="AB172" s="36" t="str">
        <x:v>20190822</x:v>
      </x:c>
      <x:c r="AC172" s="36" t="str">
        <x:v>BMWI-1</x:v>
      </x:c>
      <x:c r="AD172" s="36" t="str">
        <x:v>8P61</x:v>
      </x:c>
      <x:c r="AE172" s="36" t="str">
        <x:v>I</x:v>
      </x:c>
      <x:c r="AF172" s="36" t="str">
        <x:v>PB</x:v>
      </x:c>
      <x:c r="AG172" s="36" t="n">
        <x:v>2019</x:v>
      </x:c>
      <x:c r="AH172" s="36" t="str">
        <x:v>0AW40000</x:v>
      </x:c>
      <x:c r="AI172" s="36" t="str">
        <x:v>WBY00000000002892</x:v>
      </x:c>
      <x:c r="AJ172" s="38" t="str">
        <x:v>{"vin":"WBY00000000002892","brand":"BMW","fuel1":"3","fuel2":"0","fuel3":"0","model":"I3S","plate":"TEST-2892","is_4wd":"0","variant":"8P61","version":"0AW40000","fab_code":"BW","group_no":"600010","body_code":"AA","ev_config":"EL","type_text":"BMWI-1","build_month":"201907","eu_category":"M1","manufacturer":"BAYERISCHE MOTOREN WERKE AG, DE-80788 MÅNCHEN","vehicle_type":"PB","vehicle_year":2019,"vehicle_class":"I","registration_date":"20190822"}</x:v>
      </x:c>
    </x:row>
    <x:row r="173" ht="18" customHeight="1">
      <x:c r="A173" s="36" t="n">
        <x:v>2893</x:v>
      </x:c>
      <x:c r="B173" s="36" t="str">
        <x:v>normalization-review-passenger-250-v1-rules-20260805T184409855703Z</x:v>
      </x:c>
      <x:c r="C173" s="36" t="n">
        <x:v>46239.78067008102</x:v>
      </x:c>
      <x:c r="D173" s="38" t="str">
        <x:v>"2026-08-05T18:44:09.895308+00:00"</x:v>
      </x:c>
      <x:c r="E173" s="36"/>
      <x:c r="F173" s="36" t="str">
        <x:v>02</x:v>
      </x:c>
      <x:c r="G173" s="36"/>
      <x:c r="H173" s="36" t="str">
        <x:v>MERCEDES BENZ 280 S 8</x:v>
      </x:c>
      <x:c r="I173" s="36"/>
      <x:c r="J173" s="36"/>
      <x:c r="K173" s="36"/>
      <x:c r="L173" s="36" t="str">
        <x:v>M1</x:v>
      </x:c>
      <x:c r="M173" s="36"/>
      <x:c r="N173" s="36" t="str">
        <x:v>MB</x:v>
      </x:c>
      <x:c r="O173" s="36" t="str">
        <x:v>1</x:v>
      </x:c>
      <x:c r="P173" s="36" t="str">
        <x:v>0</x:v>
      </x:c>
      <x:c r="Q173" s="36" t="str">
        <x:v>0</x:v>
      </x:c>
      <x:c r="R173" s="36"/>
      <x:c r="S173" s="36" t="str">
        <x:v>A</x:v>
      </x:c>
      <x:c r="T173" s="36"/>
      <x:c r="U173" s="36" t="str">
        <x:v>0</x:v>
      </x:c>
      <x:c r="V173" s="36" t="n">
        <x:v>103</x:v>
      </x:c>
      <x:c r="W173" s="36"/>
      <x:c r="X173" s="36"/>
      <x:c r="Y173" s="36"/>
      <x:c r="Z173" s="36" t="n">
        <x:v>1968</x:v>
      </x:c>
      <x:c r="AA173" s="36" t="str">
        <x:v>TEST-2893</x:v>
      </x:c>
      <x:c r="AB173" s="36" t="str">
        <x:v>19680611</x:v>
      </x:c>
      <x:c r="AC173" s="36"/>
      <x:c r="AD173" s="36"/>
      <x:c r="AE173" s="36" t="str">
        <x:v>I</x:v>
      </x:c>
      <x:c r="AF173" s="36" t="str">
        <x:v>PB</x:v>
      </x:c>
      <x:c r="AG173" s="36" t="n">
        <x:v>1968</x:v>
      </x:c>
      <x:c r="AH173" s="36"/>
      <x:c r="AI173" s="36" t="str">
        <x:v>10800000000002893</x:v>
      </x:c>
      <x:c r="AJ173" s="38" t="str">
        <x:v>{"kw":103,"vin":"10800000000002893","brand":"MERCEDES BENZ 280 S 8","fuel1":"1","fuel2":"0","fuel3":"0","plate":"TEST-2893","is_4wd":"0","gearbox":"A","fab_code":"MB","body_code":"02","model_year":1968,"eu_category":"M1","vehicle_type":"PB","vehicle_year":1968,"vehicle_class":"I","registration_date":"19680611"}</x:v>
      </x:c>
    </x:row>
    <x:row r="174" ht="18" customHeight="1">
      <x:c r="A174" s="36" t="n">
        <x:v>2894</x:v>
      </x:c>
      <x:c r="B174" s="36" t="str">
        <x:v>normalization-review-passenger-250-v1-rules-20260805T184409855703Z</x:v>
      </x:c>
      <x:c r="C174" s="36" t="n">
        <x:v>46239.78067008102</x:v>
      </x:c>
      <x:c r="D174" s="38" t="str">
        <x:v>"2026-08-05T18:44:09.895308+00:00"</x:v>
      </x:c>
      <x:c r="E174" s="36"/>
      <x:c r="F174" s="36" t="str">
        <x:v>01</x:v>
      </x:c>
      <x:c r="G174" s="36"/>
      <x:c r="H174" s="36" t="str">
        <x:v>AUDI A4 1,8</x:v>
      </x:c>
      <x:c r="I174" s="36"/>
      <x:c r="J174" s="36"/>
      <x:c r="K174" s="36"/>
      <x:c r="L174" s="36" t="str">
        <x:v>M1</x:v>
      </x:c>
      <x:c r="M174" s="36"/>
      <x:c r="N174" s="36" t="str">
        <x:v>AU</x:v>
      </x:c>
      <x:c r="O174" s="36" t="str">
        <x:v>1</x:v>
      </x:c>
      <x:c r="P174" s="36" t="str">
        <x:v>0</x:v>
      </x:c>
      <x:c r="Q174" s="36" t="str">
        <x:v>0</x:v>
      </x:c>
      <x:c r="R174" s="36"/>
      <x:c r="S174" s="36" t="str">
        <x:v>M</x:v>
      </x:c>
      <x:c r="T174" s="36" t="str">
        <x:v>001707</x:v>
      </x:c>
      <x:c r="U174" s="36" t="str">
        <x:v>0</x:v>
      </x:c>
      <x:c r="V174" s="36" t="n">
        <x:v>92</x:v>
      </x:c>
      <x:c r="W174" s="36"/>
      <x:c r="X174" s="36"/>
      <x:c r="Y174" s="36" t="str">
        <x:v>001707</x:v>
      </x:c>
      <x:c r="Z174" s="36" t="n">
        <x:v>1995</x:v>
      </x:c>
      <x:c r="AA174" s="36" t="str">
        <x:v>TEST-2894</x:v>
      </x:c>
      <x:c r="AB174" s="36" t="str">
        <x:v>19950330</x:v>
      </x:c>
      <x:c r="AC174" s="36"/>
      <x:c r="AD174" s="36"/>
      <x:c r="AE174" s="36" t="str">
        <x:v>I</x:v>
      </x:c>
      <x:c r="AF174" s="36" t="str">
        <x:v>PB</x:v>
      </x:c>
      <x:c r="AG174" s="36" t="n">
        <x:v>1995</x:v>
      </x:c>
      <x:c r="AH174" s="36"/>
      <x:c r="AI174" s="36" t="str">
        <x:v>ZZZ00000000002894</x:v>
      </x:c>
      <x:c r="AJ174" s="38" t="str">
        <x:v>{"kw":92,"vin":"ZZZ00000000002894","brand":"AUDI A4 1,8","fuel1":"1","fuel2":"0","fuel3":"0","plate":"TEST-2894","is_4wd":"0","gearbox":"M","fab_code":"AU","group_no":"001707","model_no":"001707","body_code":"01","model_year":1995,"eu_category":"M1","vehicle_type":"PB","vehicle_year":1995,"vehicle_class":"I","registration_date":"19950330"}</x:v>
      </x:c>
    </x:row>
    <x:row r="175" ht="18" customHeight="1">
      <x:c r="A175" s="36" t="n">
        <x:v>2895</x:v>
      </x:c>
      <x:c r="B175" s="36" t="str">
        <x:v>normalization-review-passenger-250-v1-rules-20260805T184409855703Z</x:v>
      </x:c>
      <x:c r="C175" s="36" t="n">
        <x:v>46239.78067008102</x:v>
      </x:c>
      <x:c r="D175" s="38" t="str">
        <x:v>"2026-08-05T18:44:09.895308+00:00"</x:v>
      </x:c>
      <x:c r="E175" s="36"/>
      <x:c r="F175" s="36" t="str">
        <x:v>AC</x:v>
      </x:c>
      <x:c r="G175" s="36"/>
      <x:c r="H175" s="36" t="str">
        <x:v>VOLVO M + V50</x:v>
      </x:c>
      <x:c r="I175" s="36"/>
      <x:c r="J175" s="36" t="str">
        <x:v>200610</x:v>
      </x:c>
      <x:c r="K175" s="36" t="n">
        <x:v>2435</x:v>
      </x:c>
      <x:c r="L175" s="36" t="str">
        <x:v>M1</x:v>
      </x:c>
      <x:c r="M175" s="36"/>
      <x:c r="N175" s="36" t="str">
        <x:v>VO</x:v>
      </x:c>
      <x:c r="O175" s="36" t="str">
        <x:v>1</x:v>
      </x:c>
      <x:c r="P175" s="36" t="str">
        <x:v>0</x:v>
      </x:c>
      <x:c r="Q175" s="36" t="str">
        <x:v>0</x:v>
      </x:c>
      <x:c r="R175" s="36"/>
      <x:c r="S175" s="36" t="str">
        <x:v>A</x:v>
      </x:c>
      <x:c r="T175" s="36" t="str">
        <x:v>750046</x:v>
      </x:c>
      <x:c r="U175" s="36" t="str">
        <x:v>0</x:v>
      </x:c>
      <x:c r="V175" s="36" t="n">
        <x:v>125</x:v>
      </x:c>
      <x:c r="W175" s="36"/>
      <x:c r="X175" s="36"/>
      <x:c r="Y175" s="36"/>
      <x:c r="Z175" s="36"/>
      <x:c r="AA175" s="36" t="str">
        <x:v>TEST-2895</x:v>
      </x:c>
      <x:c r="AB175" s="36" t="str">
        <x:v>20061102</x:v>
      </x:c>
      <x:c r="AC175" s="36" t="str">
        <x:v>M</x:v>
      </x:c>
      <x:c r="AD175" s="36" t="str">
        <x:v>MW38</x:v>
      </x:c>
      <x:c r="AE175" s="36" t="str">
        <x:v>I</x:v>
      </x:c>
      <x:c r="AF175" s="36" t="str">
        <x:v>PB</x:v>
      </x:c>
      <x:c r="AG175" s="36" t="n">
        <x:v>2006</x:v>
      </x:c>
      <x:c r="AH175" s="36" t="str">
        <x:v>MW3859??</x:v>
      </x:c>
      <x:c r="AI175" s="36" t="str">
        <x:v>YV100000000002895</x:v>
      </x:c>
      <x:c r="AJ175" s="38" t="str">
        <x:v>{"kw":125,"ccm":2435,"vin":"YV100000000002895","brand":"VOLVO M + V50","fuel1":"1","fuel2":"0","fuel3":"0","plate":"TEST-2895","is_4wd":"0","gearbox":"A","variant":"MW38","version":"MW3859??","fab_code":"VO","group_no":"750046","body_code":"AC","type_text":"M","build_month":"200610","eu_category":"M1","vehicle_type":"PB","vehicle_year":2006,"vehicle_class":"I","registration_date":"20061102"}</x:v>
      </x:c>
    </x:row>
    <x:row r="176" ht="18" customHeight="1">
      <x:c r="A176" s="36" t="n">
        <x:v>2896</x:v>
      </x:c>
      <x:c r="B176" s="36" t="str">
        <x:v>normalization-review-passenger-250-v1-rules-20260805T184409855703Z</x:v>
      </x:c>
      <x:c r="C176" s="36" t="n">
        <x:v>46239.78067008102</x:v>
      </x:c>
      <x:c r="D176" s="38" t="str">
        <x:v>"2026-08-05T18:44:09.895308+00:00"</x:v>
      </x:c>
      <x:c r="E176" s="36"/>
      <x:c r="F176" s="36" t="str">
        <x:v>AF</x:v>
      </x:c>
      <x:c r="G176" s="36"/>
      <x:c r="H176" s="36" t="str">
        <x:v>TOYOTA</x:v>
      </x:c>
      <x:c r="I176" s="36" t="str">
        <x:v>20210126</x:v>
      </x:c>
      <x:c r="J176" s="36" t="str">
        <x:v>202101</x:v>
      </x:c>
      <x:c r="K176" s="36" t="n">
        <x:v>2755</x:v>
      </x:c>
      <x:c r="L176" s="36" t="str">
        <x:v>M1G</x:v>
      </x:c>
      <x:c r="M176" s="36"/>
      <x:c r="N176" s="36" t="str">
        <x:v>TO</x:v>
      </x:c>
      <x:c r="O176" s="36" t="str">
        <x:v>2</x:v>
      </x:c>
      <x:c r="P176" s="36" t="str">
        <x:v>0</x:v>
      </x:c>
      <x:c r="Q176" s="36" t="str">
        <x:v>0</x:v>
      </x:c>
      <x:c r="R176" s="36"/>
      <x:c r="S176" s="36" t="str">
        <x:v>A</x:v>
      </x:c>
      <x:c r="T176" s="36" t="str">
        <x:v>303591</x:v>
      </x:c>
      <x:c r="U176" s="36" t="str">
        <x:v>1</x:v>
      </x:c>
      <x:c r="V176" s="36" t="n">
        <x:v>150</x:v>
      </x:c>
      <x:c r="W176" s="36" t="str">
        <x:v>TOYOTA MOTOR EUROPE NV/SA</x:v>
      </x:c>
      <x:c r="X176" s="36" t="str">
        <x:v>TOYOTA LAND CRUISER (150</x:v>
      </x:c>
      <x:c r="Y176" s="36"/>
      <x:c r="Z176" s="36"/>
      <x:c r="AA176" s="36" t="str">
        <x:v>TEST-2896</x:v>
      </x:c>
      <x:c r="AB176" s="36" t="str">
        <x:v>20210319</x:v>
      </x:c>
      <x:c r="AC176" s="36" t="str">
        <x:v>J15TM</x:v>
      </x:c>
      <x:c r="AD176" s="36" t="str">
        <x:v>GDJ150(MF)</x:v>
      </x:c>
      <x:c r="AE176" s="36" t="str">
        <x:v>I</x:v>
      </x:c>
      <x:c r="AF176" s="36" t="str">
        <x:v>PB</x:v>
      </x:c>
      <x:c r="AG176" s="36" t="n">
        <x:v>2021</x:v>
      </x:c>
      <x:c r="AH176" s="36" t="str">
        <x:v>GDJ150L-GKTEYW(FN)</x:v>
      </x:c>
      <x:c r="AI176" s="36" t="str">
        <x:v>JTE00000000002896</x:v>
      </x:c>
      <x:c r="AJ176" s="38" t="str">
        <x:v>{"kw":150,"ccm":2755,"vin":"JTE00000000002896","brand":"TOYOTA","fuel1":"2","fuel2":"0","fuel3":"0","model":"TOYOTA LAND CRUISER (150","plate":"TEST-2896","is_4wd":"1","gearbox":"A","variant":"GDJ150(MF)","version":"GDJ150L-GKTEYW(FN)","fab_code":"TO","group_no":"303591","body_code":"AF","type_text":"J15TM","build_date":"20210126","build_month":"202101","eu_category":"M1G","manufacturer":"TOYOTA MOTOR EUROPE NV/SA","vehicle_type":"PB","vehicle_year":2021,"vehicle_class":"I","registration_date":"20210319"}</x:v>
      </x:c>
    </x:row>
    <x:row r="177" ht="18" customHeight="1">
      <x:c r="A177" s="36" t="n">
        <x:v>2897</x:v>
      </x:c>
      <x:c r="B177" s="36" t="str">
        <x:v>normalization-review-passenger-250-v1-rules-20260805T184409855703Z</x:v>
      </x:c>
      <x:c r="C177" s="36" t="n">
        <x:v>46239.78067008102</x:v>
      </x:c>
      <x:c r="D177" s="38" t="str">
        <x:v>"2026-08-05T18:44:09.895308+00:00"</x:v>
      </x:c>
      <x:c r="E177" s="36"/>
      <x:c r="F177" s="36" t="str">
        <x:v>AC</x:v>
      </x:c>
      <x:c r="G177" s="36"/>
      <x:c r="H177" s="36" t="str">
        <x:v>SKODA</x:v>
      </x:c>
      <x:c r="I177" s="36"/>
      <x:c r="J177" s="36" t="str">
        <x:v>201904</x:v>
      </x:c>
      <x:c r="K177" s="36" t="n">
        <x:v>999</x:v>
      </x:c>
      <x:c r="L177" s="36" t="str">
        <x:v>M1</x:v>
      </x:c>
      <x:c r="M177" s="36"/>
      <x:c r="N177" s="36" t="str">
        <x:v>SK</x:v>
      </x:c>
      <x:c r="O177" s="36" t="str">
        <x:v>1</x:v>
      </x:c>
      <x:c r="P177" s="36" t="str">
        <x:v>0</x:v>
      </x:c>
      <x:c r="Q177" s="36" t="str">
        <x:v>0</x:v>
      </x:c>
      <x:c r="R177" s="36"/>
      <x:c r="S177" s="36" t="str">
        <x:v>M</x:v>
      </x:c>
      <x:c r="T177" s="36" t="str">
        <x:v>014417</x:v>
      </x:c>
      <x:c r="U177" s="36" t="str">
        <x:v>0</x:v>
      </x:c>
      <x:c r="V177" s="36" t="n">
        <x:v>85</x:v>
      </x:c>
      <x:c r="W177" s="36"/>
      <x:c r="X177" s="36" t="str">
        <x:v>OCTAVIA</x:v>
      </x:c>
      <x:c r="Y177" s="36"/>
      <x:c r="Z177" s="36"/>
      <x:c r="AA177" s="36" t="str">
        <x:v>TEST-2897</x:v>
      </x:c>
      <x:c r="AB177" s="36" t="str">
        <x:v>20190619</x:v>
      </x:c>
      <x:c r="AC177" s="36" t="str">
        <x:v>5E</x:v>
      </x:c>
      <x:c r="AD177" s="36" t="str">
        <x:v>ACDKRFX0</x:v>
      </x:c>
      <x:c r="AE177" s="36" t="str">
        <x:v>I</x:v>
      </x:c>
      <x:c r="AF177" s="36" t="str">
        <x:v>PB</x:v>
      </x:c>
      <x:c r="AG177" s="36" t="n">
        <x:v>2019</x:v>
      </x:c>
      <x:c r="AH177" s="36" t="str">
        <x:v>NFM6FM6AJ0167CPSTVLN1C7B</x:v>
      </x:c>
      <x:c r="AI177" s="36" t="str">
        <x:v>TMB00000000002897</x:v>
      </x:c>
      <x:c r="AJ177" s="38" t="str">
        <x:v>{"kw":85,"ccm":999,"vin":"TMB00000000002897","brand":"SKODA","fuel1":"1","fuel2":"0","fuel3":"0","model":"OCTAVIA","plate":"TEST-2897","is_4wd":"0","gearbox":"M","variant":"ACDKRFX0","version":"NFM6FM6AJ0167CPSTVLN1C7B","fab_code":"SK","group_no":"014417","body_code":"AC","type_text":"5E","build_month":"201904","eu_category":"M1","vehicle_type":"PB","vehicle_year":2019,"vehicle_class":"I","registration_date":"20190619"}</x:v>
      </x:c>
    </x:row>
    <x:row r="178" ht="18" customHeight="1">
      <x:c r="A178" s="36" t="n">
        <x:v>2898</x:v>
      </x:c>
      <x:c r="B178" s="36" t="str">
        <x:v>normalization-review-passenger-250-v1-rules-20260805T184409855703Z</x:v>
      </x:c>
      <x:c r="C178" s="36" t="n">
        <x:v>46239.78067008102</x:v>
      </x:c>
      <x:c r="D178" s="38" t="str">
        <x:v>"2026-08-05T18:44:09.895308+00:00"</x:v>
      </x:c>
      <x:c r="E178" s="36"/>
      <x:c r="F178" s="36" t="str">
        <x:v>AB</x:v>
      </x:c>
      <x:c r="G178" s="36"/>
      <x:c r="H178" s="36" t="str">
        <x:v>RENAULT M MEGANE</x:v>
      </x:c>
      <x:c r="I178" s="36"/>
      <x:c r="J178" s="36" t="str">
        <x:v>200709</x:v>
      </x:c>
      <x:c r="K178" s="36" t="n">
        <x:v>1598</x:v>
      </x:c>
      <x:c r="L178" s="36" t="str">
        <x:v>M1</x:v>
      </x:c>
      <x:c r="M178" s="36"/>
      <x:c r="N178" s="36" t="str">
        <x:v>RN</x:v>
      </x:c>
      <x:c r="O178" s="36" t="str">
        <x:v>1</x:v>
      </x:c>
      <x:c r="P178" s="36" t="str">
        <x:v>7</x:v>
      </x:c>
      <x:c r="Q178" s="36" t="str">
        <x:v>0</x:v>
      </x:c>
      <x:c r="R178" s="36"/>
      <x:c r="S178" s="36" t="str">
        <x:v>M</x:v>
      </x:c>
      <x:c r="T178" s="36" t="str">
        <x:v>477212</x:v>
      </x:c>
      <x:c r="U178" s="36" t="str">
        <x:v>0</x:v>
      </x:c>
      <x:c r="V178" s="36" t="n">
        <x:v>77</x:v>
      </x:c>
      <x:c r="W178" s="36"/>
      <x:c r="X178" s="36"/>
      <x:c r="Y178" s="36"/>
      <x:c r="Z178" s="36"/>
      <x:c r="AA178" s="36" t="str">
        <x:v>TEST-2898</x:v>
      </x:c>
      <x:c r="AB178" s="36" t="str">
        <x:v>20080303</x:v>
      </x:c>
      <x:c r="AC178" s="36" t="str">
        <x:v>M</x:v>
      </x:c>
      <x:c r="AD178" s="36" t="str">
        <x:v>BM2K</x:v>
      </x:c>
      <x:c r="AE178" s="36" t="str">
        <x:v>I</x:v>
      </x:c>
      <x:c r="AF178" s="36" t="str">
        <x:v>PB</x:v>
      </x:c>
      <x:c r="AG178" s="36" t="n">
        <x:v>2007</x:v>
      </x:c>
      <x:c r="AH178" s="36" t="str">
        <x:v>BM2K0H</x:v>
      </x:c>
      <x:c r="AI178" s="36" t="str">
        <x:v>VF100000000002898</x:v>
      </x:c>
      <x:c r="AJ178" s="38" t="str">
        <x:v>{"kw":77,"ccm":1598,"vin":"VF100000000002898","brand":"RENAULT M MEGANE","fuel1":"1","fuel2":"7","fuel3":"0","plate":"TEST-2898","is_4wd":"0","gearbox":"M","variant":"BM2K","version":"BM2K0H","fab_code":"RN","group_no":"477212","body_code":"AB","type_text":"M","build_month":"200709","eu_category":"M1","vehicle_type":"PB","vehicle_year":2007,"vehicle_class":"I","registration_date":"20080303"}</x:v>
      </x:c>
    </x:row>
    <x:row r="179" ht="18" customHeight="1">
      <x:c r="A179" s="36" t="n">
        <x:v>2899</x:v>
      </x:c>
      <x:c r="B179" s="36" t="str">
        <x:v>normalization-review-passenger-250-v1-rules-20260805T184409855703Z</x:v>
      </x:c>
      <x:c r="C179" s="36" t="n">
        <x:v>46239.78067008102</x:v>
      </x:c>
      <x:c r="D179" s="38" t="str">
        <x:v>"2026-08-05T18:44:09.895308+00:00"</x:v>
      </x:c>
      <x:c r="E179" s="36"/>
      <x:c r="F179" s="36" t="str">
        <x:v>AF</x:v>
      </x:c>
      <x:c r="G179" s="36"/>
      <x:c r="H179" s="36" t="str">
        <x:v>CHRYSLER TOWN &amp;COUNTRY</x:v>
      </x:c>
      <x:c r="I179" s="36"/>
      <x:c r="J179" s="36"/>
      <x:c r="K179" s="36"/>
      <x:c r="L179" s="36" t="str">
        <x:v>M1</x:v>
      </x:c>
      <x:c r="M179" s="36"/>
      <x:c r="N179" s="36" t="str">
        <x:v>CR</x:v>
      </x:c>
      <x:c r="O179" s="36" t="str">
        <x:v>1</x:v>
      </x:c>
      <x:c r="P179" s="36" t="str">
        <x:v>0</x:v>
      </x:c>
      <x:c r="Q179" s="36" t="str">
        <x:v>0</x:v>
      </x:c>
      <x:c r="R179" s="36"/>
      <x:c r="S179" s="36" t="str">
        <x:v>A</x:v>
      </x:c>
      <x:c r="T179" s="36"/>
      <x:c r="U179" s="36" t="str">
        <x:v>0</x:v>
      </x:c>
      <x:c r="V179" s="36" t="n">
        <x:v>145</x:v>
      </x:c>
      <x:c r="W179" s="36"/>
      <x:c r="X179" s="36"/>
      <x:c r="Y179" s="36"/>
      <x:c r="Z179" s="36" t="n">
        <x:v>2010</x:v>
      </x:c>
      <x:c r="AA179" s="36" t="str">
        <x:v>TEST-2899</x:v>
      </x:c>
      <x:c r="AB179" s="36" t="str">
        <x:v>20120305</x:v>
      </x:c>
      <x:c r="AC179" s="36"/>
      <x:c r="AD179" s="36"/>
      <x:c r="AE179" s="36" t="str">
        <x:v>I</x:v>
      </x:c>
      <x:c r="AF179" s="36" t="str">
        <x:v>PB</x:v>
      </x:c>
      <x:c r="AG179" s="36" t="n">
        <x:v>2010</x:v>
      </x:c>
      <x:c r="AH179" s="36"/>
      <x:c r="AI179" s="36" t="str">
        <x:v>2A400000000002899</x:v>
      </x:c>
      <x:c r="AJ179" s="38" t="str">
        <x:v>{"kw":145,"vin":"2A400000000002899","brand":"CHRYSLER TOWN &amp;COUNTRY","fuel1":"1","fuel2":"0","fuel3":"0","plate":"TEST-2899","is_4wd":"0","gearbox":"A","fab_code":"CR","body_code":"AF","model_year":2010,"eu_category":"M1","vehicle_type":"PB","vehicle_year":2010,"vehicle_class":"I","registration_date":"20120305"}</x:v>
      </x:c>
    </x:row>
    <x:row r="180" ht="18" customHeight="1">
      <x:c r="A180" s="36" t="n">
        <x:v>2900</x:v>
      </x:c>
      <x:c r="B180" s="36" t="str">
        <x:v>normalization-review-passenger-250-v1-rules-20260805T184409855703Z</x:v>
      </x:c>
      <x:c r="C180" s="36" t="n">
        <x:v>46239.78067008102</x:v>
      </x:c>
      <x:c r="D180" s="38" t="str">
        <x:v>"2026-08-05T18:44:09.895308+00:00"</x:v>
      </x:c>
      <x:c r="E180" s="36"/>
      <x:c r="F180" s="36" t="str">
        <x:v>AB</x:v>
      </x:c>
      <x:c r="G180" s="36"/>
      <x:c r="H180" s="36" t="str">
        <x:v>VOLKSWAGEN, VW</x:v>
      </x:c>
      <x:c r="I180" s="36"/>
      <x:c r="J180" s="36" t="str">
        <x:v>201510</x:v>
      </x:c>
      <x:c r="K180" s="36" t="n">
        <x:v>999</x:v>
      </x:c>
      <x:c r="L180" s="36" t="str">
        <x:v>M1</x:v>
      </x:c>
      <x:c r="M180" s="36"/>
      <x:c r="N180" s="36" t="str">
        <x:v>VW</x:v>
      </x:c>
      <x:c r="O180" s="36" t="str">
        <x:v>1</x:v>
      </x:c>
      <x:c r="P180" s="36" t="str">
        <x:v>0</x:v>
      </x:c>
      <x:c r="Q180" s="36" t="str">
        <x:v>0</x:v>
      </x:c>
      <x:c r="R180" s="36"/>
      <x:c r="S180" s="36" t="str">
        <x:v>M</x:v>
      </x:c>
      <x:c r="T180" s="36" t="str">
        <x:v>614004</x:v>
      </x:c>
      <x:c r="U180" s="36" t="str">
        <x:v>0</x:v>
      </x:c>
      <x:c r="V180" s="36" t="n">
        <x:v>55</x:v>
      </x:c>
      <x:c r="W180" s="36"/>
      <x:c r="X180" s="36" t="str">
        <x:v>UP!</x:v>
      </x:c>
      <x:c r="Y180" s="36"/>
      <x:c r="Z180" s="36"/>
      <x:c r="AA180" s="36" t="str">
        <x:v>TEST-2900</x:v>
      </x:c>
      <x:c r="AB180" s="36" t="str">
        <x:v>20151127</x:v>
      </x:c>
      <x:c r="AC180" s="36" t="str">
        <x:v>AA</x:v>
      </x:c>
      <x:c r="AD180" s="36" t="str">
        <x:v>ABCHYB</x:v>
      </x:c>
      <x:c r="AE180" s="36" t="str">
        <x:v>I</x:v>
      </x:c>
      <x:c r="AF180" s="36" t="str">
        <x:v>PB</x:v>
      </x:c>
      <x:c r="AG180" s="36" t="n">
        <x:v>2015</x:v>
      </x:c>
      <x:c r="AH180" s="36" t="str">
        <x:v>FM5FM5CF0107MMVR0N1SVW61</x:v>
      </x:c>
      <x:c r="AI180" s="36" t="str">
        <x:v>WVW00000000002900</x:v>
      </x:c>
      <x:c r="AJ180" s="38" t="str">
        <x:v>{"kw":55,"ccm":999,"vin":"WVW00000000002900","brand":"VOLKSWAGEN, VW","fuel1":"1","fuel2":"0","fuel3":"0","model":"UP!","plate":"TEST-2900","is_4wd":"0","gearbox":"M","variant":"ABCHYB","version":"FM5FM5CF0107MMVR0N1SVW61","fab_code":"VW","group_no":"614004","body_code":"AB","type_text":"AA","build_month":"201510","eu_category":"M1","vehicle_type":"PB","vehicle_year":2015,"vehicle_class":"I","registration_date":"20151127"}</x:v>
      </x:c>
    </x:row>
    <x:row r="181" ht="18" customHeight="1">
      <x:c r="A181" s="36" t="n">
        <x:v>2901</x:v>
      </x:c>
      <x:c r="B181" s="36" t="str">
        <x:v>normalization-review-passenger-250-v1-rules-20260805T184409855703Z</x:v>
      </x:c>
      <x:c r="C181" s="36" t="n">
        <x:v>46239.78067008102</x:v>
      </x:c>
      <x:c r="D181" s="38" t="str">
        <x:v>"2026-08-05T18:44:09.895308+00:00"</x:v>
      </x:c>
      <x:c r="E181" s="36"/>
      <x:c r="F181" s="36" t="str">
        <x:v>AC</x:v>
      </x:c>
      <x:c r="G181" s="36"/>
      <x:c r="H181" s="36" t="str">
        <x:v>RENAULT M MEGANE</x:v>
      </x:c>
      <x:c r="I181" s="36"/>
      <x:c r="J181" s="36" t="str">
        <x:v>200710</x:v>
      </x:c>
      <x:c r="K181" s="36" t="n">
        <x:v>1598</x:v>
      </x:c>
      <x:c r="L181" s="36" t="str">
        <x:v>M1</x:v>
      </x:c>
      <x:c r="M181" s="36"/>
      <x:c r="N181" s="36" t="str">
        <x:v>RN</x:v>
      </x:c>
      <x:c r="O181" s="36" t="str">
        <x:v>1</x:v>
      </x:c>
      <x:c r="P181" s="36" t="str">
        <x:v>7</x:v>
      </x:c>
      <x:c r="Q181" s="36" t="str">
        <x:v>0</x:v>
      </x:c>
      <x:c r="R181" s="36"/>
      <x:c r="S181" s="36" t="str">
        <x:v>M</x:v>
      </x:c>
      <x:c r="T181" s="36" t="str">
        <x:v>477213</x:v>
      </x:c>
      <x:c r="U181" s="36" t="str">
        <x:v>0</x:v>
      </x:c>
      <x:c r="V181" s="36" t="n">
        <x:v>77</x:v>
      </x:c>
      <x:c r="W181" s="36"/>
      <x:c r="X181" s="36"/>
      <x:c r="Y181" s="36"/>
      <x:c r="Z181" s="36"/>
      <x:c r="AA181" s="36" t="str">
        <x:v>TEST-2901</x:v>
      </x:c>
      <x:c r="AB181" s="36" t="str">
        <x:v>20071112</x:v>
      </x:c>
      <x:c r="AC181" s="36" t="str">
        <x:v>M</x:v>
      </x:c>
      <x:c r="AD181" s="36" t="str">
        <x:v>KM2K</x:v>
      </x:c>
      <x:c r="AE181" s="36" t="str">
        <x:v>I</x:v>
      </x:c>
      <x:c r="AF181" s="36" t="str">
        <x:v>PB</x:v>
      </x:c>
      <x:c r="AG181" s="36" t="n">
        <x:v>2007</x:v>
      </x:c>
      <x:c r="AH181" s="36" t="str">
        <x:v>KM2K0H</x:v>
      </x:c>
      <x:c r="AI181" s="36" t="str">
        <x:v>VF100000000002901</x:v>
      </x:c>
      <x:c r="AJ181" s="38" t="str">
        <x:v>{"kw":77,"ccm":1598,"vin":"VF100000000002901","brand":"RENAULT M MEGANE","fuel1":"1","fuel2":"7","fuel3":"0","plate":"TEST-2901","is_4wd":"0","gearbox":"M","variant":"KM2K","version":"KM2K0H","fab_code":"RN","group_no":"477213","body_code":"AC","type_text":"M","build_month":"200710","eu_category":"M1","vehicle_type":"PB","vehicle_year":2007,"vehicle_class":"I","registration_date":"20071112"}</x:v>
      </x:c>
    </x:row>
    <x:row r="182" ht="18" customHeight="1">
      <x:c r="A182" s="36" t="n">
        <x:v>2902</x:v>
      </x:c>
      <x:c r="B182" s="36" t="str">
        <x:v>normalization-review-passenger-250-v1-rules-20260805T184409855703Z</x:v>
      </x:c>
      <x:c r="C182" s="36" t="n">
        <x:v>46239.78067008102</x:v>
      </x:c>
      <x:c r="D182" s="38" t="str">
        <x:v>"2026-08-05T18:44:09.895308+00:00"</x:v>
      </x:c>
      <x:c r="E182" s="36"/>
      <x:c r="F182" s="36" t="str">
        <x:v>AC</x:v>
      </x:c>
      <x:c r="G182" s="36"/>
      <x:c r="H182" s="36" t="str">
        <x:v>BMW</x:v>
      </x:c>
      <x:c r="I182" s="36" t="str">
        <x:v>20220218</x:v>
      </x:c>
      <x:c r="J182" s="36" t="str">
        <x:v>202202</x:v>
      </x:c>
      <x:c r="K182" s="36" t="n">
        <x:v>1998</x:v>
      </x:c>
      <x:c r="L182" s="36" t="str">
        <x:v>M1</x:v>
      </x:c>
      <x:c r="M182" s="36" t="str">
        <x:v>LADDHYBRID</x:v>
      </x:c>
      <x:c r="N182" s="36" t="str">
        <x:v>BW</x:v>
      </x:c>
      <x:c r="O182" s="36" t="str">
        <x:v>1</x:v>
      </x:c>
      <x:c r="P182" s="36" t="str">
        <x:v>3</x:v>
      </x:c>
      <x:c r="Q182" s="36" t="str">
        <x:v>0</x:v>
      </x:c>
      <x:c r="R182" s="36"/>
      <x:c r="S182" s="36" t="str">
        <x:v>A</x:v>
      </x:c>
      <x:c r="T182" s="36" t="str">
        <x:v>251157</x:v>
      </x:c>
      <x:c r="U182" s="36" t="str">
        <x:v>1</x:v>
      </x:c>
      <x:c r="V182" s="36" t="n">
        <x:v>135</x:v>
      </x:c>
      <x:c r="W182" s="36" t="str">
        <x:v>BAYERISCHE MOTOREN WERKE AG, DE-80788 MÅNCHEN</x:v>
      </x:c>
      <x:c r="X182" s="36" t="str">
        <x:v>530E XDRIVE</x:v>
      </x:c>
      <x:c r="Y182" s="36"/>
      <x:c r="Z182" s="36"/>
      <x:c r="AA182" s="36" t="str">
        <x:v>TEST-2902</x:v>
      </x:c>
      <x:c r="AB182" s="36" t="str">
        <x:v>20220428</x:v>
      </x:c>
      <x:c r="AC182" s="36" t="str">
        <x:v>G5K</x:v>
      </x:c>
      <x:c r="AD182" s="36" t="str">
        <x:v>31CG</x:v>
      </x:c>
      <x:c r="AE182" s="36" t="str">
        <x:v>I</x:v>
      </x:c>
      <x:c r="AF182" s="36" t="str">
        <x:v>PB</x:v>
      </x:c>
      <x:c r="AG182" s="36" t="n">
        <x:v>2022</x:v>
      </x:c>
      <x:c r="AH182" s="36" t="str">
        <x:v>IAW500M0</x:v>
      </x:c>
      <x:c r="AI182" s="36" t="str">
        <x:v>WBA00000000002902</x:v>
      </x:c>
      <x:c r="AJ182" s="38" t="str">
        <x:v>{"kw":135,"ccm":1998,"vin":"WBA00000000002902","brand":"BMW","fuel1":"1","fuel2":"3","fuel3":"0","model":"530E XDRIVE","plate":"TEST-2902","is_4wd":"1","gearbox":"A","variant":"31CG","version":"IAW500M0","fab_code":"BW","group_no":"251157","body_code":"AC","ev_config":"LADDHYBRID","type_text":"G5K","build_date":"20220218","build_month":"202202","eu_category":"M1","manufacturer":"BAYERISCHE MOTOREN WERKE AG, DE-80788 MÅNCHEN","vehicle_type":"PB","vehicle_year":2022,"vehicle_class":"I","registration_date":"20220428"}</x:v>
      </x:c>
    </x:row>
    <x:row r="183" ht="18" customHeight="1">
      <x:c r="A183" s="36" t="n">
        <x:v>2903</x:v>
      </x:c>
      <x:c r="B183" s="36" t="str">
        <x:v>normalization-review-passenger-250-v1-rules-20260805T184409855703Z</x:v>
      </x:c>
      <x:c r="C183" s="36" t="n">
        <x:v>46239.78067008102</x:v>
      </x:c>
      <x:c r="D183" s="38" t="str">
        <x:v>"2026-08-05T18:44:09.895308+00:00"</x:v>
      </x:c>
      <x:c r="E183" s="36"/>
      <x:c r="F183" s="36" t="str">
        <x:v>AB</x:v>
      </x:c>
      <x:c r="G183" s="36"/>
      <x:c r="H183" s="36" t="str">
        <x:v>AUDI</x:v>
      </x:c>
      <x:c r="I183" s="36"/>
      <x:c r="J183" s="36" t="str">
        <x:v>201902</x:v>
      </x:c>
      <x:c r="K183" s="36" t="n">
        <x:v>1984</x:v>
      </x:c>
      <x:c r="L183" s="36" t="str">
        <x:v>M1</x:v>
      </x:c>
      <x:c r="M183" s="36"/>
      <x:c r="N183" s="36" t="str">
        <x:v>AU</x:v>
      </x:c>
      <x:c r="O183" s="36" t="str">
        <x:v>1</x:v>
      </x:c>
      <x:c r="P183" s="36" t="str">
        <x:v>0</x:v>
      </x:c>
      <x:c r="Q183" s="36" t="str">
        <x:v>0</x:v>
      </x:c>
      <x:c r="R183" s="36"/>
      <x:c r="S183" s="36" t="str">
        <x:v>A</x:v>
      </x:c>
      <x:c r="T183" s="36" t="str">
        <x:v>547018</x:v>
      </x:c>
      <x:c r="U183" s="36" t="str">
        <x:v>1</x:v>
      </x:c>
      <x:c r="V183" s="36" t="n">
        <x:v>180</x:v>
      </x:c>
      <x:c r="W183" s="36"/>
      <x:c r="X183" s="36" t="str">
        <x:v>A5 SPORTBACK</x:v>
      </x:c>
      <x:c r="Y183" s="36"/>
      <x:c r="Z183" s="36"/>
      <x:c r="AA183" s="36" t="str">
        <x:v>TEST-2903</x:v>
      </x:c>
      <x:c r="AB183" s="36" t="str">
        <x:v>20190517</x:v>
      </x:c>
      <x:c r="AC183" s="36" t="str">
        <x:v>B8</x:v>
      </x:c>
      <x:c r="AD183" s="36" t="str">
        <x:v>S2DKNAQ1</x:v>
      </x:c>
      <x:c r="AE183" s="36" t="str">
        <x:v>I</x:v>
      </x:c>
      <x:c r="AF183" s="36" t="str">
        <x:v>PB</x:v>
      </x:c>
      <x:c r="AG183" s="36" t="n">
        <x:v>2019</x:v>
      </x:c>
      <x:c r="AH183" s="36" t="str">
        <x:v>QD7AD7CJ004RT181E20S57CSBEM1</x:v>
      </x:c>
      <x:c r="AI183" s="36" t="str">
        <x:v>WAU00000000002903</x:v>
      </x:c>
      <x:c r="AJ183" s="38" t="str">
        <x:v>{"kw":180,"ccm":1984,"vin":"WAU00000000002903","brand":"AUDI","fuel1":"1","fuel2":"0","fuel3":"0","model":"A5 SPORTBACK","plate":"TEST-2903","is_4wd":"1","gearbox":"A","variant":"S2DKNAQ1","version":"QD7AD7CJ004RT181E20S57CSBEM1","fab_code":"AU","group_no":"547018","body_code":"AB","type_text":"B8","build_month":"201902","eu_category":"M1","vehicle_type":"PB","vehicle_year":2019,"vehicle_class":"I","registration_date":"20190517"}</x:v>
      </x:c>
    </x:row>
    <x:row r="184" ht="18" customHeight="1">
      <x:c r="A184" s="36" t="n">
        <x:v>2904</x:v>
      </x:c>
      <x:c r="B184" s="36" t="str">
        <x:v>normalization-review-passenger-250-v1-rules-20260805T184409855703Z</x:v>
      </x:c>
      <x:c r="C184" s="36" t="n">
        <x:v>46239.78067008102</x:v>
      </x:c>
      <x:c r="D184" s="38" t="str">
        <x:v>"2026-08-05T18:44:09.895308+00:00"</x:v>
      </x:c>
      <x:c r="E184" s="36"/>
      <x:c r="F184" s="36" t="str">
        <x:v>AB</x:v>
      </x:c>
      <x:c r="G184" s="36"/>
      <x:c r="H184" s="36" t="str">
        <x:v>VOLKSWAGEN, VW  6R</x:v>
      </x:c>
      <x:c r="I184" s="36"/>
      <x:c r="J184" s="36" t="str">
        <x:v>201311</x:v>
      </x:c>
      <x:c r="K184" s="36" t="n">
        <x:v>1197</x:v>
      </x:c>
      <x:c r="L184" s="36" t="str">
        <x:v>M1</x:v>
      </x:c>
      <x:c r="M184" s="36"/>
      <x:c r="N184" s="36" t="str">
        <x:v>VW</x:v>
      </x:c>
      <x:c r="O184" s="36" t="str">
        <x:v>1</x:v>
      </x:c>
      <x:c r="P184" s="36" t="str">
        <x:v>0</x:v>
      </x:c>
      <x:c r="Q184" s="36" t="str">
        <x:v>0</x:v>
      </x:c>
      <x:c r="R184" s="36"/>
      <x:c r="S184" s="36" t="str">
        <x:v>M</x:v>
      </x:c>
      <x:c r="T184" s="36" t="str">
        <x:v>654001</x:v>
      </x:c>
      <x:c r="U184" s="36" t="str">
        <x:v>0</x:v>
      </x:c>
      <x:c r="V184" s="36" t="n">
        <x:v>66</x:v>
      </x:c>
      <x:c r="W184" s="36"/>
      <x:c r="X184" s="36" t="str">
        <x:v>POLO</x:v>
      </x:c>
      <x:c r="Y184" s="36"/>
      <x:c r="Z184" s="36"/>
      <x:c r="AA184" s="36" t="str">
        <x:v>TEST-2904</x:v>
      </x:c>
      <x:c r="AB184" s="36" t="str">
        <x:v>20140115</x:v>
      </x:c>
      <x:c r="AC184" s="36" t="str">
        <x:v>6R</x:v>
      </x:c>
      <x:c r="AD184" s="36" t="str">
        <x:v>ABCBZC</x:v>
      </x:c>
      <x:c r="AE184" s="36" t="str">
        <x:v>I</x:v>
      </x:c>
      <x:c r="AF184" s="36" t="str">
        <x:v>PB</x:v>
      </x:c>
      <x:c r="AG184" s="36" t="n">
        <x:v>2013</x:v>
      </x:c>
      <x:c r="AH184" s="36" t="str">
        <x:v>FM5FM52T106LLNVR07MJ</x:v>
      </x:c>
      <x:c r="AI184" s="36" t="str">
        <x:v>WVW00000000002904</x:v>
      </x:c>
      <x:c r="AJ184" s="38" t="str">
        <x:v>{"kw":66,"ccm":1197,"vin":"WVW00000000002904","brand":"VOLKSWAGEN, VW  6R","fuel1":"1","fuel2":"0","fuel3":"0","model":"POLO","plate":"TEST-2904","is_4wd":"0","gearbox":"M","variant":"ABCBZC","version":"FM5FM52T106LLNVR07MJ","fab_code":"VW","group_no":"654001","body_code":"AB","type_text":"6R","build_month":"201311","eu_category":"M1","vehicle_type":"PB","vehicle_year":2013,"vehicle_class":"I","registration_date":"20140115"}</x:v>
      </x:c>
    </x:row>
    <x:row r="185" ht="18" customHeight="1">
      <x:c r="A185" s="36" t="n">
        <x:v>2905</x:v>
      </x:c>
      <x:c r="B185" s="36" t="str">
        <x:v>normalization-review-passenger-250-v1-rules-20260805T184409855703Z</x:v>
      </x:c>
      <x:c r="C185" s="36" t="n">
        <x:v>46239.78067008102</x:v>
      </x:c>
      <x:c r="D185" s="38" t="str">
        <x:v>"2026-08-05T18:44:09.895308+00:00"</x:v>
      </x:c>
      <x:c r="E185" s="36"/>
      <x:c r="F185" s="36" t="str">
        <x:v>AC</x:v>
      </x:c>
      <x:c r="G185" s="36"/>
      <x:c r="H185" s="36" t="str">
        <x:v>VOLVO M + V50</x:v>
      </x:c>
      <x:c r="I185" s="36"/>
      <x:c r="J185" s="36" t="str">
        <x:v>200706</x:v>
      </x:c>
      <x:c r="K185" s="36" t="n">
        <x:v>1999</x:v>
      </x:c>
      <x:c r="L185" s="36" t="str">
        <x:v>M1</x:v>
      </x:c>
      <x:c r="M185" s="36"/>
      <x:c r="N185" s="36" t="str">
        <x:v>VO</x:v>
      </x:c>
      <x:c r="O185" s="36" t="str">
        <x:v>1</x:v>
      </x:c>
      <x:c r="P185" s="36" t="str">
        <x:v>0</x:v>
      </x:c>
      <x:c r="Q185" s="36" t="str">
        <x:v>0</x:v>
      </x:c>
      <x:c r="R185" s="36"/>
      <x:c r="S185" s="36" t="str">
        <x:v>M</x:v>
      </x:c>
      <x:c r="T185" s="36" t="str">
        <x:v>850018</x:v>
      </x:c>
      <x:c r="U185" s="36" t="str">
        <x:v>0</x:v>
      </x:c>
      <x:c r="V185" s="36" t="n">
        <x:v>107</x:v>
      </x:c>
      <x:c r="W185" s="36"/>
      <x:c r="X185" s="36"/>
      <x:c r="Y185" s="36"/>
      <x:c r="Z185" s="36"/>
      <x:c r="AA185" s="36" t="str">
        <x:v>TEST-2905</x:v>
      </x:c>
      <x:c r="AB185" s="36" t="str">
        <x:v>20070814</x:v>
      </x:c>
      <x:c r="AC185" s="36" t="str">
        <x:v>M</x:v>
      </x:c>
      <x:c r="AD185" s="36" t="str">
        <x:v>MW43</x:v>
      </x:c>
      <x:c r="AE185" s="36" t="str">
        <x:v>I</x:v>
      </x:c>
      <x:c r="AF185" s="36" t="str">
        <x:v>PB</x:v>
      </x:c>
      <x:c r="AG185" s="36" t="n">
        <x:v>2007</x:v>
      </x:c>
      <x:c r="AH185" s="36" t="str">
        <x:v>MW4342??</x:v>
      </x:c>
      <x:c r="AI185" s="36" t="str">
        <x:v>YV100000000002905</x:v>
      </x:c>
      <x:c r="AJ185" s="38" t="str">
        <x:v>{"kw":107,"ccm":1999,"vin":"YV100000000002905","brand":"VOLVO M + V50","fuel1":"1","fuel2":"0","fuel3":"0","plate":"TEST-2905","is_4wd":"0","gearbox":"M","variant":"MW43","version":"MW4342??","fab_code":"VO","group_no":"850018","body_code":"AC","type_text":"M","build_month":"200706","eu_category":"M1","vehicle_type":"PB","vehicle_year":2007,"vehicle_class":"I","registration_date":"20070814"}</x:v>
      </x:c>
    </x:row>
    <x:row r="186" ht="18" customHeight="1">
      <x:c r="A186" s="36" t="n">
        <x:v>2906</x:v>
      </x:c>
      <x:c r="B186" s="36" t="str">
        <x:v>normalization-review-passenger-250-v1-rules-20260805T184409855703Z</x:v>
      </x:c>
      <x:c r="C186" s="36" t="n">
        <x:v>46239.78067008102</x:v>
      </x:c>
      <x:c r="D186" s="38" t="str">
        <x:v>"2026-08-05T18:44:09.895308+00:00"</x:v>
      </x:c>
      <x:c r="E186" s="36"/>
      <x:c r="F186" s="36" t="str">
        <x:v>AC</x:v>
      </x:c>
      <x:c r="G186" s="36"/>
      <x:c r="H186" s="36" t="str">
        <x:v>DACIA</x:v>
      </x:c>
      <x:c r="I186" s="36"/>
      <x:c r="J186" s="36" t="str">
        <x:v>201906</x:v>
      </x:c>
      <x:c r="K186" s="36" t="n">
        <x:v>1332</x:v>
      </x:c>
      <x:c r="L186" s="36" t="str">
        <x:v>M1</x:v>
      </x:c>
      <x:c r="M186" s="36"/>
      <x:c r="N186" s="36" t="str">
        <x:v>DQ</x:v>
      </x:c>
      <x:c r="O186" s="36" t="str">
        <x:v>1</x:v>
      </x:c>
      <x:c r="P186" s="36" t="str">
        <x:v>0</x:v>
      </x:c>
      <x:c r="Q186" s="36" t="str">
        <x:v>0</x:v>
      </x:c>
      <x:c r="R186" s="36"/>
      <x:c r="S186" s="36"/>
      <x:c r="T186" s="36" t="str">
        <x:v>033032</x:v>
      </x:c>
      <x:c r="U186" s="36" t="str">
        <x:v>1</x:v>
      </x:c>
      <x:c r="V186" s="36" t="n">
        <x:v>96</x:v>
      </x:c>
      <x:c r="W186" s="36" t="str">
        <x:v>RENAULT S.A.S.</x:v>
      </x:c>
      <x:c r="X186" s="36" t="str">
        <x:v>DUSTER</x:v>
      </x:c>
      <x:c r="Y186" s="36"/>
      <x:c r="Z186" s="36"/>
      <x:c r="AA186" s="36" t="str">
        <x:v>TEST-2906</x:v>
      </x:c>
      <x:c r="AB186" s="36" t="str">
        <x:v>20190812</x:v>
      </x:c>
      <x:c r="AC186" s="36" t="str">
        <x:v>SR</x:v>
      </x:c>
      <x:c r="AD186" s="36" t="str">
        <x:v>DHE4</x:v>
      </x:c>
      <x:c r="AE186" s="36" t="str">
        <x:v>I</x:v>
      </x:c>
      <x:c r="AF186" s="36" t="str">
        <x:v>PB</x:v>
      </x:c>
      <x:c r="AG186" s="36" t="n">
        <x:v>2019</x:v>
      </x:c>
      <x:c r="AH186" s="36" t="str">
        <x:v>MF6DA140M000</x:v>
      </x:c>
      <x:c r="AI186" s="36" t="str">
        <x:v>VF100000000002906</x:v>
      </x:c>
      <x:c r="AJ186" s="38" t="str">
        <x:v>{"kw":96,"ccm":1332,"vin":"VF100000000002906","brand":"DACIA","fuel1":"1","fuel2":"0","fuel3":"0","model":"DUSTER","plate":"TEST-2906","is_4wd":"1","variant":"DHE4","version":"MF6DA140M000","fab_code":"DQ","group_no":"033032","body_code":"AC","type_text":"SR","build_month":"201906","eu_category":"M1","manufacturer":"RENAULT S.A.S.","vehicle_type":"PB","vehicle_year":2019,"vehicle_class":"I","registration_date":"20190812"}</x:v>
      </x:c>
    </x:row>
    <x:row r="187" ht="18" customHeight="1">
      <x:c r="A187" s="36" t="n">
        <x:v>2907</x:v>
      </x:c>
      <x:c r="B187" s="36" t="str">
        <x:v>normalization-review-passenger-250-v1-rules-20260805T184409855703Z</x:v>
      </x:c>
      <x:c r="C187" s="36" t="n">
        <x:v>46239.78067008102</x:v>
      </x:c>
      <x:c r="D187" s="38" t="str">
        <x:v>"2026-08-05T18:44:09.895308+00:00"</x:v>
      </x:c>
      <x:c r="E187" s="36"/>
      <x:c r="F187" s="36" t="str">
        <x:v>AC</x:v>
      </x:c>
      <x:c r="G187" s="36"/>
      <x:c r="H187" s="36" t="str">
        <x:v>TOYOTA</x:v>
      </x:c>
      <x:c r="I187" s="36" t="str">
        <x:v>20230427</x:v>
      </x:c>
      <x:c r="J187" s="36" t="str">
        <x:v>202304</x:v>
      </x:c>
      <x:c r="K187" s="36" t="n">
        <x:v>2487</x:v>
      </x:c>
      <x:c r="L187" s="36" t="str">
        <x:v>M1</x:v>
      </x:c>
      <x:c r="M187" s="36" t="str">
        <x:v>ELHYBRID</x:v>
      </x:c>
      <x:c r="N187" s="36" t="str">
        <x:v>TO</x:v>
      </x:c>
      <x:c r="O187" s="36" t="str">
        <x:v>1</x:v>
      </x:c>
      <x:c r="P187" s="36" t="str">
        <x:v>0</x:v>
      </x:c>
      <x:c r="Q187" s="36" t="str">
        <x:v>0</x:v>
      </x:c>
      <x:c r="R187" s="36"/>
      <x:c r="S187" s="36" t="str">
        <x:v>V</x:v>
      </x:c>
      <x:c r="T187" s="36" t="str">
        <x:v>193557</x:v>
      </x:c>
      <x:c r="U187" s="36" t="str">
        <x:v>1</x:v>
      </x:c>
      <x:c r="V187" s="36" t="n">
        <x:v>131</x:v>
      </x:c>
      <x:c r="W187" s="36" t="str">
        <x:v>TOYOTA MOTOR EUROPE NV/SA</x:v>
      </x:c>
      <x:c r="X187" s="36" t="str">
        <x:v>TOYOTA RAV4</x:v>
      </x:c>
      <x:c r="Y187" s="36"/>
      <x:c r="Z187" s="36"/>
      <x:c r="AA187" s="36" t="str">
        <x:v>TEST-2907</x:v>
      </x:c>
      <x:c r="AB187" s="36" t="str">
        <x:v>20230803</x:v>
      </x:c>
      <x:c r="AC187" s="36" t="str">
        <x:v>XA5(EU,M)</x:v>
      </x:c>
      <x:c r="AD187" s="36" t="str">
        <x:v>AXAL54(N)</x:v>
      </x:c>
      <x:c r="AE187" s="36" t="str">
        <x:v>I</x:v>
      </x:c>
      <x:c r="AF187" s="36" t="str">
        <x:v>PB</x:v>
      </x:c>
      <x:c r="AG187" s="36" t="n">
        <x:v>2023</x:v>
      </x:c>
      <x:c r="AH187" s="36" t="str">
        <x:v>AXAL54L-ANXGBW(1G)</x:v>
      </x:c>
      <x:c r="AI187" s="36" t="str">
        <x:v>JTM00000000002907</x:v>
      </x:c>
      <x:c r="AJ187" s="38" t="str">
        <x:v>{"kw":131,"ccm":2487,"vin":"JTM00000000002907","brand":"TOYOTA","fuel1":"1","fuel2":"0","fuel3":"0","model":"TOYOTA RAV4","plate":"TEST-2907","is_4wd":"1","gearbox":"V","variant":"AXAL54(N)","version":"AXAL54L-ANXGBW(1G)","fab_code":"TO","group_no":"193557","body_code":"AC","ev_config":"ELHYBRID","type_text":"XA5(EU,M)","build_date":"20230427","build_month":"202304","eu_category":"M1","manufacturer":"TOYOTA MOTOR EUROPE NV/SA","vehicle_type":"PB","vehicle_year":2023,"vehicle_class":"I","registration_date":"20230803"}</x:v>
      </x:c>
    </x:row>
    <x:row r="188" ht="18" customHeight="1">
      <x:c r="A188" s="36" t="n">
        <x:v>2908</x:v>
      </x:c>
      <x:c r="B188" s="36" t="str">
        <x:v>normalization-review-passenger-250-v1-rules-20260805T184409855703Z</x:v>
      </x:c>
      <x:c r="C188" s="36" t="n">
        <x:v>46239.78067008102</x:v>
      </x:c>
      <x:c r="D188" s="38" t="str">
        <x:v>"2026-08-05T18:44:09.895308+00:00"</x:v>
      </x:c>
      <x:c r="E188" s="36"/>
      <x:c r="F188" s="36" t="str">
        <x:v>AC</x:v>
      </x:c>
      <x:c r="G188" s="36"/>
      <x:c r="H188" s="36" t="str">
        <x:v>AUDI            4G</x:v>
      </x:c>
      <x:c r="I188" s="36"/>
      <x:c r="J188" s="36" t="str">
        <x:v>201404</x:v>
      </x:c>
      <x:c r="K188" s="36" t="n">
        <x:v>2967</x:v>
      </x:c>
      <x:c r="L188" s="36" t="str">
        <x:v>M1</x:v>
      </x:c>
      <x:c r="M188" s="36"/>
      <x:c r="N188" s="36" t="str">
        <x:v>AU</x:v>
      </x:c>
      <x:c r="O188" s="36" t="str">
        <x:v>2</x:v>
      </x:c>
      <x:c r="P188" s="36" t="str">
        <x:v>0</x:v>
      </x:c>
      <x:c r="Q188" s="36" t="str">
        <x:v>0</x:v>
      </x:c>
      <x:c r="R188" s="36"/>
      <x:c r="S188" s="36" t="str">
        <x:v>A</x:v>
      </x:c>
      <x:c r="T188" s="36" t="str">
        <x:v>624011</x:v>
      </x:c>
      <x:c r="U188" s="36" t="str">
        <x:v>1</x:v>
      </x:c>
      <x:c r="V188" s="36" t="n">
        <x:v>150</x:v>
      </x:c>
      <x:c r="W188" s="36"/>
      <x:c r="X188" s="36" t="str">
        <x:v>A6 AVANT</x:v>
      </x:c>
      <x:c r="Y188" s="36"/>
      <x:c r="Z188" s="36"/>
      <x:c r="AA188" s="36" t="str">
        <x:v>TEST-2908</x:v>
      </x:c>
      <x:c r="AB188" s="36" t="str">
        <x:v>20140429</x:v>
      </x:c>
      <x:c r="AC188" s="36" t="str">
        <x:v>4G</x:v>
      </x:c>
      <x:c r="AD188" s="36" t="str">
        <x:v>ACLAAQ1</x:v>
      </x:c>
      <x:c r="AE188" s="36" t="str">
        <x:v>I</x:v>
      </x:c>
      <x:c r="AF188" s="36" t="str">
        <x:v>PB</x:v>
      </x:c>
      <x:c r="AG188" s="36" t="n">
        <x:v>2014</x:v>
      </x:c>
      <x:c r="AH188" s="36" t="str">
        <x:v>QD7B5027R4G60S57MJEM2</x:v>
      </x:c>
      <x:c r="AI188" s="36" t="str">
        <x:v>WAU00000000002908</x:v>
      </x:c>
      <x:c r="AJ188" s="38" t="str">
        <x:v>{"kw":150,"ccm":2967,"vin":"WAU00000000002908","brand":"AUDI            4G","fuel1":"2","fuel2":"0","fuel3":"0","model":"A6 AVANT","plate":"TEST-2908","is_4wd":"1","gearbox":"A","variant":"ACLAAQ1","version":"QD7B5027R4G60S57MJEM2","fab_code":"AU","group_no":"624011","body_code":"AC","type_text":"4G","build_month":"201404","eu_category":"M1","vehicle_type":"PB","vehicle_year":2014,"vehicle_class":"I","registration_date":"20140429"}</x:v>
      </x:c>
    </x:row>
    <x:row r="189" ht="18" customHeight="1">
      <x:c r="A189" s="36" t="n">
        <x:v>2909</x:v>
      </x:c>
      <x:c r="B189" s="36" t="str">
        <x:v>normalization-review-passenger-250-v1-rules-20260805T184409855703Z</x:v>
      </x:c>
      <x:c r="C189" s="36" t="n">
        <x:v>46239.78067008102</x:v>
      </x:c>
      <x:c r="D189" s="38" t="str">
        <x:v>"2026-08-05T18:44:09.895308+00:00"</x:v>
      </x:c>
      <x:c r="E189" s="36"/>
      <x:c r="F189" s="36" t="str">
        <x:v>AB</x:v>
      </x:c>
      <x:c r="G189" s="36"/>
      <x:c r="H189" s="36" t="str">
        <x:v>HYUNDAI</x:v>
      </x:c>
      <x:c r="I189" s="36"/>
      <x:c r="J189" s="36" t="str">
        <x:v>201907</x:v>
      </x:c>
      <x:c r="K189" s="36"/>
      <x:c r="L189" s="36" t="str">
        <x:v>M1</x:v>
      </x:c>
      <x:c r="M189" s="36" t="str">
        <x:v>EL</x:v>
      </x:c>
      <x:c r="N189" s="36" t="str">
        <x:v>HK</x:v>
      </x:c>
      <x:c r="O189" s="36" t="str">
        <x:v>3</x:v>
      </x:c>
      <x:c r="P189" s="36" t="str">
        <x:v>0</x:v>
      </x:c>
      <x:c r="Q189" s="36" t="str">
        <x:v>0</x:v>
      </x:c>
      <x:c r="R189" s="36"/>
      <x:c r="S189" s="36" t="str">
        <x:v>A</x:v>
      </x:c>
      <x:c r="T189" s="36" t="str">
        <x:v>700003</x:v>
      </x:c>
      <x:c r="U189" s="36" t="str">
        <x:v>0</x:v>
      </x:c>
      <x:c r="V189" s="36"/>
      <x:c r="W189" s="36" t="str">
        <x:v>HYUNDAI MOTOR COMPANY</x:v>
      </x:c>
      <x:c r="X189" s="36" t="str">
        <x:v>IONIQ</x:v>
      </x:c>
      <x:c r="Y189" s="36"/>
      <x:c r="Z189" s="36"/>
      <x:c r="AA189" s="36" t="str">
        <x:v>TEST-2909</x:v>
      </x:c>
      <x:c r="AB189" s="36" t="str">
        <x:v>20191119</x:v>
      </x:c>
      <x:c r="AC189" s="36" t="str">
        <x:v>AE</x:v>
      </x:c>
      <x:c r="AD189" s="36" t="str">
        <x:v>B5E11</x:v>
      </x:c>
      <x:c r="AE189" s="36" t="str">
        <x:v>I</x:v>
      </x:c>
      <x:c r="AF189" s="36" t="str">
        <x:v>PB</x:v>
      </x:c>
      <x:c r="AG189" s="36" t="n">
        <x:v>2019</x:v>
      </x:c>
      <x:c r="AH189" s="36" t="str">
        <x:v>E11BZ1</x:v>
      </x:c>
      <x:c r="AI189" s="36" t="str">
        <x:v>KMH00000000002909</x:v>
      </x:c>
      <x:c r="AJ189" s="38" t="str">
        <x:v>{"vin":"KMH00000000002909","brand":"HYUNDAI","fuel1":"3","fuel2":"0","fuel3":"0","model":"IONIQ","plate":"TEST-2909","is_4wd":"0","gearbox":"A","variant":"B5E11","version":"E11BZ1","fab_code":"HK","group_no":"700003","body_code":"AB","ev_config":"EL","type_text":"AE","build_month":"201907","eu_category":"M1","manufacturer":"HYUNDAI MOTOR COMPANY","vehicle_type":"PB","vehicle_year":2019,"vehicle_class":"I","registration_date":"20191119"}</x:v>
      </x:c>
    </x:row>
    <x:row r="190" ht="18" customHeight="1">
      <x:c r="A190" s="36" t="n">
        <x:v>2910</x:v>
      </x:c>
      <x:c r="B190" s="36" t="str">
        <x:v>normalization-review-passenger-250-v1-rules-20260805T184409855703Z</x:v>
      </x:c>
      <x:c r="C190" s="36" t="n">
        <x:v>46239.78067008102</x:v>
      </x:c>
      <x:c r="D190" s="38" t="str">
        <x:v>"2026-08-05T18:44:09.895308+00:00"</x:v>
      </x:c>
      <x:c r="E190" s="36"/>
      <x:c r="F190" s="36" t="str">
        <x:v>AD</x:v>
      </x:c>
      <x:c r="G190" s="36"/>
      <x:c r="H190" s="36" t="str">
        <x:v>FORD FORDOR SPECIAL</x:v>
      </x:c>
      <x:c r="I190" s="36"/>
      <x:c r="J190" s="36"/>
      <x:c r="K190" s="36" t="n">
        <x:v>3622</x:v>
      </x:c>
      <x:c r="L190" s="36" t="str">
        <x:v>M1</x:v>
      </x:c>
      <x:c r="M190" s="36"/>
      <x:c r="N190" s="36" t="str">
        <x:v>FO</x:v>
      </x:c>
      <x:c r="O190" s="36" t="str">
        <x:v>1</x:v>
      </x:c>
      <x:c r="P190" s="36" t="str">
        <x:v>0</x:v>
      </x:c>
      <x:c r="Q190" s="36" t="str">
        <x:v>0</x:v>
      </x:c>
      <x:c r="R190" s="36"/>
      <x:c r="S190" s="36" t="str">
        <x:v>M</x:v>
      </x:c>
      <x:c r="T190" s="36"/>
      <x:c r="U190" s="36" t="str">
        <x:v>0</x:v>
      </x:c>
      <x:c r="V190" s="36" t="n">
        <x:v>62</x:v>
      </x:c>
      <x:c r="W190" s="36"/>
      <x:c r="X190" s="36"/>
      <x:c r="Y190" s="36"/>
      <x:c r="Z190" s="36" t="n">
        <x:v>1936</x:v>
      </x:c>
      <x:c r="AA190" s="36" t="str">
        <x:v>TEST-2910</x:v>
      </x:c>
      <x:c r="AB190" s="36" t="str">
        <x:v>20141003</x:v>
      </x:c>
      <x:c r="AC190" s="36"/>
      <x:c r="AD190" s="36"/>
      <x:c r="AE190" s="36" t="str">
        <x:v>I</x:v>
      </x:c>
      <x:c r="AF190" s="36" t="str">
        <x:v>PB</x:v>
      </x:c>
      <x:c r="AG190" s="36" t="n">
        <x:v>1936</x:v>
      </x:c>
      <x:c r="AH190" s="36"/>
      <x:c r="AI190" s="36" t="str">
        <x:v>18200000000002910</x:v>
      </x:c>
      <x:c r="AJ190" s="38" t="str">
        <x:v>{"kw":62,"ccm":3622,"vin":"18200000000002910","brand":"FORD FORDOR SPECIAL","fuel1":"1","fuel2":"0","fuel3":"0","plate":"TEST-2910","is_4wd":"0","gearbox":"M","fab_code":"FO","body_code":"AD","model_year":1936,"eu_category":"M1","vehicle_type":"PB","vehicle_year":1936,"vehicle_class":"I","registration_date":"20141003"}</x:v>
      </x:c>
    </x:row>
    <x:row r="191" ht="18" customHeight="1">
      <x:c r="A191" s="36" t="n">
        <x:v>2911</x:v>
      </x:c>
      <x:c r="B191" s="36" t="str">
        <x:v>normalization-review-passenger-250-v1-rules-20260805T184409855703Z</x:v>
      </x:c>
      <x:c r="C191" s="36" t="n">
        <x:v>46239.78067008102</x:v>
      </x:c>
      <x:c r="D191" s="38" t="str">
        <x:v>"2026-08-05T18:44:09.895308+00:00"</x:v>
      </x:c>
      <x:c r="E191" s="36"/>
      <x:c r="F191" s="36" t="str">
        <x:v>SA</x:v>
      </x:c>
      <x:c r="G191" s="36"/>
      <x:c r="H191" s="36" t="str">
        <x:v>FORD HOBBY T 555 AK FS</x:v>
      </x:c>
      <x:c r="I191" s="36"/>
      <x:c r="J191" s="36"/>
      <x:c r="K191" s="36" t="n">
        <x:v>2198</x:v>
      </x:c>
      <x:c r="L191" s="36" t="str">
        <x:v>M1</x:v>
      </x:c>
      <x:c r="M191" s="36"/>
      <x:c r="N191" s="36" t="str">
        <x:v>FO</x:v>
      </x:c>
      <x:c r="O191" s="36" t="str">
        <x:v>2</x:v>
      </x:c>
      <x:c r="P191" s="36" t="str">
        <x:v>0</x:v>
      </x:c>
      <x:c r="Q191" s="36" t="str">
        <x:v>0</x:v>
      </x:c>
      <x:c r="R191" s="36"/>
      <x:c r="S191" s="36" t="str">
        <x:v>M</x:v>
      </x:c>
      <x:c r="T191" s="36"/>
      <x:c r="U191" s="36" t="str">
        <x:v>0</x:v>
      </x:c>
      <x:c r="V191" s="36" t="n">
        <x:v>96</x:v>
      </x:c>
      <x:c r="W191" s="36"/>
      <x:c r="X191" s="36"/>
      <x:c r="Y191" s="36"/>
      <x:c r="Z191" s="36" t="n">
        <x:v>2008</x:v>
      </x:c>
      <x:c r="AA191" s="36" t="str">
        <x:v>TEST-2911</x:v>
      </x:c>
      <x:c r="AB191" s="36" t="str">
        <x:v>20080711</x:v>
      </x:c>
      <x:c r="AC191" s="36"/>
      <x:c r="AD191" s="36" t="str">
        <x:v>QWMAGBBA1743500</x:v>
      </x:c>
      <x:c r="AE191" s="36" t="str">
        <x:v>II</x:v>
      </x:c>
      <x:c r="AF191" s="36" t="str">
        <x:v>PB</x:v>
      </x:c>
      <x:c r="AG191" s="36" t="n">
        <x:v>2008</x:v>
      </x:c>
      <x:c r="AH191" s="36" t="str">
        <x:v>-</x:v>
      </x:c>
      <x:c r="AI191" s="36" t="str">
        <x:v>WF000000000002911</x:v>
      </x:c>
      <x:c r="AJ191" s="38" t="str">
        <x:v>{"kw":96,"ccm":2198,"vin":"WF000000000002911","brand":"FORD HOBBY T 555 AK FS","fuel1":"2","fuel2":"0","fuel3":"0","plate":"TEST-2911","is_4wd":"0","gearbox":"M","variant":"QWMAGBBA1743500","version":"-","fab_code":"FO","body_code":"SA","model_year":2008,"eu_category":"M1","vehicle_type":"PB","vehicle_year":2008,"vehicle_class":"II","registration_date":"20080711"}</x:v>
      </x:c>
    </x:row>
    <x:row r="192" ht="18" customHeight="1">
      <x:c r="A192" s="36" t="n">
        <x:v>2912</x:v>
      </x:c>
      <x:c r="B192" s="36" t="str">
        <x:v>normalization-review-passenger-250-v1-rules-20260805T184409855703Z</x:v>
      </x:c>
      <x:c r="C192" s="36" t="n">
        <x:v>46239.78067008102</x:v>
      </x:c>
      <x:c r="D192" s="38" t="str">
        <x:v>"2026-08-05T18:44:09.895308+00:00"</x:v>
      </x:c>
      <x:c r="E192" s="36"/>
      <x:c r="F192" s="36" t="str">
        <x:v>AF</x:v>
      </x:c>
      <x:c r="G192" s="36"/>
      <x:c r="H192" s="36" t="str">
        <x:v>TOYOTA</x:v>
      </x:c>
      <x:c r="I192" s="36"/>
      <x:c r="J192" s="36" t="str">
        <x:v>201809</x:v>
      </x:c>
      <x:c r="K192" s="36" t="n">
        <x:v>1496</x:v>
      </x:c>
      <x:c r="L192" s="36" t="str">
        <x:v>M1</x:v>
      </x:c>
      <x:c r="M192" s="36"/>
      <x:c r="N192" s="36" t="str">
        <x:v>TO</x:v>
      </x:c>
      <x:c r="O192" s="36" t="str">
        <x:v>1</x:v>
      </x:c>
      <x:c r="P192" s="36" t="str">
        <x:v>0</x:v>
      </x:c>
      <x:c r="Q192" s="36" t="str">
        <x:v>0</x:v>
      </x:c>
      <x:c r="R192" s="36"/>
      <x:c r="S192" s="36" t="str">
        <x:v>V</x:v>
      </x:c>
      <x:c r="T192" s="36" t="str">
        <x:v>120547</x:v>
      </x:c>
      <x:c r="U192" s="36" t="str">
        <x:v>0</x:v>
      </x:c>
      <x:c r="V192" s="36" t="n">
        <x:v>82</x:v>
      </x:c>
      <x:c r="W192" s="36"/>
      <x:c r="X192" s="36" t="str">
        <x:v>TOYOTA YARIS</x:v>
      </x:c>
      <x:c r="Y192" s="36"/>
      <x:c r="Z192" s="36"/>
      <x:c r="AA192" s="36" t="str">
        <x:v>TEST-2912</x:v>
      </x:c>
      <x:c r="AB192" s="36" t="str">
        <x:v>20181018</x:v>
      </x:c>
      <x:c r="AC192" s="36" t="str">
        <x:v>XP13M(A)</x:v>
      </x:c>
      <x:c r="AD192" s="36" t="str">
        <x:v>NSP13(MH)</x:v>
      </x:c>
      <x:c r="AE192" s="36" t="str">
        <x:v>I</x:v>
      </x:c>
      <x:c r="AF192" s="36" t="str">
        <x:v>PB</x:v>
      </x:c>
      <x:c r="AG192" s="36" t="n">
        <x:v>2018</x:v>
      </x:c>
      <x:c r="AH192" s="36" t="str">
        <x:v>NSP131L-CHXNBW(1M)</x:v>
      </x:c>
      <x:c r="AI192" s="36" t="str">
        <x:v>VNK00000000002912</x:v>
      </x:c>
      <x:c r="AJ192" s="38" t="str">
        <x:v>{"kw":82,"ccm":1496,"vin":"VNK00000000002912","brand":"TOYOTA","fuel1":"1","fuel2":"0","fuel3":"0","model":"TOYOTA YARIS","plate":"TEST-2912","is_4wd":"0","gearbox":"V","variant":"NSP13(MH)","version":"NSP131L-CHXNBW(1M)","fab_code":"TO","group_no":"120547","body_code":"AF","type_text":"XP13M(A)","build_month":"201809","eu_category":"M1","vehicle_type":"PB","vehicle_year":2018,"vehicle_class":"I","registration_date":"20181018"}</x:v>
      </x:c>
    </x:row>
    <x:row r="193" ht="18" customHeight="1">
      <x:c r="A193" s="36" t="n">
        <x:v>2913</x:v>
      </x:c>
      <x:c r="B193" s="36" t="str">
        <x:v>normalization-review-passenger-250-v1-rules-20260805T184409855703Z</x:v>
      </x:c>
      <x:c r="C193" s="36" t="n">
        <x:v>46239.78067008102</x:v>
      </x:c>
      <x:c r="D193" s="38" t="str">
        <x:v>"2026-08-05T18:44:09.895308+00:00"</x:v>
      </x:c>
      <x:c r="E193" s="36"/>
      <x:c r="F193" s="36"/>
      <x:c r="G193" s="36"/>
      <x:c r="H193" s="36" t="str">
        <x:v>VW LIM 1/11</x:v>
      </x:c>
      <x:c r="I193" s="36"/>
      <x:c r="J193" s="36"/>
      <x:c r="K193" s="36"/>
      <x:c r="L193" s="36" t="str">
        <x:v>M1</x:v>
      </x:c>
      <x:c r="M193" s="36"/>
      <x:c r="N193" s="36" t="str">
        <x:v>VW</x:v>
      </x:c>
      <x:c r="O193" s="36" t="str">
        <x:v>1</x:v>
      </x:c>
      <x:c r="P193" s="36" t="str">
        <x:v>0</x:v>
      </x:c>
      <x:c r="Q193" s="36" t="str">
        <x:v>0</x:v>
      </x:c>
      <x:c r="R193" s="36"/>
      <x:c r="S193" s="36" t="str">
        <x:v>M</x:v>
      </x:c>
      <x:c r="T193" s="36"/>
      <x:c r="U193" s="36" t="str">
        <x:v>0</x:v>
      </x:c>
      <x:c r="V193" s="36" t="n">
        <x:v>22</x:v>
      </x:c>
      <x:c r="W193" s="36"/>
      <x:c r="X193" s="36"/>
      <x:c r="Y193" s="36"/>
      <x:c r="Z193" s="36" t="n">
        <x:v>1956</x:v>
      </x:c>
      <x:c r="AA193" s="36" t="str">
        <x:v>TEST-2913</x:v>
      </x:c>
      <x:c r="AB193" s="36" t="str">
        <x:v>19560101</x:v>
      </x:c>
      <x:c r="AC193" s="36"/>
      <x:c r="AD193" s="36"/>
      <x:c r="AE193" s="36" t="str">
        <x:v>I</x:v>
      </x:c>
      <x:c r="AF193" s="36" t="str">
        <x:v>PB</x:v>
      </x:c>
      <x:c r="AG193" s="36" t="n">
        <x:v>1956</x:v>
      </x:c>
      <x:c r="AH193" s="36"/>
      <x:c r="AI193" s="36" t="str">
        <x:v>11200000000002913</x:v>
      </x:c>
      <x:c r="AJ193" s="38" t="str">
        <x:v>{"kw":22,"vin":"11200000000002913","brand":"VW LIM 1/11","fuel1":"1","fuel2":"0","fuel3":"0","plate":"TEST-2913","is_4wd":"0","gearbox":"M","fab_code":"VW","model_year":1956,"eu_category":"M1","vehicle_type":"PB","vehicle_year":1956,"vehicle_class":"I","registration_date":"19560101"}</x:v>
      </x:c>
    </x:row>
    <x:row r="194" ht="18" customHeight="1">
      <x:c r="A194" s="36" t="n">
        <x:v>2914</x:v>
      </x:c>
      <x:c r="B194" s="36" t="str">
        <x:v>normalization-review-passenger-250-v1-rules-20260805T184409855703Z</x:v>
      </x:c>
      <x:c r="C194" s="36" t="n">
        <x:v>46239.78067008102</x:v>
      </x:c>
      <x:c r="D194" s="38" t="str">
        <x:v>"2026-08-05T18:44:09.895308+00:00"</x:v>
      </x:c>
      <x:c r="E194" s="36"/>
      <x:c r="F194" s="36" t="str">
        <x:v>AC</x:v>
      </x:c>
      <x:c r="G194" s="36"/>
      <x:c r="H194" s="36" t="str">
        <x:v>SAAB 9-5 VECTOR SPORTCOM</x:v>
      </x:c>
      <x:c r="I194" s="36"/>
      <x:c r="J194" s="36" t="str">
        <x:v>200611</x:v>
      </x:c>
      <x:c r="K194" s="36" t="n">
        <x:v>2290</x:v>
      </x:c>
      <x:c r="L194" s="36" t="str">
        <x:v>M1</x:v>
      </x:c>
      <x:c r="M194" s="36"/>
      <x:c r="N194" s="36" t="str">
        <x:v>SA</x:v>
      </x:c>
      <x:c r="O194" s="36" t="str">
        <x:v>1</x:v>
      </x:c>
      <x:c r="P194" s="36" t="str">
        <x:v>7</x:v>
      </x:c>
      <x:c r="Q194" s="36" t="str">
        <x:v>0</x:v>
      </x:c>
      <x:c r="R194" s="36"/>
      <x:c r="S194" s="36" t="str">
        <x:v>M</x:v>
      </x:c>
      <x:c r="T194" s="36" t="str">
        <x:v>038909</x:v>
      </x:c>
      <x:c r="U194" s="36" t="str">
        <x:v>0</x:v>
      </x:c>
      <x:c r="V194" s="36" t="n">
        <x:v>136</x:v>
      </x:c>
      <x:c r="W194" s="36"/>
      <x:c r="X194" s="36"/>
      <x:c r="Y194" s="36"/>
      <x:c r="Z194" s="36"/>
      <x:c r="AA194" s="36" t="str">
        <x:v>TEST-2914</x:v>
      </x:c>
      <x:c r="AB194" s="36" t="str">
        <x:v>20061227</x:v>
      </x:c>
      <x:c r="AC194" s="36" t="str">
        <x:v>YS3E????</x:v>
      </x:c>
      <x:c r="AD194" s="36" t="str">
        <x:v>E5E</x:v>
      </x:c>
      <x:c r="AE194" s="36" t="str">
        <x:v>I</x:v>
      </x:c>
      <x:c r="AF194" s="36" t="str">
        <x:v>PB</x:v>
      </x:c>
      <x:c r="AG194" s="36" t="n">
        <x:v>2006</x:v>
      </x:c>
      <x:c r="AH194" s="36" t="str">
        <x:v>M502</x:v>
      </x:c>
      <x:c r="AI194" s="36" t="str">
        <x:v>YS300000000002914</x:v>
      </x:c>
      <x:c r="AJ194" s="38" t="str">
        <x:v>{"kw":136,"ccm":2290,"vin":"YS300000000002914","brand":"SAAB 9-5 VECTOR SPORTCOM","fuel1":"1","fuel2":"7","fuel3":"0","plate":"TEST-2914","is_4wd":"0","gearbox":"M","variant":"E5E","version":"M502","fab_code":"SA","group_no":"038909","body_code":"AC","type_text":"YS3E????","build_month":"200611","eu_category":"M1","vehicle_type":"PB","vehicle_year":2006,"vehicle_class":"I","registration_date":"20061227"}</x:v>
      </x:c>
    </x:row>
    <x:row r="195" ht="18" customHeight="1">
      <x:c r="A195" s="36" t="n">
        <x:v>2915</x:v>
      </x:c>
      <x:c r="B195" s="36" t="str">
        <x:v>normalization-review-passenger-250-v1-rules-20260805T184409855703Z</x:v>
      </x:c>
      <x:c r="C195" s="36" t="n">
        <x:v>46239.78067008102</x:v>
      </x:c>
      <x:c r="D195" s="38" t="str">
        <x:v>"2026-08-05T18:44:09.895308+00:00"</x:v>
      </x:c>
      <x:c r="E195" s="36"/>
      <x:c r="F195" s="36" t="str">
        <x:v>AB</x:v>
      </x:c>
      <x:c r="G195" s="36"/>
      <x:c r="H195" s="36" t="str">
        <x:v>DACIA</x:v>
      </x:c>
      <x:c r="I195" s="36"/>
      <x:c r="J195" s="36" t="str">
        <x:v>201902</x:v>
      </x:c>
      <x:c r="K195" s="36" t="n">
        <x:v>898</x:v>
      </x:c>
      <x:c r="L195" s="36" t="str">
        <x:v>M1</x:v>
      </x:c>
      <x:c r="M195" s="36"/>
      <x:c r="N195" s="36" t="str">
        <x:v>DQ</x:v>
      </x:c>
      <x:c r="O195" s="36" t="str">
        <x:v>1</x:v>
      </x:c>
      <x:c r="P195" s="36" t="str">
        <x:v>0</x:v>
      </x:c>
      <x:c r="Q195" s="36" t="str">
        <x:v>0</x:v>
      </x:c>
      <x:c r="R195" s="36"/>
      <x:c r="S195" s="36"/>
      <x:c r="T195" s="36" t="str">
        <x:v>022026</x:v>
      </x:c>
      <x:c r="U195" s="36" t="str">
        <x:v>0</x:v>
      </x:c>
      <x:c r="V195" s="36" t="n">
        <x:v>66</x:v>
      </x:c>
      <x:c r="W195" s="36"/>
      <x:c r="X195" s="36" t="str">
        <x:v>SANDERO</x:v>
      </x:c>
      <x:c r="Y195" s="36"/>
      <x:c r="Z195" s="36"/>
      <x:c r="AA195" s="36" t="str">
        <x:v>TEST-2915</x:v>
      </x:c>
      <x:c r="AB195" s="36" t="str">
        <x:v>20190527</x:v>
      </x:c>
      <x:c r="AC195" s="36" t="str">
        <x:v>SD</x:v>
      </x:c>
      <x:c r="AD195" s="36" t="str">
        <x:v>05ES</x:v>
      </x:c>
      <x:c r="AE195" s="36" t="str">
        <x:v>I</x:v>
      </x:c>
      <x:c r="AF195" s="36" t="str">
        <x:v>PB</x:v>
      </x:c>
      <x:c r="AG195" s="36" t="n">
        <x:v>2019</x:v>
      </x:c>
      <x:c r="AH195" s="36" t="str">
        <x:v>JR5CJ000M500</x:v>
      </x:c>
      <x:c r="AI195" s="36" t="str">
        <x:v>UU100000000002915</x:v>
      </x:c>
      <x:c r="AJ195" s="38" t="str">
        <x:v>{"kw":66,"ccm":898,"vin":"UU100000000002915","brand":"DACIA","fuel1":"1","fuel2":"0","fuel3":"0","model":"SANDERO","plate":"TEST-2915","is_4wd":"0","variant":"05ES","version":"JR5CJ000M500","fab_code":"DQ","group_no":"022026","body_code":"AB","type_text":"SD","build_month":"201902","eu_category":"M1","vehicle_type":"PB","vehicle_year":2019,"vehicle_class":"I","registration_date":"20190527"}</x:v>
      </x:c>
    </x:row>
    <x:row r="196" ht="18" customHeight="1">
      <x:c r="A196" s="36" t="n">
        <x:v>2916</x:v>
      </x:c>
      <x:c r="B196" s="36" t="str">
        <x:v>normalization-review-passenger-250-v1-rules-20260805T184409855703Z</x:v>
      </x:c>
      <x:c r="C196" s="36" t="n">
        <x:v>46239.78067008102</x:v>
      </x:c>
      <x:c r="D196" s="38" t="str">
        <x:v>"2026-08-05T18:44:09.895308+00:00"</x:v>
      </x:c>
      <x:c r="E196" s="36"/>
      <x:c r="F196" s="36" t="str">
        <x:v>02</x:v>
      </x:c>
      <x:c r="G196" s="36"/>
      <x:c r="H196" s="36" t="str">
        <x:v>VAUXHALL VX 220</x:v>
      </x:c>
      <x:c r="I196" s="36"/>
      <x:c r="J196" s="36"/>
      <x:c r="K196" s="36"/>
      <x:c r="L196" s="36" t="str">
        <x:v>M1</x:v>
      </x:c>
      <x:c r="M196" s="36"/>
      <x:c r="N196" s="36" t="str">
        <x:v>VH</x:v>
      </x:c>
      <x:c r="O196" s="36" t="str">
        <x:v>1</x:v>
      </x:c>
      <x:c r="P196" s="36" t="str">
        <x:v>0</x:v>
      </x:c>
      <x:c r="Q196" s="36" t="str">
        <x:v>0</x:v>
      </x:c>
      <x:c r="R196" s="36"/>
      <x:c r="S196" s="36" t="str">
        <x:v>M</x:v>
      </x:c>
      <x:c r="T196" s="36" t="str">
        <x:v>010000</x:v>
      </x:c>
      <x:c r="U196" s="36" t="str">
        <x:v>0</x:v>
      </x:c>
      <x:c r="V196" s="36" t="n">
        <x:v>108</x:v>
      </x:c>
      <x:c r="W196" s="36"/>
      <x:c r="X196" s="36"/>
      <x:c r="Y196" s="36"/>
      <x:c r="Z196" s="36"/>
      <x:c r="AA196" s="36" t="str">
        <x:v>TEST-2916</x:v>
      </x:c>
      <x:c r="AB196" s="36" t="str">
        <x:v>20080806</x:v>
      </x:c>
      <x:c r="AC196" s="36"/>
      <x:c r="AD196" s="36"/>
      <x:c r="AE196" s="36" t="str">
        <x:v>I</x:v>
      </x:c>
      <x:c r="AF196" s="36" t="str">
        <x:v>PB</x:v>
      </x:c>
      <x:c r="AG196" s="36" t="n">
        <x:v>2001</x:v>
      </x:c>
      <x:c r="AH196" s="36"/>
      <x:c r="AI196" s="36" t="str">
        <x:v>W0L00000000002916</x:v>
      </x:c>
      <x:c r="AJ196" s="38" t="str">
        <x:v>{"kw":108,"vin":"W0L00000000002916","brand":"VAUXHALL VX 220","fuel1":"1","fuel2":"0","fuel3":"0","plate":"TEST-2916","is_4wd":"0","gearbox":"M","fab_code":"VH","group_no":"010000","body_code":"02","eu_category":"M1","vehicle_type":"PB","vehicle_year":2001,"vehicle_class":"I","registration_date":"20080806"}</x:v>
      </x:c>
    </x:row>
    <x:row r="197" ht="18" customHeight="1">
      <x:c r="A197" s="36" t="n">
        <x:v>2917</x:v>
      </x:c>
      <x:c r="B197" s="36" t="str">
        <x:v>normalization-review-passenger-250-v1-rules-20260805T184409855703Z</x:v>
      </x:c>
      <x:c r="C197" s="36" t="n">
        <x:v>46239.78067008102</x:v>
      </x:c>
      <x:c r="D197" s="38" t="str">
        <x:v>"2026-08-05T18:44:09.895308+00:00"</x:v>
      </x:c>
      <x:c r="E197" s="36"/>
      <x:c r="F197" s="36" t="str">
        <x:v>AA</x:v>
      </x:c>
      <x:c r="G197" s="36"/>
      <x:c r="H197" s="36" t="str">
        <x:v>BMW</x:v>
      </x:c>
      <x:c r="I197" s="36" t="str">
        <x:v>20210326</x:v>
      </x:c>
      <x:c r="J197" s="36" t="str">
        <x:v>202103</x:v>
      </x:c>
      <x:c r="K197" s="36" t="n">
        <x:v>1998</x:v>
      </x:c>
      <x:c r="L197" s="36" t="str">
        <x:v>M1</x:v>
      </x:c>
      <x:c r="M197" s="36" t="str">
        <x:v>LADDHYBRID</x:v>
      </x:c>
      <x:c r="N197" s="36" t="str">
        <x:v>BW</x:v>
      </x:c>
      <x:c r="O197" s="36" t="str">
        <x:v>1</x:v>
      </x:c>
      <x:c r="P197" s="36" t="str">
        <x:v>3</x:v>
      </x:c>
      <x:c r="Q197" s="36" t="str">
        <x:v>0</x:v>
      </x:c>
      <x:c r="R197" s="36"/>
      <x:c r="S197" s="36" t="str">
        <x:v>A</x:v>
      </x:c>
      <x:c r="T197" s="36" t="str">
        <x:v>200044</x:v>
      </x:c>
      <x:c r="U197" s="36" t="str">
        <x:v>1</x:v>
      </x:c>
      <x:c r="V197" s="36" t="n">
        <x:v>135</x:v>
      </x:c>
      <x:c r="W197" s="36" t="str">
        <x:v>BAYERISCHE MOTOREN WERKE AG, DE-80788 MÅNCHEN</x:v>
      </x:c>
      <x:c r="X197" s="36" t="str">
        <x:v>330E XDRIVE</x:v>
      </x:c>
      <x:c r="Y197" s="36"/>
      <x:c r="Z197" s="36"/>
      <x:c r="AA197" s="36" t="str">
        <x:v>TEST-2917</x:v>
      </x:c>
      <x:c r="AB197" s="36" t="str">
        <x:v>20210601</x:v>
      </x:c>
      <x:c r="AC197" s="36" t="str">
        <x:v>G3L</x:v>
      </x:c>
      <x:c r="AD197" s="36" t="str">
        <x:v>5P91</x:v>
      </x:c>
      <x:c r="AE197" s="36" t="str">
        <x:v>I</x:v>
      </x:c>
      <x:c r="AF197" s="36" t="str">
        <x:v>PB</x:v>
      </x:c>
      <x:c r="AG197" s="36" t="n">
        <x:v>2021</x:v>
      </x:c>
      <x:c r="AH197" s="36" t="str">
        <x:v>IAW50700</x:v>
      </x:c>
      <x:c r="AI197" s="36" t="str">
        <x:v>WBA00000000002917</x:v>
      </x:c>
      <x:c r="AJ197" s="38" t="str">
        <x:v>{"kw":135,"ccm":1998,"vin":"WBA00000000002917","brand":"BMW","fuel1":"1","fuel2":"3","fuel3":"0","model":"330E XDRIVE","plate":"TEST-2917","is_4wd":"1","gearbox":"A","variant":"5P91","version":"IAW50700","fab_code":"BW","group_no":"200044","body_code":"AA","ev_config":"LADDHYBRID","type_text":"G3L","build_date":"20210326","build_month":"202103","eu_category":"M1","manufacturer":"BAYERISCHE MOTOREN WERKE AG, DE-80788 MÅNCHEN","vehicle_type":"PB","vehicle_year":2021,"vehicle_class":"I","registration_date":"20210601"}</x:v>
      </x:c>
    </x:row>
    <x:row r="198" ht="18" customHeight="1">
      <x:c r="A198" s="36" t="n">
        <x:v>2918</x:v>
      </x:c>
      <x:c r="B198" s="36" t="str">
        <x:v>normalization-review-passenger-250-v1-rules-20260805T184409855703Z</x:v>
      </x:c>
      <x:c r="C198" s="36" t="n">
        <x:v>46239.78067008102</x:v>
      </x:c>
      <x:c r="D198" s="38" t="str">
        <x:v>"2026-08-05T18:44:09.895308+00:00"</x:v>
      </x:c>
      <x:c r="E198" s="36"/>
      <x:c r="F198" s="36" t="str">
        <x:v>AC</x:v>
      </x:c>
      <x:c r="G198" s="36"/>
      <x:c r="H198" s="36" t="str">
        <x:v>VOLVO</x:v>
      </x:c>
      <x:c r="I198" s="36"/>
      <x:c r="J198" s="36" t="str">
        <x:v>202010</x:v>
      </x:c>
      <x:c r="K198" s="36" t="n">
        <x:v>1477</x:v>
      </x:c>
      <x:c r="L198" s="36" t="str">
        <x:v>M1</x:v>
      </x:c>
      <x:c r="M198" s="36"/>
      <x:c r="N198" s="36" t="str">
        <x:v>VO</x:v>
      </x:c>
      <x:c r="O198" s="36" t="str">
        <x:v>1</x:v>
      </x:c>
      <x:c r="P198" s="36" t="str">
        <x:v>0</x:v>
      </x:c>
      <x:c r="Q198" s="36" t="str">
        <x:v>0</x:v>
      </x:c>
      <x:c r="R198" s="36"/>
      <x:c r="S198" s="36" t="str">
        <x:v>A</x:v>
      </x:c>
      <x:c r="T198" s="36" t="str">
        <x:v>021209</x:v>
      </x:c>
      <x:c r="U198" s="36" t="str">
        <x:v>0</x:v>
      </x:c>
      <x:c r="V198" s="36" t="n">
        <x:v>120</x:v>
      </x:c>
      <x:c r="W198" s="36" t="str">
        <x:v>VOLVO PERSONVAGNAR AB</x:v>
      </x:c>
      <x:c r="X198" s="36" t="str">
        <x:v>XC40</x:v>
      </x:c>
      <x:c r="Y198" s="36"/>
      <x:c r="Z198" s="36"/>
      <x:c r="AA198" s="36" t="str">
        <x:v>TEST-2918</x:v>
      </x:c>
      <x:c r="AB198" s="36" t="str">
        <x:v>20201103</x:v>
      </x:c>
      <x:c r="AC198" s="36" t="str">
        <x:v>X</x:v>
      </x:c>
      <x:c r="AD198" s="36" t="str">
        <x:v>XZ15</x:v>
      </x:c>
      <x:c r="AE198" s="36" t="str">
        <x:v>I</x:v>
      </x:c>
      <x:c r="AF198" s="36" t="str">
        <x:v>PB</x:v>
      </x:c>
      <x:c r="AG198" s="36" t="n">
        <x:v>2020</x:v>
      </x:c>
      <x:c r="AH198" s="36" t="str">
        <x:v>XZ15BD0?</x:v>
      </x:c>
      <x:c r="AI198" s="36" t="str">
        <x:v>YV100000000002918</x:v>
      </x:c>
      <x:c r="AJ198" s="38" t="str">
        <x:v>{"kw":120,"ccm":1477,"vin":"YV100000000002918","brand":"VOLVO","fuel1":"1","fuel2":"0","fuel3":"0","model":"XC40","plate":"TEST-2918","is_4wd":"0","gearbox":"A","variant":"XZ15","version":"XZ15BD0?","fab_code":"VO","group_no":"021209","body_code":"AC","type_text":"X","build_month":"202010","eu_category":"M1","manufacturer":"VOLVO PERSONVAGNAR AB","vehicle_type":"PB","vehicle_year":2020,"vehicle_class":"I","registration_date":"20201103"}</x:v>
      </x:c>
    </x:row>
    <x:row r="199" ht="18" customHeight="1">
      <x:c r="A199" s="36" t="n">
        <x:v>2919</x:v>
      </x:c>
      <x:c r="B199" s="36" t="str">
        <x:v>normalization-review-passenger-250-v1-rules-20260805T184409855703Z</x:v>
      </x:c>
      <x:c r="C199" s="36" t="n">
        <x:v>46239.78067008102</x:v>
      </x:c>
      <x:c r="D199" s="38" t="str">
        <x:v>"2026-08-05T18:44:09.895308+00:00"</x:v>
      </x:c>
      <x:c r="E199" s="36"/>
      <x:c r="F199" s="36" t="str">
        <x:v>AC</x:v>
      </x:c>
      <x:c r="G199" s="36"/>
      <x:c r="H199" s="36" t="str">
        <x:v>CUPRA</x:v>
      </x:c>
      <x:c r="I199" s="36" t="str">
        <x:v>20230619</x:v>
      </x:c>
      <x:c r="J199" s="36" t="str">
        <x:v>202306</x:v>
      </x:c>
      <x:c r="K199" s="36" t="n">
        <x:v>1498</x:v>
      </x:c>
      <x:c r="L199" s="36" t="str">
        <x:v>M1</x:v>
      </x:c>
      <x:c r="M199" s="36"/>
      <x:c r="N199" s="36" t="str">
        <x:v>CUA</x:v>
      </x:c>
      <x:c r="O199" s="36" t="str">
        <x:v>1</x:v>
      </x:c>
      <x:c r="P199" s="36" t="str">
        <x:v>0</x:v>
      </x:c>
      <x:c r="Q199" s="36" t="str">
        <x:v>0</x:v>
      </x:c>
      <x:c r="R199" s="36"/>
      <x:c r="S199" s="36" t="str">
        <x:v>A</x:v>
      </x:c>
      <x:c r="T199" s="36" t="str">
        <x:v>050014</x:v>
      </x:c>
      <x:c r="U199" s="36" t="str">
        <x:v>0</x:v>
      </x:c>
      <x:c r="V199" s="36" t="n">
        <x:v>110</x:v>
      </x:c>
      <x:c r="W199" s="36" t="str">
        <x:v>SEAT, S.A.</x:v>
      </x:c>
      <x:c r="X199" s="36" t="str">
        <x:v>FORMENTOR</x:v>
      </x:c>
      <x:c r="Y199" s="36"/>
      <x:c r="Z199" s="36"/>
      <x:c r="AA199" s="36" t="str">
        <x:v>TEST-2919</x:v>
      </x:c>
      <x:c r="AB199" s="36" t="str">
        <x:v>20230925</x:v>
      </x:c>
      <x:c r="AC199" s="36" t="str">
        <x:v>KM</x:v>
      </x:c>
      <x:c r="AD199" s="36" t="str">
        <x:v>CXDPCAX0</x:v>
      </x:c>
      <x:c r="AE199" s="36" t="str">
        <x:v>I</x:v>
      </x:c>
      <x:c r="AF199" s="36" t="str">
        <x:v>PB</x:v>
      </x:c>
      <x:c r="AG199" s="36" t="n">
        <x:v>2023</x:v>
      </x:c>
      <x:c r="AH199" s="36" t="str">
        <x:v>FD7CFD7GC0054BI1AAC</x:v>
      </x:c>
      <x:c r="AI199" s="36" t="str">
        <x:v>VSS00000000002919</x:v>
      </x:c>
      <x:c r="AJ199" s="38" t="str">
        <x:v>{"kw":110,"ccm":1498,"vin":"VSS00000000002919","brand":"CUPRA","fuel1":"1","fuel2":"0","fuel3":"0","model":"FORMENTOR","plate":"TEST-2919","is_4wd":"0","gearbox":"A","variant":"CXDPCAX0","version":"FD7CFD7GC0054BI1AAC","fab_code":"CUA","group_no":"050014","body_code":"AC","type_text":"KM","build_date":"20230619","build_month":"202306","eu_category":"M1","manufacturer":"SEAT, S.A.","vehicle_type":"PB","vehicle_year":2023,"vehicle_class":"I","registration_date":"20230925"}</x:v>
      </x:c>
    </x:row>
    <x:row r="200" ht="18" customHeight="1">
      <x:c r="A200" s="36" t="n">
        <x:v>2920</x:v>
      </x:c>
      <x:c r="B200" s="36" t="str">
        <x:v>normalization-review-passenger-250-v1-rules-20260805T184409855703Z</x:v>
      </x:c>
      <x:c r="C200" s="36" t="n">
        <x:v>46239.78067008102</x:v>
      </x:c>
      <x:c r="D200" s="38" t="str">
        <x:v>"2026-08-05T18:44:09.895308+00:00"</x:v>
      </x:c>
      <x:c r="E200" s="36"/>
      <x:c r="F200" s="36" t="str">
        <x:v>AF</x:v>
      </x:c>
      <x:c r="G200" s="36"/>
      <x:c r="H200" s="36" t="str">
        <x:v>KIA PICANTO 1,0 SPORT ED</x:v>
      </x:c>
      <x:c r="I200" s="36"/>
      <x:c r="J200" s="36" t="str">
        <x:v>201408</x:v>
      </x:c>
      <x:c r="K200" s="36" t="n">
        <x:v>998</x:v>
      </x:c>
      <x:c r="L200" s="36" t="str">
        <x:v>M1</x:v>
      </x:c>
      <x:c r="M200" s="36"/>
      <x:c r="N200" s="36" t="str">
        <x:v>KG</x:v>
      </x:c>
      <x:c r="O200" s="36" t="str">
        <x:v>1</x:v>
      </x:c>
      <x:c r="P200" s="36" t="str">
        <x:v>0</x:v>
      </x:c>
      <x:c r="Q200" s="36" t="str">
        <x:v>0</x:v>
      </x:c>
      <x:c r="R200" s="36"/>
      <x:c r="S200" s="36"/>
      <x:c r="T200" s="36" t="str">
        <x:v>142006</x:v>
      </x:c>
      <x:c r="U200" s="36" t="str">
        <x:v>0</x:v>
      </x:c>
      <x:c r="V200" s="36" t="n">
        <x:v>51</x:v>
      </x:c>
      <x:c r="W200" s="36"/>
      <x:c r="X200" s="36" t="str">
        <x:v>PICANTO</x:v>
      </x:c>
      <x:c r="Y200" s="36"/>
      <x:c r="Z200" s="36"/>
      <x:c r="AA200" s="36" t="str">
        <x:v>TEST-2920</x:v>
      </x:c>
      <x:c r="AB200" s="36" t="str">
        <x:v>20141217</x:v>
      </x:c>
      <x:c r="AC200" s="36" t="str">
        <x:v>TA</x:v>
      </x:c>
      <x:c r="AD200" s="36" t="str">
        <x:v>F5P11</x:v>
      </x:c>
      <x:c r="AE200" s="36" t="str">
        <x:v>I</x:v>
      </x:c>
      <x:c r="AF200" s="36" t="str">
        <x:v>PB</x:v>
      </x:c>
      <x:c r="AG200" s="36" t="n">
        <x:v>2014</x:v>
      </x:c>
      <x:c r="AH200" s="36" t="str">
        <x:v>M51BZ1</x:v>
      </x:c>
      <x:c r="AI200" s="36" t="str">
        <x:v>KNA00000000002920</x:v>
      </x:c>
      <x:c r="AJ200" s="38" t="str">
        <x:v>{"kw":51,"ccm":998,"vin":"KNA00000000002920","brand":"KIA PICANTO 1,0 SPORT ED","fuel1":"1","fuel2":"0","fuel3":"0","model":"PICANTO","plate":"TEST-2920","is_4wd":"0","variant":"F5P11","version":"M51BZ1","fab_code":"KG","group_no":"142006","body_code":"AF","type_text":"TA","build_month":"201408","eu_category":"M1","vehicle_type":"PB","vehicle_year":2014,"vehicle_class":"I","registration_date":"20141217"}</x:v>
      </x:c>
    </x:row>
    <x:row r="201" ht="18" customHeight="1">
      <x:c r="A201" s="36" t="n">
        <x:v>2921</x:v>
      </x:c>
      <x:c r="B201" s="36" t="str">
        <x:v>normalization-review-passenger-250-v1-rules-20260805T184409855703Z</x:v>
      </x:c>
      <x:c r="C201" s="36" t="n">
        <x:v>46239.78067008102</x:v>
      </x:c>
      <x:c r="D201" s="38" t="str">
        <x:v>"2026-08-05T18:44:09.895308+00:00"</x:v>
      </x:c>
      <x:c r="E201" s="36"/>
      <x:c r="F201" s="36" t="str">
        <x:v>AC</x:v>
      </x:c>
      <x:c r="G201" s="36"/>
      <x:c r="H201" s="36" t="str">
        <x:v>LAND ROVERLW</x:v>
      </x:c>
      <x:c r="I201" s="36"/>
      <x:c r="J201" s="36" t="str">
        <x:v>201312</x:v>
      </x:c>
      <x:c r="K201" s="36" t="n">
        <x:v>2993</x:v>
      </x:c>
      <x:c r="L201" s="36" t="str">
        <x:v>M1G</x:v>
      </x:c>
      <x:c r="M201" s="36"/>
      <x:c r="N201" s="36" t="str">
        <x:v>LR</x:v>
      </x:c>
      <x:c r="O201" s="36" t="str">
        <x:v>2</x:v>
      </x:c>
      <x:c r="P201" s="36" t="str">
        <x:v>0</x:v>
      </x:c>
      <x:c r="Q201" s="36" t="str">
        <x:v>0</x:v>
      </x:c>
      <x:c r="R201" s="36"/>
      <x:c r="S201" s="36"/>
      <x:c r="T201" s="36" t="str">
        <x:v>016204</x:v>
      </x:c>
      <x:c r="U201" s="36" t="str">
        <x:v>1</x:v>
      </x:c>
      <x:c r="V201" s="36" t="n">
        <x:v>215</x:v>
      </x:c>
      <x:c r="W201" s="36"/>
      <x:c r="X201" s="36" t="str">
        <x:v>RANGE ROVER SPORT</x:v>
      </x:c>
      <x:c r="Y201" s="36"/>
      <x:c r="Z201" s="36"/>
      <x:c r="AA201" s="36" t="str">
        <x:v>TEST-2921</x:v>
      </x:c>
      <x:c r="AB201" s="36" t="str">
        <x:v>20140131</x:v>
      </x:c>
      <x:c r="AC201" s="36" t="str">
        <x:v>LW</x:v>
      </x:c>
      <x:c r="AD201" s="36" t="str">
        <x:v>S5CF2F</x:v>
      </x:c>
      <x:c r="AE201" s="36" t="str">
        <x:v>I</x:v>
      </x:c>
      <x:c r="AF201" s="36" t="str">
        <x:v>PB</x:v>
      </x:c>
      <x:c r="AG201" s="36" t="n">
        <x:v>2013</x:v>
      </x:c>
      <x:c r="AH201" s="36" t="str">
        <x:v>A5A1</x:v>
      </x:c>
      <x:c r="AI201" s="36" t="str">
        <x:v>SAL00000000002921</x:v>
      </x:c>
      <x:c r="AJ201" s="38" t="str">
        <x:v>{"kw":215,"ccm":2993,"vin":"SAL00000000002921","brand":"LAND ROVERLW","fuel1":"2","fuel2":"0","fuel3":"0","model":"RANGE ROVER SPORT","plate":"TEST-2921","is_4wd":"1","variant":"S5CF2F","version":"A5A1","fab_code":"LR","group_no":"016204","body_code":"AC","type_text":"LW","build_month":"201312","eu_category":"M1G","vehicle_type":"PB","vehicle_year":2013,"vehicle_class":"I","registration_date":"20140131"}</x:v>
      </x:c>
    </x:row>
    <x:row r="202" ht="18" customHeight="1">
      <x:c r="A202" s="36" t="n">
        <x:v>2922</x:v>
      </x:c>
      <x:c r="B202" s="36" t="str">
        <x:v>normalization-review-passenger-250-v1-rules-20260805T184409855703Z</x:v>
      </x:c>
      <x:c r="C202" s="36" t="n">
        <x:v>46239.78067008102</x:v>
      </x:c>
      <x:c r="D202" s="38" t="str">
        <x:v>"2026-08-05T18:44:09.895308+00:00"</x:v>
      </x:c>
      <x:c r="E202" s="36"/>
      <x:c r="F202" s="36" t="str">
        <x:v>AC</x:v>
      </x:c>
      <x:c r="G202" s="36"/>
      <x:c r="H202" s="36" t="str">
        <x:v>VOLKSWAGEN, VW  5N</x:v>
      </x:c>
      <x:c r="I202" s="36"/>
      <x:c r="J202" s="36" t="str">
        <x:v>201209</x:v>
      </x:c>
      <x:c r="K202" s="36" t="n">
        <x:v>1390</x:v>
      </x:c>
      <x:c r="L202" s="36" t="str">
        <x:v>M1</x:v>
      </x:c>
      <x:c r="M202" s="36"/>
      <x:c r="N202" s="36" t="str">
        <x:v>VW</x:v>
      </x:c>
      <x:c r="O202" s="36" t="str">
        <x:v>1</x:v>
      </x:c>
      <x:c r="P202" s="36" t="str">
        <x:v>0</x:v>
      </x:c>
      <x:c r="Q202" s="36" t="str">
        <x:v>0</x:v>
      </x:c>
      <x:c r="R202" s="36"/>
      <x:c r="S202" s="36" t="str">
        <x:v>M</x:v>
      </x:c>
      <x:c r="T202" s="36" t="str">
        <x:v>843001</x:v>
      </x:c>
      <x:c r="U202" s="36" t="str">
        <x:v>1</x:v>
      </x:c>
      <x:c r="V202" s="36" t="n">
        <x:v>118</x:v>
      </x:c>
      <x:c r="W202" s="36"/>
      <x:c r="X202" s="36" t="str">
        <x:v>TIGUAN</x:v>
      </x:c>
      <x:c r="Y202" s="36"/>
      <x:c r="Z202" s="36"/>
      <x:c r="AA202" s="36" t="str">
        <x:v>TEST-2922</x:v>
      </x:c>
      <x:c r="AB202" s="36" t="str">
        <x:v>20121109</x:v>
      </x:c>
      <x:c r="AC202" s="36" t="str">
        <x:v>5N</x:v>
      </x:c>
      <x:c r="AD202" s="36" t="str">
        <x:v>ACCTHDX1</x:v>
      </x:c>
      <x:c r="AE202" s="36" t="str">
        <x:v>I</x:v>
      </x:c>
      <x:c r="AF202" s="36" t="str">
        <x:v>PB</x:v>
      </x:c>
      <x:c r="AG202" s="36" t="n">
        <x:v>2012</x:v>
      </x:c>
      <x:c r="AH202" s="36" t="str">
        <x:v>AM6AM6A6009NDSTVR07MGO</x:v>
      </x:c>
      <x:c r="AI202" s="36" t="str">
        <x:v>WVG00000000002922</x:v>
      </x:c>
      <x:c r="AJ202" s="38" t="str">
        <x:v>{"kw":118,"ccm":1390,"vin":"WVG00000000002922","brand":"VOLKSWAGEN, VW  5N","fuel1":"1","fuel2":"0","fuel3":"0","model":"TIGUAN","plate":"TEST-2922","is_4wd":"1","gearbox":"M","variant":"ACCTHDX1","version":"AM6AM6A6009NDSTVR07MGO","fab_code":"VW","group_no":"843001","body_code":"AC","type_text":"5N","build_month":"201209","eu_category":"M1","vehicle_type":"PB","vehicle_year":2012,"vehicle_class":"I","registration_date":"20121109"}</x:v>
      </x:c>
    </x:row>
    <x:row r="203" ht="18" customHeight="1">
      <x:c r="A203" s="36" t="n">
        <x:v>2923</x:v>
      </x:c>
      <x:c r="B203" s="36" t="str">
        <x:v>normalization-review-passenger-250-v1-rules-20260805T184409855703Z</x:v>
      </x:c>
      <x:c r="C203" s="36" t="n">
        <x:v>46239.78067008102</x:v>
      </x:c>
      <x:c r="D203" s="38" t="str">
        <x:v>"2026-08-05T18:44:09.895308+00:00"</x:v>
      </x:c>
      <x:c r="E203" s="36"/>
      <x:c r="F203" s="36" t="str">
        <x:v>01</x:v>
      </x:c>
      <x:c r="G203" s="36"/>
      <x:c r="H203" s="36" t="str">
        <x:v>FORD RBT    KA</x:v>
      </x:c>
      <x:c r="I203" s="36"/>
      <x:c r="J203" s="36"/>
      <x:c r="K203" s="36"/>
      <x:c r="L203" s="36" t="str">
        <x:v>M1</x:v>
      </x:c>
      <x:c r="M203" s="36"/>
      <x:c r="N203" s="36" t="str">
        <x:v>FO</x:v>
      </x:c>
      <x:c r="O203" s="36" t="str">
        <x:v>1</x:v>
      </x:c>
      <x:c r="P203" s="36" t="str">
        <x:v>0</x:v>
      </x:c>
      <x:c r="Q203" s="36" t="str">
        <x:v>0</x:v>
      </x:c>
      <x:c r="R203" s="36"/>
      <x:c r="S203" s="36" t="str">
        <x:v>M</x:v>
      </x:c>
      <x:c r="T203" s="36" t="str">
        <x:v>010102</x:v>
      </x:c>
      <x:c r="U203" s="36" t="str">
        <x:v>0</x:v>
      </x:c>
      <x:c r="V203" s="36" t="n">
        <x:v>44</x:v>
      </x:c>
      <x:c r="W203" s="36"/>
      <x:c r="X203" s="36"/>
      <x:c r="Y203" s="36"/>
      <x:c r="Z203" s="36" t="n">
        <x:v>1998</x:v>
      </x:c>
      <x:c r="AA203" s="36" t="str">
        <x:v>TEST-2923</x:v>
      </x:c>
      <x:c r="AB203" s="36" t="str">
        <x:v>19971128</x:v>
      </x:c>
      <x:c r="AC203" s="36"/>
      <x:c r="AD203" s="36" t="str">
        <x:v>J4D1</x:v>
      </x:c>
      <x:c r="AE203" s="36" t="str">
        <x:v>I</x:v>
      </x:c>
      <x:c r="AF203" s="36" t="str">
        <x:v>PB</x:v>
      </x:c>
      <x:c r="AG203" s="36" t="n">
        <x:v>1998</x:v>
      </x:c>
      <x:c r="AH203" s="36" t="str">
        <x:v>4C11</x:v>
      </x:c>
      <x:c r="AI203" s="36" t="str">
        <x:v>BXX00000000002923</x:v>
      </x:c>
      <x:c r="AJ203" s="38" t="str">
        <x:v>{"kw":44,"vin":"BXX00000000002923","brand":"FORD RBT    KA","fuel1":"1","fuel2":"0","fuel3":"0","plate":"TEST-2923","is_4wd":"0","gearbox":"M","variant":"J4D1","version":"4C11","fab_code":"FO","group_no":"010102","body_code":"01","model_year":1998,"eu_category":"M1","vehicle_type":"PB","vehicle_year":1998,"vehicle_class":"I","registration_date":"19971128"}</x:v>
      </x:c>
    </x:row>
    <x:row r="204" ht="18" customHeight="1">
      <x:c r="A204" s="36" t="n">
        <x:v>2924</x:v>
      </x:c>
      <x:c r="B204" s="36" t="str">
        <x:v>normalization-review-passenger-250-v1-rules-20260805T184409855703Z</x:v>
      </x:c>
      <x:c r="C204" s="36" t="n">
        <x:v>46239.78067008102</x:v>
      </x:c>
      <x:c r="D204" s="38" t="str">
        <x:v>"2026-08-05T18:44:09.895308+00:00"</x:v>
      </x:c>
      <x:c r="E204" s="36"/>
      <x:c r="F204" s="36" t="str">
        <x:v>AC</x:v>
      </x:c>
      <x:c r="G204" s="36"/>
      <x:c r="H204" s="36" t="str">
        <x:v>TOYOTA E15UT(A)</x:v>
      </x:c>
      <x:c r="I204" s="36"/>
      <x:c r="J204" s="36" t="str">
        <x:v>201307</x:v>
      </x:c>
      <x:c r="K204" s="36" t="n">
        <x:v>1598</x:v>
      </x:c>
      <x:c r="L204" s="36" t="str">
        <x:v>M1</x:v>
      </x:c>
      <x:c r="M204" s="36"/>
      <x:c r="N204" s="36" t="str">
        <x:v>TO</x:v>
      </x:c>
      <x:c r="O204" s="36" t="str">
        <x:v>1</x:v>
      </x:c>
      <x:c r="P204" s="36" t="str">
        <x:v>0</x:v>
      </x:c>
      <x:c r="Q204" s="36" t="str">
        <x:v>0</x:v>
      </x:c>
      <x:c r="R204" s="36"/>
      <x:c r="S204" s="36" t="str">
        <x:v>M</x:v>
      </x:c>
      <x:c r="T204" s="36" t="str">
        <x:v>073503</x:v>
      </x:c>
      <x:c r="U204" s="36" t="str">
        <x:v>0</x:v>
      </x:c>
      <x:c r="V204" s="36" t="n">
        <x:v>97</x:v>
      </x:c>
      <x:c r="W204" s="36"/>
      <x:c r="X204" s="36" t="str">
        <x:v>TOYOTA AURIS</x:v>
      </x:c>
      <x:c r="Y204" s="36"/>
      <x:c r="Z204" s="36"/>
      <x:c r="AA204" s="36" t="str">
        <x:v>TEST-2924</x:v>
      </x:c>
      <x:c r="AB204" s="36" t="str">
        <x:v>20131030</x:v>
      </x:c>
      <x:c r="AC204" s="36" t="str">
        <x:v>E15UT(A)</x:v>
      </x:c>
      <x:c r="AD204" s="36" t="str">
        <x:v>ZRE185(W)</x:v>
      </x:c>
      <x:c r="AE204" s="36" t="str">
        <x:v>I</x:v>
      </x:c>
      <x:c r="AF204" s="36" t="str">
        <x:v>PB</x:v>
      </x:c>
      <x:c r="AG204" s="36" t="n">
        <x:v>2013</x:v>
      </x:c>
      <x:c r="AH204" s="36" t="str">
        <x:v>ZRE185L-DWFNPW(2R)</x:v>
      </x:c>
      <x:c r="AI204" s="36" t="str">
        <x:v>SB100000000002924</x:v>
      </x:c>
      <x:c r="AJ204" s="38" t="str">
        <x:v>{"kw":97,"ccm":1598,"vin":"SB100000000002924","brand":"TOYOTA E15UT(A)","fuel1":"1","fuel2":"0","fuel3":"0","model":"TOYOTA AURIS","plate":"TEST-2924","is_4wd":"0","gearbox":"M","variant":"ZRE185(W)","version":"ZRE185L-DWFNPW(2R)","fab_code":"TO","group_no":"073503","body_code":"AC","type_text":"E15UT(A)","build_month":"201307","eu_category":"M1","vehicle_type":"PB","vehicle_year":2013,"vehicle_class":"I","registration_date":"20131030"}</x:v>
      </x:c>
    </x:row>
    <x:row r="205" ht="18" customHeight="1">
      <x:c r="A205" s="36" t="n">
        <x:v>2925</x:v>
      </x:c>
      <x:c r="B205" s="36" t="str">
        <x:v>normalization-review-passenger-250-v1-rules-20260805T184409855703Z</x:v>
      </x:c>
      <x:c r="C205" s="36" t="n">
        <x:v>46239.78067008102</x:v>
      </x:c>
      <x:c r="D205" s="38" t="str">
        <x:v>"2026-08-05T18:44:09.895308+00:00"</x:v>
      </x:c>
      <x:c r="E205" s="36"/>
      <x:c r="F205" s="36" t="str">
        <x:v>AC</x:v>
      </x:c>
      <x:c r="G205" s="36"/>
      <x:c r="H205" s="36" t="str">
        <x:v>VOLKSWAGEN, VW  3C</x:v>
      </x:c>
      <x:c r="I205" s="36"/>
      <x:c r="J205" s="36" t="str">
        <x:v>201407</x:v>
      </x:c>
      <x:c r="K205" s="36" t="n">
        <x:v>1390</x:v>
      </x:c>
      <x:c r="L205" s="36" t="str">
        <x:v>M1</x:v>
      </x:c>
      <x:c r="M205" s="36"/>
      <x:c r="N205" s="36" t="str">
        <x:v>VW</x:v>
      </x:c>
      <x:c r="O205" s="36" t="str">
        <x:v>1</x:v>
      </x:c>
      <x:c r="P205" s="36" t="str">
        <x:v>7</x:v>
      </x:c>
      <x:c r="Q205" s="36" t="str">
        <x:v>0</x:v>
      </x:c>
      <x:c r="R205" s="36" t="str">
        <x:v>F</x:v>
      </x:c>
      <x:c r="S205" s="36" t="str">
        <x:v>M</x:v>
      </x:c>
      <x:c r="T205" s="36" t="str">
        <x:v>824001</x:v>
      </x:c>
      <x:c r="U205" s="36" t="str">
        <x:v>0</x:v>
      </x:c>
      <x:c r="V205" s="36" t="n">
        <x:v>118</x:v>
      </x:c>
      <x:c r="W205" s="36"/>
      <x:c r="X205" s="36" t="str">
        <x:v>PASSAT</x:v>
      </x:c>
      <x:c r="Y205" s="36"/>
      <x:c r="Z205" s="36"/>
      <x:c r="AA205" s="36" t="str">
        <x:v>TEST-2925</x:v>
      </x:c>
      <x:c r="AB205" s="36" t="str">
        <x:v>20140901</x:v>
      </x:c>
      <x:c r="AC205" s="36" t="str">
        <x:v>3C</x:v>
      </x:c>
      <x:c r="AD205" s="36" t="str">
        <x:v>ACCKMAX0</x:v>
      </x:c>
      <x:c r="AE205" s="36" t="str">
        <x:v>I</x:v>
      </x:c>
      <x:c r="AF205" s="36" t="str">
        <x:v>PB</x:v>
      </x:c>
      <x:c r="AG205" s="36" t="n">
        <x:v>2014</x:v>
      </x:c>
      <x:c r="AH205" s="36" t="str">
        <x:v>FM6FM62S022STP17MJSNVR4O</x:v>
      </x:c>
      <x:c r="AI205" s="36" t="str">
        <x:v>WVW00000000002925</x:v>
      </x:c>
      <x:c r="AJ205" s="38" t="str">
        <x:v>{"kw":118,"ccm":1390,"vin":"WVW00000000002925","brand":"VOLKSWAGEN, VW  3C","fuel1":"1","fuel2":"7","fuel3":"0","model":"PASSAT","plate":"TEST-2925","is_4wd":"0","gearbox":"M","variant":"ACCKMAX0","version":"FM6FM62S022STP17MJSNVR4O","fab_code":"VW","group_no":"824001","body_code":"AC","type_text":"3C","fuel_combo":"F","build_month":"201407","eu_category":"M1","vehicle_type":"PB","vehicle_year":2014,"vehicle_class":"I","registration_date":"20140901"}</x:v>
      </x:c>
    </x:row>
    <x:row r="206" ht="18" customHeight="1">
      <x:c r="A206" s="36" t="n">
        <x:v>2926</x:v>
      </x:c>
      <x:c r="B206" s="36" t="str">
        <x:v>normalization-review-passenger-250-v1-rules-20260805T184409855703Z</x:v>
      </x:c>
      <x:c r="C206" s="36" t="n">
        <x:v>46239.78067008102</x:v>
      </x:c>
      <x:c r="D206" s="38" t="str">
        <x:v>"2026-08-05T18:44:09.895308+00:00"</x:v>
      </x:c>
      <x:c r="E206" s="36"/>
      <x:c r="F206" s="36" t="str">
        <x:v>AC</x:v>
      </x:c>
      <x:c r="G206" s="36"/>
      <x:c r="H206" s="36" t="str">
        <x:v>SAAB 9-3 VECTOR</x:v>
      </x:c>
      <x:c r="I206" s="36"/>
      <x:c r="J206" s="36" t="str">
        <x:v>200801</x:v>
      </x:c>
      <x:c r="K206" s="36" t="n">
        <x:v>1998</x:v>
      </x:c>
      <x:c r="L206" s="36" t="str">
        <x:v>M1</x:v>
      </x:c>
      <x:c r="M206" s="36"/>
      <x:c r="N206" s="36" t="str">
        <x:v>SA</x:v>
      </x:c>
      <x:c r="O206" s="36" t="str">
        <x:v>1</x:v>
      </x:c>
      <x:c r="P206" s="36" t="str">
        <x:v>7</x:v>
      </x:c>
      <x:c r="Q206" s="36" t="str">
        <x:v>0</x:v>
      </x:c>
      <x:c r="R206" s="36"/>
      <x:c r="S206" s="36" t="str">
        <x:v>M</x:v>
      </x:c>
      <x:c r="T206" s="36" t="str">
        <x:v>060319</x:v>
      </x:c>
      <x:c r="U206" s="36" t="str">
        <x:v>0</x:v>
      </x:c>
      <x:c r="V206" s="36" t="n">
        <x:v>110</x:v>
      </x:c>
      <x:c r="W206" s="36"/>
      <x:c r="X206" s="36"/>
      <x:c r="Y206" s="36"/>
      <x:c r="Z206" s="36"/>
      <x:c r="AA206" s="36" t="str">
        <x:v>TEST-2926</x:v>
      </x:c>
      <x:c r="AB206" s="36" t="str">
        <x:v>20080131</x:v>
      </x:c>
      <x:c r="AC206" s="36" t="str">
        <x:v>YS3F</x:v>
      </x:c>
      <x:c r="AD206" s="36" t="str">
        <x:v>F5F/BP</x:v>
      </x:c>
      <x:c r="AE206" s="36" t="str">
        <x:v>I</x:v>
      </x:c>
      <x:c r="AF206" s="36" t="str">
        <x:v>PB</x:v>
      </x:c>
      <x:c r="AG206" s="36" t="n">
        <x:v>2008</x:v>
      </x:c>
      <x:c r="AH206" s="36" t="str">
        <x:v>M502</x:v>
      </x:c>
      <x:c r="AI206" s="36" t="str">
        <x:v>YS300000000002926</x:v>
      </x:c>
      <x:c r="AJ206" s="38" t="str">
        <x:v>{"kw":110,"ccm":1998,"vin":"YS300000000002926","brand":"SAAB 9-3 VECTOR","fuel1":"1","fuel2":"7","fuel3":"0","plate":"TEST-2926","is_4wd":"0","gearbox":"M","variant":"F5F/BP","version":"M502","fab_code":"SA","group_no":"060319","body_code":"AC","type_text":"YS3F","build_month":"200801","eu_category":"M1","vehicle_type":"PB","vehicle_year":2008,"vehicle_class":"I","registration_date":"20080131"}</x:v>
      </x:c>
    </x:row>
    <x:row r="207" ht="18" customHeight="1">
      <x:c r="A207" s="36" t="n">
        <x:v>2927</x:v>
      </x:c>
      <x:c r="B207" s="36" t="str">
        <x:v>normalization-review-passenger-250-v1-rules-20260805T184409855703Z</x:v>
      </x:c>
      <x:c r="C207" s="36" t="n">
        <x:v>46239.78067008102</x:v>
      </x:c>
      <x:c r="D207" s="38" t="str">
        <x:v>"2026-08-05T18:44:09.895308+00:00"</x:v>
      </x:c>
      <x:c r="E207" s="36"/>
      <x:c r="F207" s="36" t="str">
        <x:v>AC</x:v>
      </x:c>
      <x:c r="G207" s="36"/>
      <x:c r="H207" s="36" t="str">
        <x:v>SUBARU FORESTER</x:v>
      </x:c>
      <x:c r="I207" s="36"/>
      <x:c r="J207" s="36" t="str">
        <x:v>200801</x:v>
      </x:c>
      <x:c r="K207" s="36" t="n">
        <x:v>1994</x:v>
      </x:c>
      <x:c r="L207" s="36" t="str">
        <x:v>M1</x:v>
      </x:c>
      <x:c r="M207" s="36"/>
      <x:c r="N207" s="36" t="str">
        <x:v>SH</x:v>
      </x:c>
      <x:c r="O207" s="36" t="str">
        <x:v>1</x:v>
      </x:c>
      <x:c r="P207" s="36" t="str">
        <x:v>0</x:v>
      </x:c>
      <x:c r="Q207" s="36" t="str">
        <x:v>0</x:v>
      </x:c>
      <x:c r="R207" s="36"/>
      <x:c r="S207" s="36" t="str">
        <x:v>A</x:v>
      </x:c>
      <x:c r="T207" s="36" t="str">
        <x:v>100054</x:v>
      </x:c>
      <x:c r="U207" s="36" t="str">
        <x:v>1</x:v>
      </x:c>
      <x:c r="V207" s="36" t="n">
        <x:v>110</x:v>
      </x:c>
      <x:c r="W207" s="36"/>
      <x:c r="X207" s="36"/>
      <x:c r="Y207" s="36"/>
      <x:c r="Z207" s="36"/>
      <x:c r="AA207" s="36" t="str">
        <x:v>TEST-2927</x:v>
      </x:c>
      <x:c r="AB207" s="36" t="str">
        <x:v>20080430</x:v>
      </x:c>
      <x:c r="AC207" s="36" t="str">
        <x:v>SH</x:v>
      </x:c>
      <x:c r="AD207" s="36" t="str">
        <x:v>SH5</x:v>
      </x:c>
      <x:c r="AE207" s="36" t="str">
        <x:v>I</x:v>
      </x:c>
      <x:c r="AF207" s="36" t="str">
        <x:v>PB</x:v>
      </x:c>
      <x:c r="AG207" s="36" t="n">
        <x:v>2008</x:v>
      </x:c>
      <x:c r="AH207" s="36" t="str">
        <x:v>530</x:v>
      </x:c>
      <x:c r="AI207" s="36" t="str">
        <x:v>JF100000000002927</x:v>
      </x:c>
      <x:c r="AJ207" s="38" t="str">
        <x:v>{"kw":110,"ccm":1994,"vin":"JF100000000002927","brand":"SUBARU FORESTER","fuel1":"1","fuel2":"0","fuel3":"0","plate":"TEST-2927","is_4wd":"1","gearbox":"A","variant":"SH5","version":"530","fab_code":"SH","group_no":"100054","body_code":"AC","type_text":"SH","build_month":"200801","eu_category":"M1","vehicle_type":"PB","vehicle_year":2008,"vehicle_class":"I","registration_date":"20080430"}</x:v>
      </x:c>
    </x:row>
    <x:row r="208" ht="18" customHeight="1">
      <x:c r="A208" s="36" t="n">
        <x:v>2928</x:v>
      </x:c>
      <x:c r="B208" s="36" t="str">
        <x:v>normalization-review-passenger-250-v1-rules-20260805T184409855703Z</x:v>
      </x:c>
      <x:c r="C208" s="36" t="n">
        <x:v>46239.78067008102</x:v>
      </x:c>
      <x:c r="D208" s="38" t="str">
        <x:v>"2026-08-05T18:44:09.895308+00:00"</x:v>
      </x:c>
      <x:c r="E208" s="36"/>
      <x:c r="F208" s="36" t="str">
        <x:v>AC</x:v>
      </x:c>
      <x:c r="G208" s="36"/>
      <x:c r="H208" s="36" t="str">
        <x:v>VOLVO</x:v>
      </x:c>
      <x:c r="I208" s="36"/>
      <x:c r="J208" s="36" t="str">
        <x:v>201812</x:v>
      </x:c>
      <x:c r="K208" s="36" t="n">
        <x:v>1969</x:v>
      </x:c>
      <x:c r="L208" s="36" t="str">
        <x:v>M1</x:v>
      </x:c>
      <x:c r="M208" s="36"/>
      <x:c r="N208" s="36" t="str">
        <x:v>VO</x:v>
      </x:c>
      <x:c r="O208" s="36" t="str">
        <x:v>2</x:v>
      </x:c>
      <x:c r="P208" s="36" t="str">
        <x:v>0</x:v>
      </x:c>
      <x:c r="Q208" s="36" t="str">
        <x:v>0</x:v>
      </x:c>
      <x:c r="R208" s="36"/>
      <x:c r="S208" s="36" t="str">
        <x:v>A</x:v>
      </x:c>
      <x:c r="T208" s="36" t="str">
        <x:v>019307</x:v>
      </x:c>
      <x:c r="U208" s="36" t="str">
        <x:v>1</x:v>
      </x:c>
      <x:c r="V208" s="36" t="n">
        <x:v>140</x:v>
      </x:c>
      <x:c r="W208" s="36"/>
      <x:c r="X208" s="36" t="str">
        <x:v>V60</x:v>
      </x:c>
      <x:c r="Y208" s="36"/>
      <x:c r="Z208" s="36"/>
      <x:c r="AA208" s="36" t="str">
        <x:v>TEST-2928</x:v>
      </x:c>
      <x:c r="AB208" s="36" t="str">
        <x:v>20190326</x:v>
      </x:c>
      <x:c r="AC208" s="36" t="str">
        <x:v>Z</x:v>
      </x:c>
      <x:c r="AD208" s="36" t="str">
        <x:v>ZWA8</x:v>
      </x:c>
      <x:c r="AE208" s="36" t="str">
        <x:v>I</x:v>
      </x:c>
      <x:c r="AF208" s="36" t="str">
        <x:v>PB</x:v>
      </x:c>
      <x:c r="AG208" s="36" t="n">
        <x:v>2018</x:v>
      </x:c>
      <x:c r="AH208" s="36" t="str">
        <x:v>ZWA8VC0?</x:v>
      </x:c>
      <x:c r="AI208" s="36" t="str">
        <x:v>YV100000000002928</x:v>
      </x:c>
      <x:c r="AJ208" s="38" t="str">
        <x:v>{"kw":140,"ccm":1969,"vin":"YV100000000002928","brand":"VOLVO","fuel1":"2","fuel2":"0","fuel3":"0","model":"V60","plate":"TEST-2928","is_4wd":"1","gearbox":"A","variant":"ZWA8","version":"ZWA8VC0?","fab_code":"VO","group_no":"019307","body_code":"AC","type_text":"Z","build_month":"201812","eu_category":"M1","vehicle_type":"PB","vehicle_year":2018,"vehicle_class":"I","registration_date":"20190326"}</x:v>
      </x:c>
    </x:row>
    <x:row r="209" ht="18" customHeight="1">
      <x:c r="A209" s="36" t="n">
        <x:v>2929</x:v>
      </x:c>
      <x:c r="B209" s="36" t="str">
        <x:v>normalization-review-passenger-250-v1-rules-20260805T184409855703Z</x:v>
      </x:c>
      <x:c r="C209" s="36" t="n">
        <x:v>46239.78067008102</x:v>
      </x:c>
      <x:c r="D209" s="38" t="str">
        <x:v>"2026-08-05T18:44:09.895308+00:00"</x:v>
      </x:c>
      <x:c r="E209" s="36"/>
      <x:c r="F209" s="36" t="str">
        <x:v>AF</x:v>
      </x:c>
      <x:c r="G209" s="36"/>
      <x:c r="H209" s="36" t="str">
        <x:v>TOYOTA XP13M(A)</x:v>
      </x:c>
      <x:c r="I209" s="36"/>
      <x:c r="J209" s="36" t="str">
        <x:v>201403</x:v>
      </x:c>
      <x:c r="K209" s="36" t="n">
        <x:v>1329</x:v>
      </x:c>
      <x:c r="L209" s="36" t="str">
        <x:v>M1</x:v>
      </x:c>
      <x:c r="M209" s="36"/>
      <x:c r="N209" s="36" t="str">
        <x:v>TO</x:v>
      </x:c>
      <x:c r="O209" s="36" t="str">
        <x:v>1</x:v>
      </x:c>
      <x:c r="P209" s="36" t="str">
        <x:v>0</x:v>
      </x:c>
      <x:c r="Q209" s="36" t="str">
        <x:v>0</x:v>
      </x:c>
      <x:c r="R209" s="36"/>
      <x:c r="S209" s="36" t="str">
        <x:v>M</x:v>
      </x:c>
      <x:c r="T209" s="36" t="str">
        <x:v>020583</x:v>
      </x:c>
      <x:c r="U209" s="36" t="str">
        <x:v>0</x:v>
      </x:c>
      <x:c r="V209" s="36" t="n">
        <x:v>73</x:v>
      </x:c>
      <x:c r="W209" s="36"/>
      <x:c r="X209" s="36" t="str">
        <x:v>TOYOTA YARIS</x:v>
      </x:c>
      <x:c r="Y209" s="36"/>
      <x:c r="Z209" s="36"/>
      <x:c r="AA209" s="36" t="str">
        <x:v>TEST-2929</x:v>
      </x:c>
      <x:c r="AB209" s="36" t="str">
        <x:v>20140326</x:v>
      </x:c>
      <x:c r="AC209" s="36" t="str">
        <x:v>XP13M(A)</x:v>
      </x:c>
      <x:c r="AD209" s="36" t="str">
        <x:v>NSP13F(MH)</x:v>
      </x:c>
      <x:c r="AE209" s="36" t="str">
        <x:v>I</x:v>
      </x:c>
      <x:c r="AF209" s="36" t="str">
        <x:v>PB</x:v>
      </x:c>
      <x:c r="AG209" s="36" t="n">
        <x:v>2014</x:v>
      </x:c>
      <x:c r="AH209" s="36" t="str">
        <x:v>NSP130L-CHFNKW(2G)</x:v>
      </x:c>
      <x:c r="AI209" s="36" t="str">
        <x:v>VNK00000000002929</x:v>
      </x:c>
      <x:c r="AJ209" s="38" t="str">
        <x:v>{"kw":73,"ccm":1329,"vin":"VNK00000000002929","brand":"TOYOTA XP13M(A)","fuel1":"1","fuel2":"0","fuel3":"0","model":"TOYOTA YARIS","plate":"TEST-2929","is_4wd":"0","gearbox":"M","variant":"NSP13F(MH)","version":"NSP130L-CHFNKW(2G)","fab_code":"TO","group_no":"020583","body_code":"AF","type_text":"XP13M(A)","build_month":"201403","eu_category":"M1","vehicle_type":"PB","vehicle_year":2014,"vehicle_class":"I","registration_date":"20140326"}</x:v>
      </x:c>
    </x:row>
    <x:row r="210" ht="18" customHeight="1">
      <x:c r="A210" s="36" t="n">
        <x:v>2930</x:v>
      </x:c>
      <x:c r="B210" s="36" t="str">
        <x:v>normalization-review-passenger-250-v1-rules-20260805T184409855703Z</x:v>
      </x:c>
      <x:c r="C210" s="36" t="n">
        <x:v>46239.78067008102</x:v>
      </x:c>
      <x:c r="D210" s="38" t="str">
        <x:v>"2026-08-05T18:44:09.895308+00:00"</x:v>
      </x:c>
      <x:c r="E210" s="36"/>
      <x:c r="F210" s="36" t="str">
        <x:v>AC</x:v>
      </x:c>
      <x:c r="G210" s="36"/>
      <x:c r="H210" s="36" t="str">
        <x:v>VOLVO</x:v>
      </x:c>
      <x:c r="I210" s="36" t="str">
        <x:v>20210112</x:v>
      </x:c>
      <x:c r="J210" s="36" t="str">
        <x:v>202101</x:v>
      </x:c>
      <x:c r="K210" s="36" t="n">
        <x:v>1969</x:v>
      </x:c>
      <x:c r="L210" s="36" t="str">
        <x:v>M1</x:v>
      </x:c>
      <x:c r="M210" s="36" t="str">
        <x:v>ELHYBRID</x:v>
      </x:c>
      <x:c r="N210" s="36" t="str">
        <x:v>VO</x:v>
      </x:c>
      <x:c r="O210" s="36" t="str">
        <x:v>1</x:v>
      </x:c>
      <x:c r="P210" s="36" t="str">
        <x:v>0</x:v>
      </x:c>
      <x:c r="Q210" s="36" t="str">
        <x:v>0</x:v>
      </x:c>
      <x:c r="R210" s="36"/>
      <x:c r="S210" s="36" t="str">
        <x:v>A</x:v>
      </x:c>
      <x:c r="T210" s="36" t="str">
        <x:v>021201</x:v>
      </x:c>
      <x:c r="U210" s="36" t="str">
        <x:v>0</x:v>
      </x:c>
      <x:c r="V210" s="36" t="n">
        <x:v>145</x:v>
      </x:c>
      <x:c r="W210" s="36" t="str">
        <x:v>VOLVO PERSONVAGNAR AB</x:v>
      </x:c>
      <x:c r="X210" s="36" t="str">
        <x:v>XC40</x:v>
      </x:c>
      <x:c r="Y210" s="36"/>
      <x:c r="Z210" s="36"/>
      <x:c r="AA210" s="36" t="str">
        <x:v>TEST-2930</x:v>
      </x:c>
      <x:c r="AB210" s="36" t="str">
        <x:v>20210209</x:v>
      </x:c>
      <x:c r="AC210" s="36" t="str">
        <x:v>X</x:v>
      </x:c>
      <x:c r="AD210" s="36" t="str">
        <x:v>XZK9</x:v>
      </x:c>
      <x:c r="AE210" s="36" t="str">
        <x:v>I</x:v>
      </x:c>
      <x:c r="AF210" s="36" t="str">
        <x:v>PB</x:v>
      </x:c>
      <x:c r="AG210" s="36" t="n">
        <x:v>2021</x:v>
      </x:c>
      <x:c r="AH210" s="36" t="str">
        <x:v>XZK9VD0?</x:v>
      </x:c>
      <x:c r="AI210" s="36" t="str">
        <x:v>YV100000000002930</x:v>
      </x:c>
      <x:c r="AJ210" s="38" t="str">
        <x:v>{"kw":145,"ccm":1969,"vin":"YV100000000002930","brand":"VOLVO","fuel1":"1","fuel2":"0","fuel3":"0","model":"XC40","plate":"TEST-2930","is_4wd":"0","gearbox":"A","variant":"XZK9","version":"XZK9VD0?","fab_code":"VO","group_no":"021201","body_code":"AC","ev_config":"ELHYBRID","type_text":"X","build_date":"20210112","build_month":"202101","eu_category":"M1","manufacturer":"VOLVO PERSONVAGNAR AB","vehicle_type":"PB","vehicle_year":2021,"vehicle_class":"I","registration_date":"20210209"}</x:v>
      </x:c>
    </x:row>
    <x:row r="211" ht="18" customHeight="1">
      <x:c r="A211" s="36" t="n">
        <x:v>2931</x:v>
      </x:c>
      <x:c r="B211" s="36" t="str">
        <x:v>normalization-review-passenger-250-v1-rules-20260805T184409855703Z</x:v>
      </x:c>
      <x:c r="C211" s="36" t="n">
        <x:v>46239.78067008102</x:v>
      </x:c>
      <x:c r="D211" s="38" t="str">
        <x:v>"2026-08-05T18:44:09.895308+00:00"</x:v>
      </x:c>
      <x:c r="E211" s="36"/>
      <x:c r="F211" s="36" t="str">
        <x:v>AB</x:v>
      </x:c>
      <x:c r="G211" s="36"/>
      <x:c r="H211" s="36" t="str">
        <x:v>MAZDA 3 KOMBISEDAN 1.6 E</x:v>
      </x:c>
      <x:c r="I211" s="36"/>
      <x:c r="J211" s="36" t="str">
        <x:v>200712</x:v>
      </x:c>
      <x:c r="K211" s="36" t="n">
        <x:v>1598</x:v>
      </x:c>
      <x:c r="L211" s="36" t="str">
        <x:v>M1</x:v>
      </x:c>
      <x:c r="M211" s="36"/>
      <x:c r="N211" s="36" t="str">
        <x:v>MZ</x:v>
      </x:c>
      <x:c r="O211" s="36" t="str">
        <x:v>1</x:v>
      </x:c>
      <x:c r="P211" s="36" t="str">
        <x:v>0</x:v>
      </x:c>
      <x:c r="Q211" s="36" t="str">
        <x:v>0</x:v>
      </x:c>
      <x:c r="R211" s="36"/>
      <x:c r="S211" s="36" t="str">
        <x:v>A</x:v>
      </x:c>
      <x:c r="T211" s="36" t="str">
        <x:v>010042</x:v>
      </x:c>
      <x:c r="U211" s="36" t="str">
        <x:v>0</x:v>
      </x:c>
      <x:c r="V211" s="36" t="n">
        <x:v>77</x:v>
      </x:c>
      <x:c r="W211" s="36"/>
      <x:c r="X211" s="36"/>
      <x:c r="Y211" s="36"/>
      <x:c r="Z211" s="36"/>
      <x:c r="AA211" s="36" t="str">
        <x:v>TEST-2931</x:v>
      </x:c>
      <x:c r="AB211" s="36" t="str">
        <x:v>20080331</x:v>
      </x:c>
      <x:c r="AC211" s="36" t="str">
        <x:v>BK</x:v>
      </x:c>
      <x:c r="AD211" s="36" t="str">
        <x:v>14Z</x:v>
      </x:c>
      <x:c r="AE211" s="36" t="str">
        <x:v>I</x:v>
      </x:c>
      <x:c r="AF211" s="36" t="str">
        <x:v>PB</x:v>
      </x:c>
      <x:c r="AG211" s="36" t="n">
        <x:v>2007</x:v>
      </x:c>
      <x:c r="AH211" s="36" t="str">
        <x:v>5</x:v>
      </x:c>
      <x:c r="AI211" s="36" t="str">
        <x:v>JMZ00000000002931</x:v>
      </x:c>
      <x:c r="AJ211" s="38" t="str">
        <x:v>{"kw":77,"ccm":1598,"vin":"JMZ00000000002931","brand":"MAZDA 3 KOMBISEDAN 1.6 E","fuel1":"1","fuel2":"0","fuel3":"0","plate":"TEST-2931","is_4wd":"0","gearbox":"A","variant":"14Z","version":"5","fab_code":"MZ","group_no":"010042","body_code":"AB","type_text":"BK","build_month":"200712","eu_category":"M1","vehicle_type":"PB","vehicle_year":2007,"vehicle_class":"I","registration_date":"20080331"}</x:v>
      </x:c>
    </x:row>
    <x:row r="212" ht="18" customHeight="1">
      <x:c r="A212" s="36" t="n">
        <x:v>2932</x:v>
      </x:c>
      <x:c r="B212" s="36" t="str">
        <x:v>normalization-review-passenger-250-v1-rules-20260805T184409855703Z</x:v>
      </x:c>
      <x:c r="C212" s="36" t="n">
        <x:v>46239.78067008102</x:v>
      </x:c>
      <x:c r="D212" s="38" t="str">
        <x:v>"2026-08-05T18:44:09.895308+00:00"</x:v>
      </x:c>
      <x:c r="E212" s="36"/>
      <x:c r="F212" s="36" t="str">
        <x:v>AC</x:v>
      </x:c>
      <x:c r="G212" s="36"/>
      <x:c r="H212" s="36" t="str">
        <x:v>VOLKSWAGEN, VW  AUV</x:v>
      </x:c>
      <x:c r="I212" s="36"/>
      <x:c r="J212" s="36" t="str">
        <x:v>201411</x:v>
      </x:c>
      <x:c r="K212" s="36" t="n">
        <x:v>1395</x:v>
      </x:c>
      <x:c r="L212" s="36" t="str">
        <x:v>M1</x:v>
      </x:c>
      <x:c r="M212" s="36"/>
      <x:c r="N212" s="36" t="str">
        <x:v>VW</x:v>
      </x:c>
      <x:c r="O212" s="36" t="str">
        <x:v>1</x:v>
      </x:c>
      <x:c r="P212" s="36" t="str">
        <x:v>0</x:v>
      </x:c>
      <x:c r="Q212" s="36" t="str">
        <x:v>0</x:v>
      </x:c>
      <x:c r="R212" s="36"/>
      <x:c r="S212" s="36" t="str">
        <x:v>A</x:v>
      </x:c>
      <x:c r="T212" s="36" t="str">
        <x:v>705007</x:v>
      </x:c>
      <x:c r="U212" s="36" t="str">
        <x:v>0</x:v>
      </x:c>
      <x:c r="V212" s="36" t="n">
        <x:v>92</x:v>
      </x:c>
      <x:c r="W212" s="36"/>
      <x:c r="X212" s="36" t="str">
        <x:v>GOLF SPORTSVAN</x:v>
      </x:c>
      <x:c r="Y212" s="36"/>
      <x:c r="Z212" s="36"/>
      <x:c r="AA212" s="36" t="str">
        <x:v>TEST-2932</x:v>
      </x:c>
      <x:c r="AB212" s="36" t="str">
        <x:v>20150513</x:v>
      </x:c>
      <x:c r="AC212" s="36" t="str">
        <x:v>AUV</x:v>
      </x:c>
      <x:c r="AD212" s="36" t="str">
        <x:v>SACCZCAX0</x:v>
      </x:c>
      <x:c r="AE212" s="36" t="str">
        <x:v>I</x:v>
      </x:c>
      <x:c r="AF212" s="36" t="str">
        <x:v>PB</x:v>
      </x:c>
      <x:c r="AG212" s="36" t="n">
        <x:v>2014</x:v>
      </x:c>
      <x:c r="AH212" s="36" t="str">
        <x:v>FD7FD7CW001N7MMOML01VR2</x:v>
      </x:c>
      <x:c r="AI212" s="36" t="str">
        <x:v>WVW00000000002932</x:v>
      </x:c>
      <x:c r="AJ212" s="38" t="str">
        <x:v>{"kw":92,"ccm":1395,"vin":"WVW00000000002932","brand":"VOLKSWAGEN, VW  AUV","fuel1":"1","fuel2":"0","fuel3":"0","model":"GOLF SPORTSVAN","plate":"TEST-2932","is_4wd":"0","gearbox":"A","variant":"SACCZCAX0","version":"FD7FD7CW001N7MMOML01VR2","fab_code":"VW","group_no":"705007","body_code":"AC","type_text":"AUV","build_month":"201411","eu_category":"M1","vehicle_type":"PB","vehicle_year":2014,"vehicle_class":"I","registration_date":"20150513"}</x:v>
      </x:c>
    </x:row>
    <x:row r="213" ht="18" customHeight="1">
      <x:c r="A213" s="36" t="n">
        <x:v>2933</x:v>
      </x:c>
      <x:c r="B213" s="36" t="str">
        <x:v>normalization-review-passenger-250-v1-rules-20260805T184409855703Z</x:v>
      </x:c>
      <x:c r="C213" s="36" t="n">
        <x:v>46239.78067008102</x:v>
      </x:c>
      <x:c r="D213" s="38" t="str">
        <x:v>"2026-08-05T18:44:09.895308+00:00"</x:v>
      </x:c>
      <x:c r="E213" s="36"/>
      <x:c r="F213" s="36" t="str">
        <x:v>03</x:v>
      </x:c>
      <x:c r="G213" s="36"/>
      <x:c r="H213" s="36" t="str">
        <x:v>VOLVO 22134 VEE</x:v>
      </x:c>
      <x:c r="I213" s="36"/>
      <x:c r="J213" s="36"/>
      <x:c r="K213" s="36"/>
      <x:c r="L213" s="36" t="str">
        <x:v>M1</x:v>
      </x:c>
      <x:c r="M213" s="36"/>
      <x:c r="N213" s="36" t="str">
        <x:v>VO</x:v>
      </x:c>
      <x:c r="O213" s="36" t="str">
        <x:v>1</x:v>
      </x:c>
      <x:c r="P213" s="36" t="str">
        <x:v>0</x:v>
      </x:c>
      <x:c r="Q213" s="36" t="str">
        <x:v>0</x:v>
      </x:c>
      <x:c r="R213" s="36"/>
      <x:c r="S213" s="36" t="str">
        <x:v>M</x:v>
      </x:c>
      <x:c r="T213" s="36"/>
      <x:c r="U213" s="36" t="str">
        <x:v>0</x:v>
      </x:c>
      <x:c r="V213" s="36" t="n">
        <x:v>55</x:v>
      </x:c>
      <x:c r="W213" s="36"/>
      <x:c r="X213" s="36"/>
      <x:c r="Y213" s="36"/>
      <x:c r="Z213" s="36" t="n">
        <x:v>1965</x:v>
      </x:c>
      <x:c r="AA213" s="36" t="str">
        <x:v>TEST-2933</x:v>
      </x:c>
      <x:c r="AB213" s="36" t="str">
        <x:v>19640928</x:v>
      </x:c>
      <x:c r="AC213" s="36"/>
      <x:c r="AD213" s="36"/>
      <x:c r="AE213" s="36" t="str">
        <x:v>I</x:v>
      </x:c>
      <x:c r="AF213" s="36" t="str">
        <x:v>PB</x:v>
      </x:c>
      <x:c r="AG213" s="36" t="n">
        <x:v>1965</x:v>
      </x:c>
      <x:c r="AH213" s="36"/>
      <x:c r="AI213" s="36" t="str">
        <x:v>18100000000002933</x:v>
      </x:c>
      <x:c r="AJ213" s="38" t="str">
        <x:v>{"kw":55,"vin":"18100000000002933","brand":"VOLVO 22134 VEE","fuel1":"1","fuel2":"0","fuel3":"0","plate":"TEST-2933","is_4wd":"0","gearbox":"M","fab_code":"VO","body_code":"03","model_year":1965,"eu_category":"M1","vehicle_type":"PB","vehicle_year":1965,"vehicle_class":"I","registration_date":"19640928"}</x:v>
      </x:c>
    </x:row>
    <x:row r="214" ht="18" customHeight="1">
      <x:c r="A214" s="36" t="n">
        <x:v>2934</x:v>
      </x:c>
      <x:c r="B214" s="36" t="str">
        <x:v>normalization-review-passenger-250-v1-rules-20260805T184409855703Z</x:v>
      </x:c>
      <x:c r="C214" s="36" t="n">
        <x:v>46239.78067008102</x:v>
      </x:c>
      <x:c r="D214" s="38" t="str">
        <x:v>"2026-08-05T18:44:09.895308+00:00"</x:v>
      </x:c>
      <x:c r="E214" s="36"/>
      <x:c r="F214" s="36" t="str">
        <x:v>AA</x:v>
      </x:c>
      <x:c r="G214" s="36"/>
      <x:c r="H214" s="36" t="str">
        <x:v>VOLKSWAGEN, VW  3CC</x:v>
      </x:c>
      <x:c r="I214" s="36"/>
      <x:c r="J214" s="36" t="str">
        <x:v>201406</x:v>
      </x:c>
      <x:c r="K214" s="36" t="n">
        <x:v>1968</x:v>
      </x:c>
      <x:c r="L214" s="36" t="str">
        <x:v>M1</x:v>
      </x:c>
      <x:c r="M214" s="36"/>
      <x:c r="N214" s="36" t="str">
        <x:v>VW</x:v>
      </x:c>
      <x:c r="O214" s="36" t="str">
        <x:v>2</x:v>
      </x:c>
      <x:c r="P214" s="36" t="str">
        <x:v>0</x:v>
      </x:c>
      <x:c r="Q214" s="36" t="str">
        <x:v>0</x:v>
      </x:c>
      <x:c r="R214" s="36"/>
      <x:c r="S214" s="36" t="str">
        <x:v>A</x:v>
      </x:c>
      <x:c r="T214" s="36" t="str">
        <x:v>834026</x:v>
      </x:c>
      <x:c r="U214" s="36" t="str">
        <x:v>1</x:v>
      </x:c>
      <x:c r="V214" s="36" t="n">
        <x:v>130</x:v>
      </x:c>
      <x:c r="W214" s="36"/>
      <x:c r="X214" s="36" t="str">
        <x:v>CC</x:v>
      </x:c>
      <x:c r="Y214" s="36"/>
      <x:c r="Z214" s="36"/>
      <x:c r="AA214" s="36" t="str">
        <x:v>TEST-2934</x:v>
      </x:c>
      <x:c r="AB214" s="36" t="str">
        <x:v>20150130</x:v>
      </x:c>
      <x:c r="AC214" s="36" t="str">
        <x:v>3CC</x:v>
      </x:c>
      <x:c r="AD214" s="36" t="str">
        <x:v>AACFGCX1</x:v>
      </x:c>
      <x:c r="AE214" s="36" t="str">
        <x:v>I</x:v>
      </x:c>
      <x:c r="AF214" s="36" t="str">
        <x:v>PB</x:v>
      </x:c>
      <x:c r="AG214" s="36" t="n">
        <x:v>2014</x:v>
      </x:c>
      <x:c r="AH214" s="36" t="str">
        <x:v>AD6AD62E083ST7MJVR25O</x:v>
      </x:c>
      <x:c r="AI214" s="36" t="str">
        <x:v>WVW00000000002934</x:v>
      </x:c>
      <x:c r="AJ214" s="38" t="str">
        <x:v>{"kw":130,"ccm":1968,"vin":"WVW00000000002934","brand":"VOLKSWAGEN, VW  3CC","fuel1":"2","fuel2":"0","fuel3":"0","model":"CC","plate":"TEST-2934","is_4wd":"1","gearbox":"A","variant":"AACFGCX1","version":"AD6AD62E083ST7MJVR25O","fab_code":"VW","group_no":"834026","body_code":"AA","type_text":"3CC","build_month":"201406","eu_category":"M1","vehicle_type":"PB","vehicle_year":2014,"vehicle_class":"I","registration_date":"20150130"}</x:v>
      </x:c>
    </x:row>
    <x:row r="215" ht="18" customHeight="1">
      <x:c r="A215" s="36" t="n">
        <x:v>2935</x:v>
      </x:c>
      <x:c r="B215" s="36" t="str">
        <x:v>normalization-review-passenger-250-v1-rules-20260805T184409855703Z</x:v>
      </x:c>
      <x:c r="C215" s="36" t="n">
        <x:v>46239.78067008102</x:v>
      </x:c>
      <x:c r="D215" s="38" t="str">
        <x:v>"2026-08-05T18:44:09.895308+00:00"</x:v>
      </x:c>
      <x:c r="E215" s="36"/>
      <x:c r="F215" s="36" t="str">
        <x:v>AC</x:v>
      </x:c>
      <x:c r="G215" s="36"/>
      <x:c r="H215" s="36" t="str">
        <x:v>VOLVO M + V50</x:v>
      </x:c>
      <x:c r="I215" s="36"/>
      <x:c r="J215" s="36" t="str">
        <x:v>200806</x:v>
      </x:c>
      <x:c r="K215" s="36" t="n">
        <x:v>1798</x:v>
      </x:c>
      <x:c r="L215" s="36" t="str">
        <x:v>M1</x:v>
      </x:c>
      <x:c r="M215" s="36"/>
      <x:c r="N215" s="36" t="str">
        <x:v>VO</x:v>
      </x:c>
      <x:c r="O215" s="36" t="str">
        <x:v>1</x:v>
      </x:c>
      <x:c r="P215" s="36" t="str">
        <x:v>7</x:v>
      </x:c>
      <x:c r="Q215" s="36" t="str">
        <x:v>0</x:v>
      </x:c>
      <x:c r="R215" s="36"/>
      <x:c r="S215" s="36" t="str">
        <x:v>M</x:v>
      </x:c>
      <x:c r="T215" s="36" t="str">
        <x:v>950012</x:v>
      </x:c>
      <x:c r="U215" s="36" t="str">
        <x:v>0</x:v>
      </x:c>
      <x:c r="V215" s="36" t="n">
        <x:v>92</x:v>
      </x:c>
      <x:c r="W215" s="36"/>
      <x:c r="X215" s="36"/>
      <x:c r="Y215" s="36"/>
      <x:c r="Z215" s="36"/>
      <x:c r="AA215" s="36" t="str">
        <x:v>TEST-2935</x:v>
      </x:c>
      <x:c r="AB215" s="36" t="str">
        <x:v>20080701</x:v>
      </x:c>
      <x:c r="AC215" s="36" t="str">
        <x:v>M</x:v>
      </x:c>
      <x:c r="AD215" s="36" t="str">
        <x:v>MW08</x:v>
      </x:c>
      <x:c r="AE215" s="36" t="str">
        <x:v>I</x:v>
      </x:c>
      <x:c r="AF215" s="36" t="str">
        <x:v>PB</x:v>
      </x:c>
      <x:c r="AG215" s="36" t="n">
        <x:v>2008</x:v>
      </x:c>
      <x:c r="AH215" s="36" t="str">
        <x:v>MW0842??</x:v>
      </x:c>
      <x:c r="AI215" s="36" t="str">
        <x:v>YV100000000002935</x:v>
      </x:c>
      <x:c r="AJ215" s="38" t="str">
        <x:v>{"kw":92,"ccm":1798,"vin":"YV100000000002935","brand":"VOLVO M + V50","fuel1":"1","fuel2":"7","fuel3":"0","plate":"TEST-2935","is_4wd":"0","gearbox":"M","variant":"MW08","version":"MW0842??","fab_code":"VO","group_no":"950012","body_code":"AC","type_text":"M","build_month":"200806","eu_category":"M1","vehicle_type":"PB","vehicle_year":2008,"vehicle_class":"I","registration_date":"20080701"}</x:v>
      </x:c>
    </x:row>
    <x:row r="216" ht="18" customHeight="1">
      <x:c r="A216" s="36" t="n">
        <x:v>2936</x:v>
      </x:c>
      <x:c r="B216" s="36" t="str">
        <x:v>normalization-review-passenger-250-v1-rules-20260805T184409855703Z</x:v>
      </x:c>
      <x:c r="C216" s="36" t="n">
        <x:v>46239.78067008102</x:v>
      </x:c>
      <x:c r="D216" s="38" t="str">
        <x:v>"2026-08-05T18:44:09.895308+00:00"</x:v>
      </x:c>
      <x:c r="E216" s="36"/>
      <x:c r="F216" s="36" t="str">
        <x:v>01</x:v>
      </x:c>
      <x:c r="G216" s="36"/>
      <x:c r="H216" s="36" t="str">
        <x:v>TOYOTA STARLET DL</x:v>
      </x:c>
      <x:c r="I216" s="36"/>
      <x:c r="J216" s="36"/>
      <x:c r="K216" s="36"/>
      <x:c r="L216" s="36" t="str">
        <x:v>M1</x:v>
      </x:c>
      <x:c r="M216" s="36"/>
      <x:c r="N216" s="36" t="str">
        <x:v>TO</x:v>
      </x:c>
      <x:c r="O216" s="36" t="str">
        <x:v>1</x:v>
      </x:c>
      <x:c r="P216" s="36" t="str">
        <x:v>0</x:v>
      </x:c>
      <x:c r="Q216" s="36" t="str">
        <x:v>0</x:v>
      </x:c>
      <x:c r="R216" s="36"/>
      <x:c r="S216" s="36" t="str">
        <x:v>M</x:v>
      </x:c>
      <x:c r="T216" s="36" t="str">
        <x:v>002008</x:v>
      </x:c>
      <x:c r="U216" s="36" t="str">
        <x:v>0</x:v>
      </x:c>
      <x:c r="V216" s="36" t="n">
        <x:v>43</x:v>
      </x:c>
      <x:c r="W216" s="36"/>
      <x:c r="X216" s="36"/>
      <x:c r="Y216" s="36" t="str">
        <x:v>002008</x:v>
      </x:c>
      <x:c r="Z216" s="36" t="n">
        <x:v>1982</x:v>
      </x:c>
      <x:c r="AA216" s="36" t="str">
        <x:v>TEST-2936</x:v>
      </x:c>
      <x:c r="AB216" s="36" t="str">
        <x:v>19820223</x:v>
      </x:c>
      <x:c r="AC216" s="36"/>
      <x:c r="AD216" s="36"/>
      <x:c r="AE216" s="36" t="str">
        <x:v>I</x:v>
      </x:c>
      <x:c r="AF216" s="36" t="str">
        <x:v>PB</x:v>
      </x:c>
      <x:c r="AG216" s="36" t="n">
        <x:v>1982</x:v>
      </x:c>
      <x:c r="AH216" s="36"/>
      <x:c r="AI216" s="36" t="str">
        <x:v>GOK00000000002936</x:v>
      </x:c>
      <x:c r="AJ216" s="38" t="str">
        <x:v>{"kw":43,"vin":"GOK00000000002936","brand":"TOYOTA STARLET DL","fuel1":"1","fuel2":"0","fuel3":"0","plate":"TEST-2936","is_4wd":"0","gearbox":"M","fab_code":"TO","group_no":"002008","model_no":"002008","body_code":"01","model_year":1982,"eu_category":"M1","vehicle_type":"PB","vehicle_year":1982,"vehicle_class":"I","registration_date":"19820223"}</x:v>
      </x:c>
    </x:row>
    <x:row r="217" ht="18" customHeight="1">
      <x:c r="A217" s="36" t="n">
        <x:v>2937</x:v>
      </x:c>
      <x:c r="B217" s="36" t="str">
        <x:v>normalization-review-passenger-250-v1-rules-20260805T184409855703Z</x:v>
      </x:c>
      <x:c r="C217" s="36" t="n">
        <x:v>46239.78067008102</x:v>
      </x:c>
      <x:c r="D217" s="38" t="str">
        <x:v>"2026-08-05T18:44:09.895308+00:00"</x:v>
      </x:c>
      <x:c r="E217" s="36"/>
      <x:c r="F217" s="36" t="str">
        <x:v>AC</x:v>
      </x:c>
      <x:c r="G217" s="36"/>
      <x:c r="H217" s="36" t="str">
        <x:v>BMW</x:v>
      </x:c>
      <x:c r="I217" s="36"/>
      <x:c r="J217" s="36" t="str">
        <x:v>201803</x:v>
      </x:c>
      <x:c r="K217" s="36" t="n">
        <x:v>1995</x:v>
      </x:c>
      <x:c r="L217" s="36" t="str">
        <x:v>M1</x:v>
      </x:c>
      <x:c r="M217" s="36"/>
      <x:c r="N217" s="36" t="str">
        <x:v>BW</x:v>
      </x:c>
      <x:c r="O217" s="36" t="str">
        <x:v>2</x:v>
      </x:c>
      <x:c r="P217" s="36" t="str">
        <x:v>0</x:v>
      </x:c>
      <x:c r="Q217" s="36" t="str">
        <x:v>0</x:v>
      </x:c>
      <x:c r="R217" s="36"/>
      <x:c r="S217" s="36" t="str">
        <x:v>A</x:v>
      </x:c>
      <x:c r="T217" s="36" t="str">
        <x:v>251131</x:v>
      </x:c>
      <x:c r="U217" s="36" t="str">
        <x:v>1</x:v>
      </x:c>
      <x:c r="V217" s="36" t="n">
        <x:v>140</x:v>
      </x:c>
      <x:c r="W217" s="36"/>
      <x:c r="X217" s="36" t="str">
        <x:v>520D XDRIVE</x:v>
      </x:c>
      <x:c r="Y217" s="36"/>
      <x:c r="Z217" s="36"/>
      <x:c r="AA217" s="36" t="str">
        <x:v>TEST-2937</x:v>
      </x:c>
      <x:c r="AB217" s="36" t="str">
        <x:v>20180507</x:v>
      </x:c>
      <x:c r="AC217" s="36" t="str">
        <x:v>G5K</x:v>
      </x:c>
      <x:c r="AD217" s="36" t="str">
        <x:v>JM91</x:v>
      </x:c>
      <x:c r="AE217" s="36" t="str">
        <x:v>I</x:v>
      </x:c>
      <x:c r="AF217" s="36" t="str">
        <x:v>PB</x:v>
      </x:c>
      <x:c r="AG217" s="36" t="n">
        <x:v>2018</x:v>
      </x:c>
      <x:c r="AH217" s="36" t="str">
        <x:v>CAW500L0</x:v>
      </x:c>
      <x:c r="AI217" s="36" t="str">
        <x:v>WBA00000000002937</x:v>
      </x:c>
      <x:c r="AJ217" s="38" t="str">
        <x:v>{"kw":140,"ccm":1995,"vin":"WBA00000000002937","brand":"BMW","fuel1":"2","fuel2":"0","fuel3":"0","model":"520D XDRIVE","plate":"TEST-2937","is_4wd":"1","gearbox":"A","variant":"JM91","version":"CAW500L0","fab_code":"BW","group_no":"251131","body_code":"AC","type_text":"G5K","build_month":"201803","eu_category":"M1","vehicle_type":"PB","vehicle_year":2018,"vehicle_class":"I","registration_date":"20180507"}</x:v>
      </x:c>
    </x:row>
    <x:row r="218" ht="18" customHeight="1">
      <x:c r="A218" s="36" t="n">
        <x:v>2938</x:v>
      </x:c>
      <x:c r="B218" s="36" t="str">
        <x:v>normalization-review-passenger-250-v1-rules-20260805T184409855703Z</x:v>
      </x:c>
      <x:c r="C218" s="36" t="n">
        <x:v>46239.78067008102</x:v>
      </x:c>
      <x:c r="D218" s="38" t="str">
        <x:v>"2026-08-05T18:44:09.895308+00:00"</x:v>
      </x:c>
      <x:c r="E218" s="36"/>
      <x:c r="F218" s="36" t="str">
        <x:v>01</x:v>
      </x:c>
      <x:c r="G218" s="36"/>
      <x:c r="H218" s="36" t="str">
        <x:v>VOLVO 12134 VL</x:v>
      </x:c>
      <x:c r="I218" s="36"/>
      <x:c r="J218" s="36"/>
      <x:c r="K218" s="36"/>
      <x:c r="L218" s="36" t="str">
        <x:v>M1</x:v>
      </x:c>
      <x:c r="M218" s="36"/>
      <x:c r="N218" s="36" t="str">
        <x:v>VO</x:v>
      </x:c>
      <x:c r="O218" s="36" t="str">
        <x:v>1</x:v>
      </x:c>
      <x:c r="P218" s="36" t="str">
        <x:v>0</x:v>
      </x:c>
      <x:c r="Q218" s="36" t="str">
        <x:v>0</x:v>
      </x:c>
      <x:c r="R218" s="36"/>
      <x:c r="S218" s="36" t="str">
        <x:v>M</x:v>
      </x:c>
      <x:c r="T218" s="36" t="str">
        <x:v>000717</x:v>
      </x:c>
      <x:c r="U218" s="36" t="str">
        <x:v>0</x:v>
      </x:c>
      <x:c r="V218" s="36" t="n">
        <x:v>55</x:v>
      </x:c>
      <x:c r="W218" s="36"/>
      <x:c r="X218" s="36"/>
      <x:c r="Y218" s="36" t="str">
        <x:v>000717</x:v>
      </x:c>
      <x:c r="Z218" s="36" t="n">
        <x:v>1966</x:v>
      </x:c>
      <x:c r="AA218" s="36" t="str">
        <x:v>TEST-2938</x:v>
      </x:c>
      <x:c r="AB218" s="36" t="str">
        <x:v>19660531</x:v>
      </x:c>
      <x:c r="AC218" s="36"/>
      <x:c r="AD218" s="36"/>
      <x:c r="AE218" s="36" t="str">
        <x:v>I</x:v>
      </x:c>
      <x:c r="AF218" s="36" t="str">
        <x:v>PB</x:v>
      </x:c>
      <x:c r="AG218" s="36" t="n">
        <x:v>1966</x:v>
      </x:c>
      <x:c r="AH218" s="36"/>
      <x:c r="AI218" s="36" t="str">
        <x:v>21800000000002938</x:v>
      </x:c>
      <x:c r="AJ218" s="38" t="str">
        <x:v>{"kw":55,"vin":"21800000000002938","brand":"VOLVO 12134 VL","fuel1":"1","fuel2":"0","fuel3":"0","plate":"TEST-2938","is_4wd":"0","gearbox":"M","fab_code":"VO","group_no":"000717","model_no":"000717","body_code":"01","model_year":1966,"eu_category":"M1","vehicle_type":"PB","vehicle_year":1966,"vehicle_class":"I","registration_date":"19660531"}</x:v>
      </x:c>
    </x:row>
    <x:row r="219" ht="18" customHeight="1">
      <x:c r="A219" s="36" t="n">
        <x:v>2939</x:v>
      </x:c>
      <x:c r="B219" s="36" t="str">
        <x:v>normalization-review-passenger-250-v1-rules-20260805T184409855703Z</x:v>
      </x:c>
      <x:c r="C219" s="36" t="n">
        <x:v>46239.78067008102</x:v>
      </x:c>
      <x:c r="D219" s="38" t="str">
        <x:v>"2026-08-05T18:44:09.895308+00:00"</x:v>
      </x:c>
      <x:c r="E219" s="36"/>
      <x:c r="F219" s="36" t="str">
        <x:v>AA</x:v>
      </x:c>
      <x:c r="G219" s="36"/>
      <x:c r="H219" s="36" t="str">
        <x:v>BMW</x:v>
      </x:c>
      <x:c r="I219" s="36"/>
      <x:c r="J219" s="36" t="str">
        <x:v>201803</x:v>
      </x:c>
      <x:c r="K219" s="36" t="n">
        <x:v>2993</x:v>
      </x:c>
      <x:c r="L219" s="36" t="str">
        <x:v>M1</x:v>
      </x:c>
      <x:c r="M219" s="36"/>
      <x:c r="N219" s="36" t="str">
        <x:v>BW</x:v>
      </x:c>
      <x:c r="O219" s="36" t="str">
        <x:v>2</x:v>
      </x:c>
      <x:c r="P219" s="36" t="str">
        <x:v>0</x:v>
      </x:c>
      <x:c r="Q219" s="36" t="str">
        <x:v>0</x:v>
      </x:c>
      <x:c r="R219" s="36"/>
      <x:c r="S219" s="36" t="str">
        <x:v>A</x:v>
      </x:c>
      <x:c r="T219" s="36" t="str">
        <x:v>250143</x:v>
      </x:c>
      <x:c r="U219" s="36" t="str">
        <x:v>1</x:v>
      </x:c>
      <x:c r="V219" s="36" t="n">
        <x:v>235</x:v>
      </x:c>
      <x:c r="W219" s="36"/>
      <x:c r="X219" s="36" t="str">
        <x:v>540D XDRIVE</x:v>
      </x:c>
      <x:c r="Y219" s="36"/>
      <x:c r="Z219" s="36"/>
      <x:c r="AA219" s="36" t="str">
        <x:v>TEST-2939</x:v>
      </x:c>
      <x:c r="AB219" s="36" t="str">
        <x:v>20180515</x:v>
      </x:c>
      <x:c r="AC219" s="36" t="str">
        <x:v>G5L</x:v>
      </x:c>
      <x:c r="AD219" s="36" t="str">
        <x:v>JD51</x:v>
      </x:c>
      <x:c r="AE219" s="36" t="str">
        <x:v>I</x:v>
      </x:c>
      <x:c r="AF219" s="36" t="str">
        <x:v>PB</x:v>
      </x:c>
      <x:c r="AG219" s="36" t="n">
        <x:v>2018</x:v>
      </x:c>
      <x:c r="AH219" s="36" t="str">
        <x:v>CAW508N0</x:v>
      </x:c>
      <x:c r="AI219" s="36" t="str">
        <x:v>WBA00000000002939</x:v>
      </x:c>
      <x:c r="AJ219" s="38" t="str">
        <x:v>{"kw":235,"ccm":2993,"vin":"WBA00000000002939","brand":"BMW","fuel1":"2","fuel2":"0","fuel3":"0","model":"540D XDRIVE","plate":"TEST-2939","is_4wd":"1","gearbox":"A","variant":"JD51","version":"CAW508N0","fab_code":"BW","group_no":"250143","body_code":"AA","type_text":"G5L","build_month":"201803","eu_category":"M1","vehicle_type":"PB","vehicle_year":2018,"vehicle_class":"I","registration_date":"20180515"}</x:v>
      </x:c>
    </x:row>
    <x:row r="220" ht="18" customHeight="1">
      <x:c r="A220" s="36" t="n">
        <x:v>2940</x:v>
      </x:c>
      <x:c r="B220" s="36" t="str">
        <x:v>normalization-review-passenger-250-v1-rules-20260805T184409855703Z</x:v>
      </x:c>
      <x:c r="C220" s="36" t="n">
        <x:v>46239.78067008102</x:v>
      </x:c>
      <x:c r="D220" s="38" t="str">
        <x:v>"2026-08-05T18:44:09.895308+00:00"</x:v>
      </x:c>
      <x:c r="E220" s="36"/>
      <x:c r="F220" s="36" t="str">
        <x:v>AC</x:v>
      </x:c>
      <x:c r="G220" s="36"/>
      <x:c r="H220" s="36" t="str">
        <x:v>VOLKSWAGEN, VW</x:v>
      </x:c>
      <x:c r="I220" s="36"/>
      <x:c r="J220" s="36" t="str">
        <x:v>201801</x:v>
      </x:c>
      <x:c r="K220" s="36" t="n">
        <x:v>1395</x:v>
      </x:c>
      <x:c r="L220" s="36" t="str">
        <x:v>M1</x:v>
      </x:c>
      <x:c r="M220" s="36"/>
      <x:c r="N220" s="36" t="str">
        <x:v>VW</x:v>
      </x:c>
      <x:c r="O220" s="36" t="str">
        <x:v>1</x:v>
      </x:c>
      <x:c r="P220" s="36" t="str">
        <x:v>0</x:v>
      </x:c>
      <x:c r="Q220" s="36" t="str">
        <x:v>0</x:v>
      </x:c>
      <x:c r="R220" s="36"/>
      <x:c r="S220" s="36" t="str">
        <x:v>A</x:v>
      </x:c>
      <x:c r="T220" s="36" t="str">
        <x:v>825004</x:v>
      </x:c>
      <x:c r="U220" s="36" t="str">
        <x:v>0</x:v>
      </x:c>
      <x:c r="V220" s="36" t="n">
        <x:v>110</x:v>
      </x:c>
      <x:c r="W220" s="36"/>
      <x:c r="X220" s="36" t="str">
        <x:v>PASSAT</x:v>
      </x:c>
      <x:c r="Y220" s="36"/>
      <x:c r="Z220" s="36"/>
      <x:c r="AA220" s="36" t="str">
        <x:v>TEST-2940</x:v>
      </x:c>
      <x:c r="AB220" s="36" t="str">
        <x:v>20180314</x:v>
      </x:c>
      <x:c r="AC220" s="36" t="str">
        <x:v>3C</x:v>
      </x:c>
      <x:c r="AD220" s="36" t="str">
        <x:v>ACCZEAX0</x:v>
      </x:c>
      <x:c r="AE220" s="36" t="str">
        <x:v>I</x:v>
      </x:c>
      <x:c r="AF220" s="36" t="str">
        <x:v>PB</x:v>
      </x:c>
      <x:c r="AG220" s="36" t="n">
        <x:v>2018</x:v>
      </x:c>
      <x:c r="AH220" s="36" t="str">
        <x:v>FD7FD7CW002SV7MMVR261</x:v>
      </x:c>
      <x:c r="AI220" s="36" t="str">
        <x:v>WVW00000000002940</x:v>
      </x:c>
      <x:c r="AJ220" s="38" t="str">
        <x:v>{"kw":110,"ccm":1395,"vin":"WVW00000000002940","brand":"VOLKSWAGEN, VW","fuel1":"1","fuel2":"0","fuel3":"0","model":"PASSAT","plate":"TEST-2940","is_4wd":"0","gearbox":"A","variant":"ACCZEAX0","version":"FD7FD7CW002SV7MMVR261","fab_code":"VW","group_no":"825004","body_code":"AC","type_text":"3C","build_month":"201801","eu_category":"M1","vehicle_type":"PB","vehicle_year":2018,"vehicle_class":"I","registration_date":"20180314"}</x:v>
      </x:c>
    </x:row>
    <x:row r="221" ht="18" customHeight="1">
      <x:c r="A221" s="36" t="n">
        <x:v>2941</x:v>
      </x:c>
      <x:c r="B221" s="36" t="str">
        <x:v>normalization-review-passenger-250-v1-rules-20260805T184409855703Z</x:v>
      </x:c>
      <x:c r="C221" s="36" t="n">
        <x:v>46239.78067008102</x:v>
      </x:c>
      <x:c r="D221" s="38" t="str">
        <x:v>"2026-08-05T18:44:09.895308+00:00"</x:v>
      </x:c>
      <x:c r="E221" s="36"/>
      <x:c r="F221" s="36" t="str">
        <x:v>04</x:v>
      </x:c>
      <x:c r="G221" s="36"/>
      <x:c r="H221" s="36" t="str">
        <x:v>OPEL REKORD CD 172C4</x:v>
      </x:c>
      <x:c r="I221" s="36"/>
      <x:c r="J221" s="36"/>
      <x:c r="K221" s="36"/>
      <x:c r="L221" s="36" t="str">
        <x:v>M1</x:v>
      </x:c>
      <x:c r="M221" s="36"/>
      <x:c r="N221" s="36" t="str">
        <x:v>OP</x:v>
      </x:c>
      <x:c r="O221" s="36" t="str">
        <x:v>1</x:v>
      </x:c>
      <x:c r="P221" s="36" t="str">
        <x:v>0</x:v>
      </x:c>
      <x:c r="Q221" s="36" t="str">
        <x:v>0</x:v>
      </x:c>
      <x:c r="R221" s="36"/>
      <x:c r="S221" s="36" t="str">
        <x:v>M</x:v>
      </x:c>
      <x:c r="T221" s="36" t="str">
        <x:v>003487</x:v>
      </x:c>
      <x:c r="U221" s="36" t="str">
        <x:v>0</x:v>
      </x:c>
      <x:c r="V221" s="36" t="n">
        <x:v>81</x:v>
      </x:c>
      <x:c r="W221" s="36"/>
      <x:c r="X221" s="36"/>
      <x:c r="Y221" s="36" t="str">
        <x:v>003487</x:v>
      </x:c>
      <x:c r="Z221" s="36" t="n">
        <x:v>1984</x:v>
      </x:c>
      <x:c r="AA221" s="36" t="str">
        <x:v>TEST-2941</x:v>
      </x:c>
      <x:c r="AB221" s="36" t="str">
        <x:v>19840704</x:v>
      </x:c>
      <x:c r="AC221" s="36"/>
      <x:c r="AD221" s="36"/>
      <x:c r="AE221" s="36" t="str">
        <x:v>I</x:v>
      </x:c>
      <x:c r="AF221" s="36" t="str">
        <x:v>PB</x:v>
      </x:c>
      <x:c r="AG221" s="36" t="n">
        <x:v>1984</x:v>
      </x:c>
      <x:c r="AH221" s="36"/>
      <x:c r="AI221" s="36" t="str">
        <x:v>00000000000002941</x:v>
      </x:c>
      <x:c r="AJ221" s="38" t="str">
        <x:v>{"kw":81,"vin":"00000000000002941","brand":"OPEL REKORD CD 172C4","fuel1":"1","fuel2":"0","fuel3":"0","plate":"TEST-2941","is_4wd":"0","gearbox":"M","fab_code":"OP","group_no":"003487","model_no":"003487","body_code":"04","model_year":1984,"eu_category":"M1","vehicle_type":"PB","vehicle_year":1984,"vehicle_class":"I","registration_date":"19840704"}</x:v>
      </x:c>
    </x:row>
    <x:row r="222" ht="18" customHeight="1">
      <x:c r="A222" s="36" t="n">
        <x:v>2942</x:v>
      </x:c>
      <x:c r="B222" s="36" t="str">
        <x:v>normalization-review-passenger-250-v1-rules-20260805T184409855703Z</x:v>
      </x:c>
      <x:c r="C222" s="36" t="n">
        <x:v>46239.78067008102</x:v>
      </x:c>
      <x:c r="D222" s="38" t="str">
        <x:v>"2026-08-05T18:44:09.895308+00:00"</x:v>
      </x:c>
      <x:c r="E222" s="36"/>
      <x:c r="F222" s="36" t="str">
        <x:v>AC</x:v>
      </x:c>
      <x:c r="G222" s="36"/>
      <x:c r="H222" s="36" t="str">
        <x:v>SKODA           5E</x:v>
      </x:c>
      <x:c r="I222" s="36"/>
      <x:c r="J222" s="36" t="str">
        <x:v>201401</x:v>
      </x:c>
      <x:c r="K222" s="36" t="n">
        <x:v>1968</x:v>
      </x:c>
      <x:c r="L222" s="36" t="str">
        <x:v>M1</x:v>
      </x:c>
      <x:c r="M222" s="36"/>
      <x:c r="N222" s="36" t="str">
        <x:v>SK</x:v>
      </x:c>
      <x:c r="O222" s="36" t="str">
        <x:v>2</x:v>
      </x:c>
      <x:c r="P222" s="36" t="str">
        <x:v>0</x:v>
      </x:c>
      <x:c r="Q222" s="36" t="str">
        <x:v>0</x:v>
      </x:c>
      <x:c r="R222" s="36"/>
      <x:c r="S222" s="36" t="str">
        <x:v>A</x:v>
      </x:c>
      <x:c r="T222" s="36" t="str">
        <x:v>014220</x:v>
      </x:c>
      <x:c r="U222" s="36" t="str">
        <x:v>0</x:v>
      </x:c>
      <x:c r="V222" s="36" t="n">
        <x:v>110</x:v>
      </x:c>
      <x:c r="W222" s="36"/>
      <x:c r="X222" s="36" t="str">
        <x:v>OCTAVIA</x:v>
      </x:c>
      <x:c r="Y222" s="36"/>
      <x:c r="Z222" s="36"/>
      <x:c r="AA222" s="36" t="str">
        <x:v>TEST-2942</x:v>
      </x:c>
      <x:c r="AB222" s="36" t="str">
        <x:v>20140331</x:v>
      </x:c>
      <x:c r="AC222" s="36" t="str">
        <x:v>5E</x:v>
      </x:c>
      <x:c r="AD222" s="36" t="str">
        <x:v>ACCKFCX0</x:v>
      </x:c>
      <x:c r="AE222" s="36" t="str">
        <x:v>I</x:v>
      </x:c>
      <x:c r="AF222" s="36" t="str">
        <x:v>PB</x:v>
      </x:c>
      <x:c r="AG222" s="36" t="n">
        <x:v>2014</x:v>
      </x:c>
      <x:c r="AH222" s="36" t="str">
        <x:v>NFD6FD6D9004STVL7</x:v>
      </x:c>
      <x:c r="AI222" s="36" t="str">
        <x:v>TMB00000000002942</x:v>
      </x:c>
      <x:c r="AJ222" s="38" t="str">
        <x:v>{"kw":110,"ccm":1968,"vin":"TMB00000000002942","brand":"SKODA           5E","fuel1":"2","fuel2":"0","fuel3":"0","model":"OCTAVIA","plate":"TEST-2942","is_4wd":"0","gearbox":"A","variant":"ACCKFCX0","version":"NFD6FD6D9004STVL7","fab_code":"SK","group_no":"014220","body_code":"AC","type_text":"5E","build_month":"201401","eu_category":"M1","vehicle_type":"PB","vehicle_year":2014,"vehicle_class":"I","registration_date":"20140331"}</x:v>
      </x:c>
    </x:row>
    <x:row r="223" ht="18" customHeight="1">
      <x:c r="A223" s="36" t="n">
        <x:v>2943</x:v>
      </x:c>
      <x:c r="B223" s="36" t="str">
        <x:v>normalization-review-passenger-250-v1-rules-20260805T184409855703Z</x:v>
      </x:c>
      <x:c r="C223" s="36" t="n">
        <x:v>46239.78067008102</x:v>
      </x:c>
      <x:c r="D223" s="38" t="str">
        <x:v>"2026-08-05T18:44:09.895308+00:00"</x:v>
      </x:c>
      <x:c r="E223" s="36"/>
      <x:c r="F223" s="36" t="str">
        <x:v>AC</x:v>
      </x:c>
      <x:c r="G223" s="36"/>
      <x:c r="H223" s="36" t="str">
        <x:v>VOLKSWAGEN, VW  AUV</x:v>
      </x:c>
      <x:c r="I223" s="36"/>
      <x:c r="J223" s="36" t="str">
        <x:v>201311</x:v>
      </x:c>
      <x:c r="K223" s="36" t="n">
        <x:v>1197</x:v>
      </x:c>
      <x:c r="L223" s="36" t="str">
        <x:v>M1</x:v>
      </x:c>
      <x:c r="M223" s="36"/>
      <x:c r="N223" s="36" t="str">
        <x:v>VW</x:v>
      </x:c>
      <x:c r="O223" s="36" t="str">
        <x:v>1</x:v>
      </x:c>
      <x:c r="P223" s="36" t="str">
        <x:v>0</x:v>
      </x:c>
      <x:c r="Q223" s="36" t="str">
        <x:v>0</x:v>
      </x:c>
      <x:c r="R223" s="36"/>
      <x:c r="S223" s="36" t="str">
        <x:v>M</x:v>
      </x:c>
      <x:c r="T223" s="36" t="str">
        <x:v>744001</x:v>
      </x:c>
      <x:c r="U223" s="36" t="str">
        <x:v>0</x:v>
      </x:c>
      <x:c r="V223" s="36" t="n">
        <x:v>77</x:v>
      </x:c>
      <x:c r="W223" s="36"/>
      <x:c r="X223" s="36" t="str">
        <x:v>GOLF</x:v>
      </x:c>
      <x:c r="Y223" s="36"/>
      <x:c r="Z223" s="36"/>
      <x:c r="AA223" s="36" t="str">
        <x:v>TEST-2943</x:v>
      </x:c>
      <x:c r="AB223" s="36" t="str">
        <x:v>20131213</x:v>
      </x:c>
      <x:c r="AC223" s="36" t="str">
        <x:v>AUV</x:v>
      </x:c>
      <x:c r="AD223" s="36" t="str">
        <x:v>ACCJZAX0</x:v>
      </x:c>
      <x:c r="AE223" s="36" t="str">
        <x:v>I</x:v>
      </x:c>
      <x:c r="AF223" s="36" t="str">
        <x:v>PB</x:v>
      </x:c>
      <x:c r="AG223" s="36" t="n">
        <x:v>2013</x:v>
      </x:c>
      <x:c r="AH223" s="36" t="str">
        <x:v>FM6FM6AJ009N7MJOVLVR2</x:v>
      </x:c>
      <x:c r="AI223" s="36" t="str">
        <x:v>WVW00000000002943</x:v>
      </x:c>
      <x:c r="AJ223" s="38" t="str">
        <x:v>{"kw":77,"ccm":1197,"vin":"WVW00000000002943","brand":"VOLKSWAGEN, VW  AUV","fuel1":"1","fuel2":"0","fuel3":"0","model":"GOLF","plate":"TEST-2943","is_4wd":"0","gearbox":"M","variant":"ACCJZAX0","version":"FM6FM6AJ009N7MJOVLVR2","fab_code":"VW","group_no":"744001","body_code":"AC","type_text":"AUV","build_month":"201311","eu_category":"M1","vehicle_type":"PB","vehicle_year":2013,"vehicle_class":"I","registration_date":"20131213"}</x:v>
      </x:c>
    </x:row>
    <x:row r="224" ht="18" customHeight="1">
      <x:c r="A224" s="36" t="n">
        <x:v>2944</x:v>
      </x:c>
      <x:c r="B224" s="36" t="str">
        <x:v>normalization-review-passenger-250-v1-rules-20260805T184409855703Z</x:v>
      </x:c>
      <x:c r="C224" s="36" t="n">
        <x:v>46239.78067008102</x:v>
      </x:c>
      <x:c r="D224" s="38" t="str">
        <x:v>"2026-08-05T18:44:09.895308+00:00"</x:v>
      </x:c>
      <x:c r="E224" s="36"/>
      <x:c r="F224" s="36" t="str">
        <x:v>AB</x:v>
      </x:c>
      <x:c r="G224" s="36"/>
      <x:c r="H224" s="36" t="str">
        <x:v>AUDI            8X</x:v>
      </x:c>
      <x:c r="I224" s="36"/>
      <x:c r="J224" s="36" t="str">
        <x:v>201309</x:v>
      </x:c>
      <x:c r="K224" s="36" t="n">
        <x:v>1598</x:v>
      </x:c>
      <x:c r="L224" s="36" t="str">
        <x:v>M1</x:v>
      </x:c>
      <x:c r="M224" s="36"/>
      <x:c r="N224" s="36" t="str">
        <x:v>AU</x:v>
      </x:c>
      <x:c r="O224" s="36" t="str">
        <x:v>2</x:v>
      </x:c>
      <x:c r="P224" s="36" t="str">
        <x:v>0</x:v>
      </x:c>
      <x:c r="Q224" s="36" t="str">
        <x:v>0</x:v>
      </x:c>
      <x:c r="R224" s="36"/>
      <x:c r="S224" s="36" t="str">
        <x:v>M</x:v>
      </x:c>
      <x:c r="T224" s="36" t="str">
        <x:v>144009</x:v>
      </x:c>
      <x:c r="U224" s="36" t="str">
        <x:v>0</x:v>
      </x:c>
      <x:c r="V224" s="36" t="n">
        <x:v>77</x:v>
      </x:c>
      <x:c r="W224" s="36"/>
      <x:c r="X224" s="36" t="str">
        <x:v>A1 SPORTBACK</x:v>
      </x:c>
      <x:c r="Y224" s="36"/>
      <x:c r="Z224" s="36"/>
      <x:c r="AA224" s="36" t="str">
        <x:v>TEST-2944</x:v>
      </x:c>
      <x:c r="AB224" s="36" t="str">
        <x:v>20131212</x:v>
      </x:c>
      <x:c r="AC224" s="36" t="str">
        <x:v>8X</x:v>
      </x:c>
      <x:c r="AD224" s="36" t="str">
        <x:v>SCAYCF1</x:v>
      </x:c>
      <x:c r="AE224" s="36" t="str">
        <x:v>I</x:v>
      </x:c>
      <x:c r="AF224" s="36" t="str">
        <x:v>PB</x:v>
      </x:c>
      <x:c r="AG224" s="36" t="n">
        <x:v>2013</x:v>
      </x:c>
      <x:c r="AH224" s="36" t="str">
        <x:v>FM52R029R8X52LLS57MJEM3</x:v>
      </x:c>
      <x:c r="AI224" s="36" t="str">
        <x:v>WAU00000000002944</x:v>
      </x:c>
      <x:c r="AJ224" s="38" t="str">
        <x:v>{"kw":77,"ccm":1598,"vin":"WAU00000000002944","brand":"AUDI            8X","fuel1":"2","fuel2":"0","fuel3":"0","model":"A1 SPORTBACK","plate":"TEST-2944","is_4wd":"0","gearbox":"M","variant":"SCAYCF1","version":"FM52R029R8X52LLS57MJEM3","fab_code":"AU","group_no":"144009","body_code":"AB","type_text":"8X","build_month":"201309","eu_category":"M1","vehicle_type":"PB","vehicle_year":2013,"vehicle_class":"I","registration_date":"20131212"}</x:v>
      </x:c>
    </x:row>
    <x:row r="225" ht="18" customHeight="1">
      <x:c r="A225" s="36" t="n">
        <x:v>2945</x:v>
      </x:c>
      <x:c r="B225" s="36" t="str">
        <x:v>normalization-review-passenger-250-v1-rules-20260805T184409855703Z</x:v>
      </x:c>
      <x:c r="C225" s="36" t="n">
        <x:v>46239.78067008102</x:v>
      </x:c>
      <x:c r="D225" s="38" t="str">
        <x:v>"2026-08-05T18:44:09.895308+00:00"</x:v>
      </x:c>
      <x:c r="E225" s="36"/>
      <x:c r="F225" s="36" t="str">
        <x:v>01</x:v>
      </x:c>
      <x:c r="G225" s="36"/>
      <x:c r="H225" s="36" t="str">
        <x:v>BMW 316I/3</x:v>
      </x:c>
      <x:c r="I225" s="36"/>
      <x:c r="J225" s="36"/>
      <x:c r="K225" s="36"/>
      <x:c r="L225" s="36" t="str">
        <x:v>M1</x:v>
      </x:c>
      <x:c r="M225" s="36"/>
      <x:c r="N225" s="36" t="str">
        <x:v>BW</x:v>
      </x:c>
      <x:c r="O225" s="36" t="str">
        <x:v>1</x:v>
      </x:c>
      <x:c r="P225" s="36" t="str">
        <x:v>0</x:v>
      </x:c>
      <x:c r="Q225" s="36" t="str">
        <x:v>0</x:v>
      </x:c>
      <x:c r="R225" s="36"/>
      <x:c r="S225" s="36" t="str">
        <x:v>M</x:v>
      </x:c>
      <x:c r="T225" s="36" t="str">
        <x:v>012752</x:v>
      </x:c>
      <x:c r="U225" s="36" t="str">
        <x:v>0</x:v>
      </x:c>
      <x:c r="V225" s="36" t="n">
        <x:v>75</x:v>
      </x:c>
      <x:c r="W225" s="36"/>
      <x:c r="X225" s="36"/>
      <x:c r="Y225" s="36"/>
      <x:c r="Z225" s="36" t="n">
        <x:v>1997</x:v>
      </x:c>
      <x:c r="AA225" s="36" t="str">
        <x:v>TEST-2945</x:v>
      </x:c>
      <x:c r="AB225" s="36" t="str">
        <x:v>19961203</x:v>
      </x:c>
      <x:c r="AC225" s="36"/>
      <x:c r="AD225" s="36" t="str">
        <x:v>CG11</x:v>
      </x:c>
      <x:c r="AE225" s="36" t="str">
        <x:v>I</x:v>
      </x:c>
      <x:c r="AF225" s="36" t="str">
        <x:v>PB</x:v>
      </x:c>
      <x:c r="AG225" s="36" t="n">
        <x:v>1997</x:v>
      </x:c>
      <x:c r="AH225" s="36" t="str">
        <x:v>01</x:v>
      </x:c>
      <x:c r="AI225" s="36" t="str">
        <x:v>CG100000000002945</x:v>
      </x:c>
      <x:c r="AJ225" s="38" t="str">
        <x:v>{"kw":75,"vin":"CG100000000002945","brand":"BMW 316I/3","fuel1":"1","fuel2":"0","fuel3":"0","plate":"TEST-2945","is_4wd":"0","gearbox":"M","variant":"CG11","version":"01","fab_code":"BW","group_no":"012752","body_code":"01","model_year":1997,"eu_category":"M1","vehicle_type":"PB","vehicle_year":1997,"vehicle_class":"I","registration_date":"19961203"}</x:v>
      </x:c>
    </x:row>
    <x:row r="226" ht="18" customHeight="1">
      <x:c r="A226" s="36" t="n">
        <x:v>2946</x:v>
      </x:c>
      <x:c r="B226" s="36" t="str">
        <x:v>normalization-review-passenger-250-v1-rules-20260805T184409855703Z</x:v>
      </x:c>
      <x:c r="C226" s="36" t="n">
        <x:v>46239.78067008102</x:v>
      </x:c>
      <x:c r="D226" s="38" t="str">
        <x:v>"2026-08-05T18:44:09.895308+00:00"</x:v>
      </x:c>
      <x:c r="E226" s="36"/>
      <x:c r="F226" s="36" t="str">
        <x:v>AD</x:v>
      </x:c>
      <x:c r="G226" s="36"/>
      <x:c r="H226" s="36" t="str">
        <x:v>LEXUS GS 450H COMFORT (F</x:v>
      </x:c>
      <x:c r="I226" s="36"/>
      <x:c r="J226" s="36" t="str">
        <x:v>200812</x:v>
      </x:c>
      <x:c r="K226" s="36" t="n">
        <x:v>3456</x:v>
      </x:c>
      <x:c r="L226" s="36" t="str">
        <x:v>M1</x:v>
      </x:c>
      <x:c r="M226" s="36"/>
      <x:c r="N226" s="36" t="str">
        <x:v>LQ</x:v>
      </x:c>
      <x:c r="O226" s="36" t="str">
        <x:v>1</x:v>
      </x:c>
      <x:c r="P226" s="36" t="str">
        <x:v>3</x:v>
      </x:c>
      <x:c r="Q226" s="36" t="str">
        <x:v>0</x:v>
      </x:c>
      <x:c r="R226" s="36"/>
      <x:c r="S226" s="36" t="str">
        <x:v>V</x:v>
      </x:c>
      <x:c r="T226" s="36" t="str">
        <x:v>531404</x:v>
      </x:c>
      <x:c r="U226" s="36" t="str">
        <x:v>0</x:v>
      </x:c>
      <x:c r="V226" s="36" t="n">
        <x:v>218</x:v>
      </x:c>
      <x:c r="W226" s="36"/>
      <x:c r="X226" s="36" t="str">
        <x:v>LEXUS GS450H</x:v>
      </x:c>
      <x:c r="Y226" s="36"/>
      <x:c r="Z226" s="36"/>
      <x:c r="AA226" s="36" t="str">
        <x:v>TEST-2946</x:v>
      </x:c>
      <x:c r="AB226" s="36" t="str">
        <x:v>20090327</x:v>
      </x:c>
      <x:c r="AC226" s="36" t="str">
        <x:v>HS19(a)</x:v>
      </x:c>
      <x:c r="AD226" s="36" t="str">
        <x:v>GWS191(E)</x:v>
      </x:c>
      <x:c r="AE226" s="36" t="str">
        <x:v>I</x:v>
      </x:c>
      <x:c r="AF226" s="36" t="str">
        <x:v>PB</x:v>
      </x:c>
      <x:c r="AG226" s="36" t="n">
        <x:v>2008</x:v>
      </x:c>
      <x:c r="AH226" s="36" t="str">
        <x:v>GWS191L-BEXQHW(1E)</x:v>
      </x:c>
      <x:c r="AI226" s="36" t="str">
        <x:v>JTH00000000002946</x:v>
      </x:c>
      <x:c r="AJ226" s="38" t="str">
        <x:v>{"kw":218,"ccm":3456,"vin":"JTH00000000002946","brand":"LEXUS GS 450H COMFORT (F","fuel1":"1","fuel2":"3","fuel3":"0","model":"LEXUS GS450H","plate":"TEST-2946","is_4wd":"0","gearbox":"V","variant":"GWS191(E)","version":"GWS191L-BEXQHW(1E)","fab_code":"LQ","group_no":"531404","body_code":"AD","type_text":"HS19(a)","build_month":"200812","eu_category":"M1","vehicle_type":"PB","vehicle_year":2008,"vehicle_class":"I","registration_date":"20090327"}</x:v>
      </x:c>
    </x:row>
    <x:row r="227" ht="18" customHeight="1">
      <x:c r="A227" s="36" t="n">
        <x:v>2947</x:v>
      </x:c>
      <x:c r="B227" s="36" t="str">
        <x:v>normalization-review-passenger-250-v1-rules-20260805T184409855703Z</x:v>
      </x:c>
      <x:c r="C227" s="36" t="n">
        <x:v>46239.78067008102</x:v>
      </x:c>
      <x:c r="D227" s="38" t="str">
        <x:v>"2026-08-05T18:44:09.895308+00:00"</x:v>
      </x:c>
      <x:c r="E227" s="36"/>
      <x:c r="F227" s="36" t="str">
        <x:v>AF</x:v>
      </x:c>
      <x:c r="G227" s="36"/>
      <x:c r="H227" s="36" t="str">
        <x:v>VOLVO M + V40</x:v>
      </x:c>
      <x:c r="I227" s="36"/>
      <x:c r="J227" s="36" t="str">
        <x:v>201311</x:v>
      </x:c>
      <x:c r="K227" s="36" t="n">
        <x:v>1560</x:v>
      </x:c>
      <x:c r="L227" s="36" t="str">
        <x:v>M1</x:v>
      </x:c>
      <x:c r="M227" s="36"/>
      <x:c r="N227" s="36" t="str">
        <x:v>VO</x:v>
      </x:c>
      <x:c r="O227" s="36" t="str">
        <x:v>2</x:v>
      </x:c>
      <x:c r="P227" s="36" t="str">
        <x:v>0</x:v>
      </x:c>
      <x:c r="Q227" s="36" t="str">
        <x:v>0</x:v>
      </x:c>
      <x:c r="R227" s="36"/>
      <x:c r="S227" s="36" t="str">
        <x:v>M</x:v>
      </x:c>
      <x:c r="T227" s="36" t="str">
        <x:v>014508</x:v>
      </x:c>
      <x:c r="U227" s="36" t="str">
        <x:v>0</x:v>
      </x:c>
      <x:c r="V227" s="36" t="n">
        <x:v>84</x:v>
      </x:c>
      <x:c r="W227" s="36"/>
      <x:c r="X227" s="36" t="str">
        <x:v>V40</x:v>
      </x:c>
      <x:c r="Y227" s="36"/>
      <x:c r="Z227" s="36"/>
      <x:c r="AA227" s="36" t="str">
        <x:v>TEST-2947</x:v>
      </x:c>
      <x:c r="AB227" s="36" t="str">
        <x:v>20131220</x:v>
      </x:c>
      <x:c r="AC227" s="36" t="str">
        <x:v>M</x:v>
      </x:c>
      <x:c r="AD227" s="36" t="str">
        <x:v>MV84</x:v>
      </x:c>
      <x:c r="AE227" s="36" t="str">
        <x:v>I</x:v>
      </x:c>
      <x:c r="AF227" s="36" t="str">
        <x:v>PB</x:v>
      </x:c>
      <x:c r="AG227" s="36" t="n">
        <x:v>2013</x:v>
      </x:c>
      <x:c r="AH227" s="36" t="str">
        <x:v>MV8481??</x:v>
      </x:c>
      <x:c r="AI227" s="36" t="str">
        <x:v>YV100000000002947</x:v>
      </x:c>
      <x:c r="AJ227" s="38" t="str">
        <x:v>{"kw":84,"ccm":1560,"vin":"YV100000000002947","brand":"VOLVO M + V40","fuel1":"2","fuel2":"0","fuel3":"0","model":"V40","plate":"TEST-2947","is_4wd":"0","gearbox":"M","variant":"MV84","version":"MV8481??","fab_code":"VO","group_no":"014508","body_code":"AF","type_text":"M","build_month":"201311","eu_category":"M1","vehicle_type":"PB","vehicle_year":2013,"vehicle_class":"I","registration_date":"20131220"}</x:v>
      </x:c>
    </x:row>
    <x:row r="228" ht="18" customHeight="1">
      <x:c r="A228" s="36" t="n">
        <x:v>2948</x:v>
      </x:c>
      <x:c r="B228" s="36" t="str">
        <x:v>normalization-review-passenger-250-v1-rules-20260805T184409855703Z</x:v>
      </x:c>
      <x:c r="C228" s="36" t="n">
        <x:v>46239.78067008102</x:v>
      </x:c>
      <x:c r="D228" s="38" t="str">
        <x:v>"2026-08-05T18:44:09.895308+00:00"</x:v>
      </x:c>
      <x:c r="E228" s="36"/>
      <x:c r="F228" s="36" t="str">
        <x:v>AF</x:v>
      </x:c>
      <x:c r="G228" s="36"/>
      <x:c r="H228" s="36" t="str">
        <x:v>KIA SPORTAGE 2,0 CRDI EX</x:v>
      </x:c>
      <x:c r="I228" s="36"/>
      <x:c r="J228" s="36" t="str">
        <x:v>201310</x:v>
      </x:c>
      <x:c r="K228" s="36" t="n">
        <x:v>1995</x:v>
      </x:c>
      <x:c r="L228" s="36" t="str">
        <x:v>M1</x:v>
      </x:c>
      <x:c r="M228" s="36"/>
      <x:c r="N228" s="36" t="str">
        <x:v>KG</x:v>
      </x:c>
      <x:c r="O228" s="36" t="str">
        <x:v>2</x:v>
      </x:c>
      <x:c r="P228" s="36" t="str">
        <x:v>0</x:v>
      </x:c>
      <x:c r="Q228" s="36" t="str">
        <x:v>0</x:v>
      </x:c>
      <x:c r="R228" s="36"/>
      <x:c r="S228" s="36" t="str">
        <x:v>A</x:v>
      </x:c>
      <x:c r="T228" s="36" t="str">
        <x:v>163911</x:v>
      </x:c>
      <x:c r="U228" s="36" t="str">
        <x:v>1</x:v>
      </x:c>
      <x:c r="V228" s="36" t="n">
        <x:v>135</x:v>
      </x:c>
      <x:c r="W228" s="36"/>
      <x:c r="X228" s="36" t="str">
        <x:v>SL</x:v>
      </x:c>
      <x:c r="Y228" s="36"/>
      <x:c r="Z228" s="36"/>
      <x:c r="AA228" s="36" t="str">
        <x:v>TEST-2948</x:v>
      </x:c>
      <x:c r="AB228" s="36" t="str">
        <x:v>20131205</x:v>
      </x:c>
      <x:c r="AC228" s="36" t="str">
        <x:v>SLS</x:v>
      </x:c>
      <x:c r="AD228" s="36" t="str">
        <x:v>F5D14</x:v>
      </x:c>
      <x:c r="AE228" s="36" t="str">
        <x:v>I</x:v>
      </x:c>
      <x:c r="AF228" s="36" t="str">
        <x:v>PB</x:v>
      </x:c>
      <x:c r="AG228" s="36" t="n">
        <x:v>2013</x:v>
      </x:c>
      <x:c r="AH228" s="36" t="str">
        <x:v>A62AZ1</x:v>
      </x:c>
      <x:c r="AI228" s="36" t="str">
        <x:v>U5Y00000000002948</x:v>
      </x:c>
      <x:c r="AJ228" s="38" t="str">
        <x:v>{"kw":135,"ccm":1995,"vin":"U5Y00000000002948","brand":"KIA SPORTAGE 2,0 CRDI EX","fuel1":"2","fuel2":"0","fuel3":"0","model":"SL","plate":"TEST-2948","is_4wd":"1","gearbox":"A","variant":"F5D14","version":"A62AZ1","fab_code":"KG","group_no":"163911","body_code":"AF","type_text":"SLS","build_month":"201310","eu_category":"M1","vehicle_type":"PB","vehicle_year":2013,"vehicle_class":"I","registration_date":"20131205"}</x:v>
      </x:c>
    </x:row>
    <x:row r="229" ht="18" customHeight="1">
      <x:c r="A229" s="36" t="n">
        <x:v>2949</x:v>
      </x:c>
      <x:c r="B229" s="36" t="str">
        <x:v>normalization-review-passenger-250-v1-rules-20260805T184409855703Z</x:v>
      </x:c>
      <x:c r="C229" s="36" t="n">
        <x:v>46239.78067008102</x:v>
      </x:c>
      <x:c r="D229" s="38" t="str">
        <x:v>"2026-08-05T18:44:09.895308+00:00"</x:v>
      </x:c>
      <x:c r="E229" s="36"/>
      <x:c r="F229" s="36" t="str">
        <x:v>02</x:v>
      </x:c>
      <x:c r="G229" s="36"/>
      <x:c r="H229" s="36" t="str">
        <x:v>MERCEDES BENZ 500 SL</x:v>
      </x:c>
      <x:c r="I229" s="36"/>
      <x:c r="J229" s="36"/>
      <x:c r="K229" s="36"/>
      <x:c r="L229" s="36" t="str">
        <x:v>M1</x:v>
      </x:c>
      <x:c r="M229" s="36"/>
      <x:c r="N229" s="36" t="str">
        <x:v>MB</x:v>
      </x:c>
      <x:c r="O229" s="36" t="str">
        <x:v>1</x:v>
      </x:c>
      <x:c r="P229" s="36" t="str">
        <x:v>0</x:v>
      </x:c>
      <x:c r="Q229" s="36" t="str">
        <x:v>0</x:v>
      </x:c>
      <x:c r="R229" s="36"/>
      <x:c r="S229" s="36" t="str">
        <x:v>Z</x:v>
      </x:c>
      <x:c r="T229" s="36"/>
      <x:c r="U229" s="36" t="str">
        <x:v>0</x:v>
      </x:c>
      <x:c r="V229" s="36" t="n">
        <x:v>235</x:v>
      </x:c>
      <x:c r="W229" s="36"/>
      <x:c r="X229" s="36"/>
      <x:c r="Y229" s="36"/>
      <x:c r="Z229" s="36" t="n">
        <x:v>1993</x:v>
      </x:c>
      <x:c r="AA229" s="36" t="str">
        <x:v>TEST-2949</x:v>
      </x:c>
      <x:c r="AB229" s="36" t="str">
        <x:v>19961002</x:v>
      </x:c>
      <x:c r="AC229" s="36"/>
      <x:c r="AD229" s="36"/>
      <x:c r="AE229" s="36" t="str">
        <x:v>I</x:v>
      </x:c>
      <x:c r="AF229" s="36" t="str">
        <x:v>PB</x:v>
      </x:c>
      <x:c r="AG229" s="36" t="n">
        <x:v>1993</x:v>
      </x:c>
      <x:c r="AH229" s="36"/>
      <x:c r="AI229" s="36" t="str">
        <x:v>12900000000002949</x:v>
      </x:c>
      <x:c r="AJ229" s="38" t="str">
        <x:v>{"kw":235,"vin":"12900000000002949","brand":"MERCEDES BENZ 500 SL","fuel1":"1","fuel2":"0","fuel3":"0","plate":"TEST-2949","is_4wd":"0","gearbox":"Z","fab_code":"MB","body_code":"02","model_year":1993,"eu_category":"M1","vehicle_type":"PB","vehicle_year":1993,"vehicle_class":"I","registration_date":"19961002"}</x:v>
      </x:c>
    </x:row>
    <x:row r="230" ht="18" customHeight="1">
      <x:c r="A230" s="36" t="n">
        <x:v>2950</x:v>
      </x:c>
      <x:c r="B230" s="36" t="str">
        <x:v>normalization-review-passenger-250-v1-rules-20260805T184409855703Z</x:v>
      </x:c>
      <x:c r="C230" s="36" t="n">
        <x:v>46239.78067008102</x:v>
      </x:c>
      <x:c r="D230" s="38" t="str">
        <x:v>"2026-08-05T18:44:09.895308+00:00"</x:v>
      </x:c>
      <x:c r="E230" s="36"/>
      <x:c r="F230" s="36" t="str">
        <x:v>04</x:v>
      </x:c>
      <x:c r="G230" s="36"/>
      <x:c r="H230" s="36" t="str">
        <x:v>BMW 735IA</x:v>
      </x:c>
      <x:c r="I230" s="36"/>
      <x:c r="J230" s="36"/>
      <x:c r="K230" s="36"/>
      <x:c r="L230" s="36" t="str">
        <x:v>M1</x:v>
      </x:c>
      <x:c r="M230" s="36"/>
      <x:c r="N230" s="36" t="str">
        <x:v>BW</x:v>
      </x:c>
      <x:c r="O230" s="36" t="str">
        <x:v>1</x:v>
      </x:c>
      <x:c r="P230" s="36" t="str">
        <x:v>0</x:v>
      </x:c>
      <x:c r="Q230" s="36" t="str">
        <x:v>0</x:v>
      </x:c>
      <x:c r="R230" s="36"/>
      <x:c r="S230" s="36" t="str">
        <x:v>A</x:v>
      </x:c>
      <x:c r="T230" s="36" t="str">
        <x:v>001428</x:v>
      </x:c>
      <x:c r="U230" s="36" t="str">
        <x:v>0</x:v>
      </x:c>
      <x:c r="V230" s="36" t="n">
        <x:v>145</x:v>
      </x:c>
      <x:c r="W230" s="36"/>
      <x:c r="X230" s="36"/>
      <x:c r="Y230" s="36" t="str">
        <x:v>001428</x:v>
      </x:c>
      <x:c r="Z230" s="36" t="n">
        <x:v>1984</x:v>
      </x:c>
      <x:c r="AA230" s="36" t="str">
        <x:v>TEST-2950</x:v>
      </x:c>
      <x:c r="AB230" s="36" t="str">
        <x:v>19840807</x:v>
      </x:c>
      <x:c r="AC230" s="36"/>
      <x:c r="AD230" s="36"/>
      <x:c r="AE230" s="36" t="str">
        <x:v>I</x:v>
      </x:c>
      <x:c r="AF230" s="36" t="str">
        <x:v>PB</x:v>
      </x:c>
      <x:c r="AG230" s="36" t="n">
        <x:v>1984</x:v>
      </x:c>
      <x:c r="AH230" s="36"/>
      <x:c r="AI230" s="36" t="str">
        <x:v>FH800000000002950</x:v>
      </x:c>
      <x:c r="AJ230" s="38" t="str">
        <x:v>{"kw":145,"vin":"FH800000000002950","brand":"BMW 735IA","fuel1":"1","fuel2":"0","fuel3":"0","plate":"TEST-2950","is_4wd":"0","gearbox":"A","fab_code":"BW","group_no":"001428","model_no":"001428","body_code":"04","model_year":1984,"eu_category":"M1","vehicle_type":"PB","vehicle_year":1984,"vehicle_class":"I","registration_date":"19840807"}</x:v>
      </x:c>
    </x:row>
    <x:row r="231" ht="18" customHeight="1">
      <x:c r="A231" s="36" t="n">
        <x:v>2951</x:v>
      </x:c>
      <x:c r="B231" s="36" t="str">
        <x:v>normalization-review-passenger-250-v1-rules-20260805T184409855703Z</x:v>
      </x:c>
      <x:c r="C231" s="36" t="n">
        <x:v>46239.78067008102</x:v>
      </x:c>
      <x:c r="D231" s="38" t="str">
        <x:v>"2026-08-05T18:44:09.895308+00:00"</x:v>
      </x:c>
      <x:c r="E231" s="36"/>
      <x:c r="F231" s="36" t="str">
        <x:v>01</x:v>
      </x:c>
      <x:c r="G231" s="36"/>
      <x:c r="H231" s="36" t="str">
        <x:v>VOLVO 211341 M</x:v>
      </x:c>
      <x:c r="I231" s="36"/>
      <x:c r="J231" s="36"/>
      <x:c r="K231" s="36"/>
      <x:c r="L231" s="36" t="str">
        <x:v>M1</x:v>
      </x:c>
      <x:c r="M231" s="36"/>
      <x:c r="N231" s="36" t="str">
        <x:v>VO</x:v>
      </x:c>
      <x:c r="O231" s="36" t="str">
        <x:v>1</x:v>
      </x:c>
      <x:c r="P231" s="36" t="str">
        <x:v>0</x:v>
      </x:c>
      <x:c r="Q231" s="36" t="str">
        <x:v>0</x:v>
      </x:c>
      <x:c r="R231" s="36"/>
      <x:c r="S231" s="36" t="str">
        <x:v>M</x:v>
      </x:c>
      <x:c r="T231" s="36" t="str">
        <x:v>000318</x:v>
      </x:c>
      <x:c r="U231" s="36" t="str">
        <x:v>0</x:v>
      </x:c>
      <x:c r="V231" s="36" t="n">
        <x:v>55</x:v>
      </x:c>
      <x:c r="W231" s="36"/>
      <x:c r="X231" s="36"/>
      <x:c r="Y231" s="36" t="str">
        <x:v>000318</x:v>
      </x:c>
      <x:c r="Z231" s="36" t="n">
        <x:v>1967</x:v>
      </x:c>
      <x:c r="AA231" s="36" t="str">
        <x:v>TEST-2951</x:v>
      </x:c>
      <x:c r="AB231" s="36" t="str">
        <x:v>19670817</x:v>
      </x:c>
      <x:c r="AC231" s="36"/>
      <x:c r="AD231" s="36"/>
      <x:c r="AE231" s="36" t="str">
        <x:v>I</x:v>
      </x:c>
      <x:c r="AF231" s="36" t="str">
        <x:v>PB</x:v>
      </x:c>
      <x:c r="AG231" s="36" t="n">
        <x:v>1967</x:v>
      </x:c>
      <x:c r="AH231" s="36"/>
      <x:c r="AI231" s="36" t="str">
        <x:v>21100000000002951</x:v>
      </x:c>
      <x:c r="AJ231" s="38" t="str">
        <x:v>{"kw":55,"vin":"21100000000002951","brand":"VOLVO 211341 M","fuel1":"1","fuel2":"0","fuel3":"0","plate":"TEST-2951","is_4wd":"0","gearbox":"M","fab_code":"VO","group_no":"000318","model_no":"000318","body_code":"01","model_year":1967,"eu_category":"M1","vehicle_type":"PB","vehicle_year":1967,"vehicle_class":"I","registration_date":"19670817"}</x:v>
      </x:c>
    </x:row>
    <x:row r="232" ht="18" customHeight="1">
      <x:c r="A232" s="36" t="n">
        <x:v>2952</x:v>
      </x:c>
      <x:c r="B232" s="36" t="str">
        <x:v>normalization-review-passenger-250-v1-rules-20260805T184409855703Z</x:v>
      </x:c>
      <x:c r="C232" s="36" t="n">
        <x:v>46239.78067008102</x:v>
      </x:c>
      <x:c r="D232" s="38" t="str">
        <x:v>"2026-08-05T18:44:09.895308+00:00"</x:v>
      </x:c>
      <x:c r="E232" s="36"/>
      <x:c r="F232" s="36" t="str">
        <x:v>AC</x:v>
      </x:c>
      <x:c r="G232" s="36"/>
      <x:c r="H232" s="36" t="str">
        <x:v>VOLKSWAGEN, VW</x:v>
      </x:c>
      <x:c r="I232" s="36"/>
      <x:c r="J232" s="36" t="str">
        <x:v>202005</x:v>
      </x:c>
      <x:c r="K232" s="36" t="n">
        <x:v>1984</x:v>
      </x:c>
      <x:c r="L232" s="36" t="str">
        <x:v>M1</x:v>
      </x:c>
      <x:c r="M232" s="36"/>
      <x:c r="N232" s="36" t="str">
        <x:v>VW</x:v>
      </x:c>
      <x:c r="O232" s="36" t="str">
        <x:v>1</x:v>
      </x:c>
      <x:c r="P232" s="36" t="str">
        <x:v>0</x:v>
      </x:c>
      <x:c r="Q232" s="36" t="str">
        <x:v>0</x:v>
      </x:c>
      <x:c r="R232" s="36"/>
      <x:c r="S232" s="36" t="str">
        <x:v>A</x:v>
      </x:c>
      <x:c r="T232" s="36" t="str">
        <x:v>845025</x:v>
      </x:c>
      <x:c r="U232" s="36" t="str">
        <x:v>1</x:v>
      </x:c>
      <x:c r="V232" s="36" t="n">
        <x:v>140</x:v>
      </x:c>
      <x:c r="W232" s="36" t="str">
        <x:v>VOLKSWAGEN AG BERLINER RING 2 D-38440 WOLFSBURG</x:v>
      </x:c>
      <x:c r="X232" s="36" t="str">
        <x:v>TIGUAN</x:v>
      </x:c>
      <x:c r="Y232" s="36"/>
      <x:c r="Z232" s="36"/>
      <x:c r="AA232" s="36" t="str">
        <x:v>TEST-2952</x:v>
      </x:c>
      <x:c r="AB232" s="36" t="str">
        <x:v>20200529</x:v>
      </x:c>
      <x:c r="AC232" s="36" t="str">
        <x:v>5N</x:v>
      </x:c>
      <x:c r="AD232" s="36" t="str">
        <x:v>ACDKZAX1</x:v>
      </x:c>
      <x:c r="AE232" s="36" t="str">
        <x:v>I</x:v>
      </x:c>
      <x:c r="AF232" s="36" t="str">
        <x:v>PB</x:v>
      </x:c>
      <x:c r="AG232" s="36" t="n">
        <x:v>2020</x:v>
      </x:c>
      <x:c r="AH232" s="36" t="str">
        <x:v>AD7AD7GC006N5R5TVR24BF1CSBC</x:v>
      </x:c>
      <x:c r="AI232" s="36" t="str">
        <x:v>WVG00000000002952</x:v>
      </x:c>
      <x:c r="AJ232" s="38" t="str">
        <x:v>{"kw":140,"ccm":1984,"vin":"WVG00000000002952","brand":"VOLKSWAGEN, VW","fuel1":"1","fuel2":"0","fuel3":"0","model":"TIGUAN","plate":"TEST-2952","is_4wd":"1","gearbox":"A","variant":"ACDKZAX1","version":"AD7AD7GC006N5R5TVR24BF1CSBC","fab_code":"VW","group_no":"845025","body_code":"AC","type_text":"5N","build_month":"202005","eu_category":"M1","manufacturer":"VOLKSWAGEN AG BERLINER RING 2 D-38440 WOLFSBURG","vehicle_type":"PB","vehicle_year":2020,"vehicle_class":"I","registration_date":"20200529"}</x:v>
      </x:c>
    </x:row>
    <x:row r="233" ht="18" customHeight="1">
      <x:c r="A233" s="36" t="n">
        <x:v>2953</x:v>
      </x:c>
      <x:c r="B233" s="36" t="str">
        <x:v>normalization-review-passenger-250-v1-rules-20260805T184409855703Z</x:v>
      </x:c>
      <x:c r="C233" s="36" t="n">
        <x:v>46239.78067008102</x:v>
      </x:c>
      <x:c r="D233" s="38" t="str">
        <x:v>"2026-08-05T18:44:09.895308+00:00"</x:v>
      </x:c>
      <x:c r="E233" s="36"/>
      <x:c r="F233" s="36" t="str">
        <x:v>AA</x:v>
      </x:c>
      <x:c r="G233" s="36"/>
      <x:c r="H233" s="36" t="str">
        <x:v>VOLVO R + S60</x:v>
      </x:c>
      <x:c r="I233" s="36"/>
      <x:c r="J233" s="36" t="str">
        <x:v>200609</x:v>
      </x:c>
      <x:c r="K233" s="36" t="n">
        <x:v>2435</x:v>
      </x:c>
      <x:c r="L233" s="36" t="str">
        <x:v>M1</x:v>
      </x:c>
      <x:c r="M233" s="36"/>
      <x:c r="N233" s="36" t="str">
        <x:v>VO</x:v>
      </x:c>
      <x:c r="O233" s="36" t="str">
        <x:v>1</x:v>
      </x:c>
      <x:c r="P233" s="36" t="str">
        <x:v>0</x:v>
      </x:c>
      <x:c r="Q233" s="36" t="str">
        <x:v>0</x:v>
      </x:c>
      <x:c r="R233" s="36"/>
      <x:c r="S233" s="36" t="str">
        <x:v>M</x:v>
      </x:c>
      <x:c r="T233" s="36" t="str">
        <x:v>730012</x:v>
      </x:c>
      <x:c r="U233" s="36" t="str">
        <x:v>0</x:v>
      </x:c>
      <x:c r="V233" s="36" t="n">
        <x:v>103</x:v>
      </x:c>
      <x:c r="W233" s="36"/>
      <x:c r="X233" s="36"/>
      <x:c r="Y233" s="36"/>
      <x:c r="Z233" s="36"/>
      <x:c r="AA233" s="36" t="str">
        <x:v>TEST-2953</x:v>
      </x:c>
      <x:c r="AB233" s="36" t="str">
        <x:v>20061012</x:v>
      </x:c>
      <x:c r="AC233" s="36" t="str">
        <x:v>R</x:v>
      </x:c>
      <x:c r="AD233" s="36" t="str">
        <x:v>RS65</x:v>
      </x:c>
      <x:c r="AE233" s="36" t="str">
        <x:v>I</x:v>
      </x:c>
      <x:c r="AF233" s="36" t="str">
        <x:v>PB</x:v>
      </x:c>
      <x:c r="AG233" s="36" t="n">
        <x:v>2006</x:v>
      </x:c>
      <x:c r="AH233" s="36" t="str">
        <x:v>RS6542??</x:v>
      </x:c>
      <x:c r="AI233" s="36" t="str">
        <x:v>YV100000000002953</x:v>
      </x:c>
      <x:c r="AJ233" s="38" t="str">
        <x:v>{"kw":103,"ccm":2435,"vin":"YV100000000002953","brand":"VOLVO R + S60","fuel1":"1","fuel2":"0","fuel3":"0","plate":"TEST-2953","is_4wd":"0","gearbox":"M","variant":"RS65","version":"RS6542??","fab_code":"VO","group_no":"730012","body_code":"AA","type_text":"R","build_month":"200609","eu_category":"M1","vehicle_type":"PB","vehicle_year":2006,"vehicle_class":"I","registration_date":"20061012"}</x:v>
      </x:c>
    </x:row>
    <x:row r="234" ht="18" customHeight="1">
      <x:c r="A234" s="36" t="n">
        <x:v>2954</x:v>
      </x:c>
      <x:c r="B234" s="36" t="str">
        <x:v>normalization-review-passenger-250-v1-rules-20260805T184409855703Z</x:v>
      </x:c>
      <x:c r="C234" s="36" t="n">
        <x:v>46239.78067008102</x:v>
      </x:c>
      <x:c r="D234" s="38" t="str">
        <x:v>"2026-08-05T18:44:09.895308+00:00"</x:v>
      </x:c>
      <x:c r="E234" s="36" t="str">
        <x:v>FCA ITALY S.P.A.</x:v>
      </x:c>
      <x:c r="F234" s="36" t="str">
        <x:v>AF</x:v>
      </x:c>
      <x:c r="G234" s="36" t="str">
        <x:v>SA</x:v>
      </x:c>
      <x:c r="H234" s="36" t="str">
        <x:v>KNAUS</x:v>
      </x:c>
      <x:c r="I234" s="36"/>
      <x:c r="J234" s="36" t="str">
        <x:v>202104</x:v>
      </x:c>
      <x:c r="K234" s="36" t="n">
        <x:v>2287</x:v>
      </x:c>
      <x:c r="L234" s="36" t="str">
        <x:v>M1</x:v>
      </x:c>
      <x:c r="M234" s="36"/>
      <x:c r="N234" s="36" t="str">
        <x:v>KN</x:v>
      </x:c>
      <x:c r="O234" s="36" t="str">
        <x:v>2</x:v>
      </x:c>
      <x:c r="P234" s="36" t="str">
        <x:v>0</x:v>
      </x:c>
      <x:c r="Q234" s="36" t="str">
        <x:v>0</x:v>
      </x:c>
      <x:c r="R234" s="36"/>
      <x:c r="S234" s="36"/>
      <x:c r="T234" s="36" t="str">
        <x:v>010000</x:v>
      </x:c>
      <x:c r="U234" s="36" t="str">
        <x:v>0</x:v>
      </x:c>
      <x:c r="V234" s="36" t="n">
        <x:v>96</x:v>
      </x:c>
      <x:c r="W234" s="36" t="str">
        <x:v>KNAUS TABBERT GMBH</x:v>
      </x:c>
      <x:c r="X234" s="36" t="str">
        <x:v>R21</x:v>
      </x:c>
      <x:c r="Y234" s="36"/>
      <x:c r="Z234" s="36"/>
      <x:c r="AA234" s="36" t="str">
        <x:v>TEST-2954</x:v>
      </x:c>
      <x:c r="AB234" s="36" t="str">
        <x:v>20210611</x:v>
      </x:c>
      <x:c r="AC234" s="36" t="str">
        <x:v>K250/3</x:v>
      </x:c>
      <x:c r="AD234" s="36" t="str">
        <x:v>R21</x:v>
      </x:c>
      <x:c r="AE234" s="36" t="str">
        <x:v>II</x:v>
      </x:c>
      <x:c r="AF234" s="36" t="str">
        <x:v>PB</x:v>
      </x:c>
      <x:c r="AG234" s="36" t="n">
        <x:v>2021</x:v>
      </x:c>
      <x:c r="AH234" s="36" t="str">
        <x:v>21D77DMMFCR4</x:v>
      </x:c>
      <x:c r="AI234" s="36" t="str">
        <x:v>ZFA00000000002954</x:v>
      </x:c>
      <x:c r="AJ234" s="38" t="str">
        <x:v>{"kw":96,"ccm":2287,"vin":"ZFA00000000002954","brand":"KNAUS","fuel1":"2","fuel2":"0","fuel3":"0","model":"R21","plate":"TEST-2954","is_4wd":"0","variant":"R21","version":"21D77DMMFCR4","fab_code":"KN","group_no":"010000","body_code":"AF","type_text":"K250/3","body_code2":"SA","build_month":"202104","eu_category":"M1","manufacturer":"KNAUS TABBERT GMBH","vehicle_type":"PB","vehicle_year":2021,"vehicle_class":"II","base_manufacturer":"FCA ITALY S.P.A.","registration_date":"20210611"}</x:v>
      </x:c>
    </x:row>
    <x:row r="235" ht="18" customHeight="1">
      <x:c r="A235" s="36" t="n">
        <x:v>2955</x:v>
      </x:c>
      <x:c r="B235" s="36" t="str">
        <x:v>normalization-review-passenger-250-v1-rules-20260805T184409855703Z</x:v>
      </x:c>
      <x:c r="C235" s="36" t="n">
        <x:v>46239.78067008102</x:v>
      </x:c>
      <x:c r="D235" s="38" t="str">
        <x:v>"2026-08-05T18:44:09.895308+00:00"</x:v>
      </x:c>
      <x:c r="E235" s="36"/>
      <x:c r="F235" s="36" t="str">
        <x:v>01</x:v>
      </x:c>
      <x:c r="G235" s="36"/>
      <x:c r="H235" s="36" t="str">
        <x:v>VOLVO 244-411</x:v>
      </x:c>
      <x:c r="I235" s="36"/>
      <x:c r="J235" s="36"/>
      <x:c r="K235" s="36"/>
      <x:c r="L235" s="36" t="str">
        <x:v>M1</x:v>
      </x:c>
      <x:c r="M235" s="36"/>
      <x:c r="N235" s="36" t="str">
        <x:v>VO</x:v>
      </x:c>
      <x:c r="O235" s="36" t="str">
        <x:v>1</x:v>
      </x:c>
      <x:c r="P235" s="36" t="str">
        <x:v>0</x:v>
      </x:c>
      <x:c r="Q235" s="36" t="str">
        <x:v>0</x:v>
      </x:c>
      <x:c r="R235" s="36"/>
      <x:c r="S235" s="36" t="str">
        <x:v>M</x:v>
      </x:c>
      <x:c r="T235" s="36" t="str">
        <x:v>002830</x:v>
      </x:c>
      <x:c r="U235" s="36" t="str">
        <x:v>0</x:v>
      </x:c>
      <x:c r="V235" s="36" t="n">
        <x:v>78</x:v>
      </x:c>
      <x:c r="W235" s="36"/>
      <x:c r="X235" s="36"/>
      <x:c r="Y235" s="36" t="str">
        <x:v>002830</x:v>
      </x:c>
      <x:c r="Z235" s="36" t="n">
        <x:v>1984</x:v>
      </x:c>
      <x:c r="AA235" s="36" t="str">
        <x:v>TEST-2955</x:v>
      </x:c>
      <x:c r="AB235" s="36" t="str">
        <x:v>19831114</x:v>
      </x:c>
      <x:c r="AC235" s="36"/>
      <x:c r="AD235" s="36"/>
      <x:c r="AE235" s="36" t="str">
        <x:v>I</x:v>
      </x:c>
      <x:c r="AF235" s="36" t="str">
        <x:v>PB</x:v>
      </x:c>
      <x:c r="AG235" s="36" t="n">
        <x:v>1984</x:v>
      </x:c>
      <x:c r="AH235" s="36"/>
      <x:c r="AI235" s="36" t="str">
        <x:v>24400000000002955</x:v>
      </x:c>
      <x:c r="AJ235" s="38" t="str">
        <x:v>{"kw":78,"vin":"24400000000002955","brand":"VOLVO 244-411","fuel1":"1","fuel2":"0","fuel3":"0","plate":"TEST-2955","is_4wd":"0","gearbox":"M","fab_code":"VO","group_no":"002830","model_no":"002830","body_code":"01","model_year":1984,"eu_category":"M1","vehicle_type":"PB","vehicle_year":1984,"vehicle_class":"I","registration_date":"19831114"}</x:v>
      </x:c>
    </x:row>
    <x:row r="236" ht="18" customHeight="1">
      <x:c r="A236" s="36" t="n">
        <x:v>2956</x:v>
      </x:c>
      <x:c r="B236" s="36" t="str">
        <x:v>normalization-review-passenger-250-v1-rules-20260805T184409855703Z</x:v>
      </x:c>
      <x:c r="C236" s="36" t="n">
        <x:v>46239.78067008102</x:v>
      </x:c>
      <x:c r="D236" s="38" t="str">
        <x:v>"2026-08-05T18:44:09.895308+00:00"</x:v>
      </x:c>
      <x:c r="E236" s="36"/>
      <x:c r="F236" s="36" t="str">
        <x:v>AF</x:v>
      </x:c>
      <x:c r="G236" s="36"/>
      <x:c r="H236" s="36" t="str">
        <x:v>RENAULT JZ</x:v>
      </x:c>
      <x:c r="I236" s="36"/>
      <x:c r="J236" s="36" t="str">
        <x:v>201201</x:v>
      </x:c>
      <x:c r="K236" s="36" t="n">
        <x:v>1598</x:v>
      </x:c>
      <x:c r="L236" s="36" t="str">
        <x:v>M1</x:v>
      </x:c>
      <x:c r="M236" s="36"/>
      <x:c r="N236" s="36" t="str">
        <x:v>RN</x:v>
      </x:c>
      <x:c r="O236" s="36" t="str">
        <x:v>2</x:v>
      </x:c>
      <x:c r="P236" s="36" t="str">
        <x:v>0</x:v>
      </x:c>
      <x:c r="Q236" s="36" t="str">
        <x:v>0</x:v>
      </x:c>
      <x:c r="R236" s="36"/>
      <x:c r="S236" s="36"/>
      <x:c r="T236" s="36" t="str">
        <x:v>104049</x:v>
      </x:c>
      <x:c r="U236" s="36" t="str">
        <x:v>0</x:v>
      </x:c>
      <x:c r="V236" s="36" t="n">
        <x:v>96</x:v>
      </x:c>
      <x:c r="W236" s="36"/>
      <x:c r="X236" s="36" t="str">
        <x:v>MEGANE SCENIC</x:v>
      </x:c>
      <x:c r="Y236" s="36"/>
      <x:c r="Z236" s="36"/>
      <x:c r="AA236" s="36" t="str">
        <x:v>TEST-2956</x:v>
      </x:c>
      <x:c r="AB236" s="36" t="str">
        <x:v>20130611</x:v>
      </x:c>
      <x:c r="AC236" s="36" t="str">
        <x:v>JZ</x:v>
      </x:c>
      <x:c r="AD236" s="36" t="str">
        <x:v>JZ00</x:v>
      </x:c>
      <x:c r="AE236" s="36" t="str">
        <x:v>I</x:v>
      </x:c>
      <x:c r="AF236" s="36" t="str">
        <x:v>PB</x:v>
      </x:c>
      <x:c r="AG236" s="36" t="n">
        <x:v>2012</x:v>
      </x:c>
      <x:c r="AH236" s="36" t="str">
        <x:v>JZ00BD</x:v>
      </x:c>
      <x:c r="AI236" s="36" t="str">
        <x:v>VF100000000002956</x:v>
      </x:c>
      <x:c r="AJ236" s="38" t="str">
        <x:v>{"kw":96,"ccm":1598,"vin":"VF100000000002956","brand":"RENAULT JZ","fuel1":"2","fuel2":"0","fuel3":"0","model":"MEGANE SCENIC","plate":"TEST-2956","is_4wd":"0","variant":"JZ00","version":"JZ00BD","fab_code":"RN","group_no":"104049","body_code":"AF","type_text":"JZ","build_month":"201201","eu_category":"M1","vehicle_type":"PB","vehicle_year":2012,"vehicle_class":"I","registration_date":"20130611"}</x:v>
      </x:c>
    </x:row>
    <x:row r="237" ht="18" customHeight="1">
      <x:c r="A237" s="36" t="n">
        <x:v>2957</x:v>
      </x:c>
      <x:c r="B237" s="36" t="str">
        <x:v>normalization-review-passenger-250-v1-rules-20260805T184409855703Z</x:v>
      </x:c>
      <x:c r="C237" s="36" t="n">
        <x:v>46239.78067008102</x:v>
      </x:c>
      <x:c r="D237" s="38" t="str">
        <x:v>"2026-08-05T18:44:09.895308+00:00"</x:v>
      </x:c>
      <x:c r="E237" s="36"/>
      <x:c r="F237" s="36" t="str">
        <x:v>AB</x:v>
      </x:c>
      <x:c r="G237" s="36"/>
      <x:c r="H237" s="36" t="str">
        <x:v>FORD JA8</x:v>
      </x:c>
      <x:c r="I237" s="36"/>
      <x:c r="J237" s="36" t="str">
        <x:v>201311</x:v>
      </x:c>
      <x:c r="K237" s="36" t="n">
        <x:v>998</x:v>
      </x:c>
      <x:c r="L237" s="36" t="str">
        <x:v>M1</x:v>
      </x:c>
      <x:c r="M237" s="36"/>
      <x:c r="N237" s="36" t="str">
        <x:v>FO</x:v>
      </x:c>
      <x:c r="O237" s="36" t="str">
        <x:v>1</x:v>
      </x:c>
      <x:c r="P237" s="36" t="str">
        <x:v>0</x:v>
      </x:c>
      <x:c r="Q237" s="36" t="str">
        <x:v>0</x:v>
      </x:c>
      <x:c r="R237" s="36"/>
      <x:c r="S237" s="36" t="str">
        <x:v>M</x:v>
      </x:c>
      <x:c r="T237" s="36" t="str">
        <x:v>010372</x:v>
      </x:c>
      <x:c r="U237" s="36" t="str">
        <x:v>0</x:v>
      </x:c>
      <x:c r="V237" s="36" t="n">
        <x:v>59</x:v>
      </x:c>
      <x:c r="W237" s="36"/>
      <x:c r="X237" s="36" t="str">
        <x:v>FIESTA</x:v>
      </x:c>
      <x:c r="Y237" s="36"/>
      <x:c r="Z237" s="36"/>
      <x:c r="AA237" s="36" t="str">
        <x:v>TEST-2957</x:v>
      </x:c>
      <x:c r="AB237" s="36" t="str">
        <x:v>20131129</x:v>
      </x:c>
      <x:c r="AC237" s="36" t="str">
        <x:v>JA8</x:v>
      </x:c>
      <x:c r="AD237" s="36" t="str">
        <x:v>P4JB1D</x:v>
      </x:c>
      <x:c r="AE237" s="36" t="str">
        <x:v>I</x:v>
      </x:c>
      <x:c r="AF237" s="36" t="str">
        <x:v>PB</x:v>
      </x:c>
      <x:c r="AG237" s="36" t="n">
        <x:v>2013</x:v>
      </x:c>
      <x:c r="AH237" s="36" t="str">
        <x:v>5AMAAF</x:v>
      </x:c>
      <x:c r="AI237" s="36" t="str">
        <x:v>WF000000000002957</x:v>
      </x:c>
      <x:c r="AJ237" s="38" t="str">
        <x:v>{"kw":59,"ccm":998,"vin":"WF000000000002957","brand":"FORD JA8","fuel1":"1","fuel2":"0","fuel3":"0","model":"FIESTA","plate":"TEST-2957","is_4wd":"0","gearbox":"M","variant":"P4JB1D","version":"5AMAAF","fab_code":"FO","group_no":"010372","body_code":"AB","type_text":"JA8","build_month":"201311","eu_category":"M1","vehicle_type":"PB","vehicle_year":2013,"vehicle_class":"I","registration_date":"20131129"}</x:v>
      </x:c>
    </x:row>
    <x:row r="238" ht="18" customHeight="1">
      <x:c r="A238" s="36" t="n">
        <x:v>2958</x:v>
      </x:c>
      <x:c r="B238" s="36" t="str">
        <x:v>normalization-review-passenger-250-v1-rules-20260805T184409855703Z</x:v>
      </x:c>
      <x:c r="C238" s="36" t="n">
        <x:v>46239.78067008102</x:v>
      </x:c>
      <x:c r="D238" s="38" t="str">
        <x:v>"2026-08-05T18:44:09.895308+00:00"</x:v>
      </x:c>
      <x:c r="E238" s="36"/>
      <x:c r="F238" s="36" t="str">
        <x:v>04</x:v>
      </x:c>
      <x:c r="G238" s="36"/>
      <x:c r="H238" s="36" t="str">
        <x:v>VOLVO 704-817</x:v>
      </x:c>
      <x:c r="I238" s="36"/>
      <x:c r="J238" s="36"/>
      <x:c r="K238" s="36"/>
      <x:c r="L238" s="36" t="str">
        <x:v>M1</x:v>
      </x:c>
      <x:c r="M238" s="36"/>
      <x:c r="N238" s="36" t="str">
        <x:v>VO</x:v>
      </x:c>
      <x:c r="O238" s="36" t="str">
        <x:v>1</x:v>
      </x:c>
      <x:c r="P238" s="36" t="str">
        <x:v>0</x:v>
      </x:c>
      <x:c r="Q238" s="36" t="str">
        <x:v>0</x:v>
      </x:c>
      <x:c r="R238" s="36"/>
      <x:c r="S238" s="36" t="str">
        <x:v>A</x:v>
      </x:c>
      <x:c r="T238" s="36" t="str">
        <x:v>003208</x:v>
      </x:c>
      <x:c r="U238" s="36" t="str">
        <x:v>0</x:v>
      </x:c>
      <x:c r="V238" s="36" t="n">
        <x:v>82</x:v>
      </x:c>
      <x:c r="W238" s="36"/>
      <x:c r="X238" s="36"/>
      <x:c r="Y238" s="36" t="str">
        <x:v>003208</x:v>
      </x:c>
      <x:c r="Z238" s="36" t="n">
        <x:v>1985</x:v>
      </x:c>
      <x:c r="AA238" s="36" t="str">
        <x:v>TEST-2958</x:v>
      </x:c>
      <x:c r="AB238" s="36" t="str">
        <x:v>19850627</x:v>
      </x:c>
      <x:c r="AC238" s="36"/>
      <x:c r="AD238" s="36"/>
      <x:c r="AE238" s="36" t="str">
        <x:v>I</x:v>
      </x:c>
      <x:c r="AF238" s="36" t="str">
        <x:v>PB</x:v>
      </x:c>
      <x:c r="AG238" s="36" t="n">
        <x:v>1985</x:v>
      </x:c>
      <x:c r="AH238" s="36"/>
      <x:c r="AI238" s="36" t="str">
        <x:v>70400000000002958</x:v>
      </x:c>
      <x:c r="AJ238" s="38" t="str">
        <x:v>{"kw":82,"vin":"70400000000002958","brand":"VOLVO 704-817","fuel1":"1","fuel2":"0","fuel3":"0","plate":"TEST-2958","is_4wd":"0","gearbox":"A","fab_code":"VO","group_no":"003208","model_no":"003208","body_code":"04","model_year":1985,"eu_category":"M1","vehicle_type":"PB","vehicle_year":1985,"vehicle_class":"I","registration_date":"19850627"}</x:v>
      </x:c>
    </x:row>
    <x:row r="239" ht="18" customHeight="1">
      <x:c r="A239" s="36" t="n">
        <x:v>2959</x:v>
      </x:c>
      <x:c r="B239" s="36" t="str">
        <x:v>normalization-review-passenger-250-v1-rules-20260805T184409855703Z</x:v>
      </x:c>
      <x:c r="C239" s="36" t="n">
        <x:v>46239.78067008102</x:v>
      </x:c>
      <x:c r="D239" s="38" t="str">
        <x:v>"2026-08-05T18:44:09.895308+00:00"</x:v>
      </x:c>
      <x:c r="E239" s="36"/>
      <x:c r="F239" s="36" t="str">
        <x:v>AC</x:v>
      </x:c>
      <x:c r="G239" s="36"/>
      <x:c r="H239" s="36" t="str">
        <x:v>MERCEDES-BENZ</x:v>
      </x:c>
      <x:c r="I239" s="36"/>
      <x:c r="J239" s="36" t="str">
        <x:v>201911</x:v>
      </x:c>
      <x:c r="K239" s="36" t="n">
        <x:v>1597</x:v>
      </x:c>
      <x:c r="L239" s="36" t="str">
        <x:v>M1</x:v>
      </x:c>
      <x:c r="M239" s="36"/>
      <x:c r="N239" s="36" t="str">
        <x:v>MB</x:v>
      </x:c>
      <x:c r="O239" s="36" t="str">
        <x:v>2</x:v>
      </x:c>
      <x:c r="P239" s="36" t="str">
        <x:v>0</x:v>
      </x:c>
      <x:c r="Q239" s="36" t="str">
        <x:v>0</x:v>
      </x:c>
      <x:c r="R239" s="36"/>
      <x:c r="S239" s="36"/>
      <x:c r="T239" s="36" t="str">
        <x:v>542126</x:v>
      </x:c>
      <x:c r="U239" s="36" t="str">
        <x:v>0</x:v>
      </x:c>
      <x:c r="V239" s="36" t="n">
        <x:v>118</x:v>
      </x:c>
      <x:c r="W239" s="36" t="str">
        <x:v>MERCEDES-BENZ AG DE-70372 STUTTGART</x:v>
      </x:c>
      <x:c r="X239" s="36" t="str">
        <x:v>E 200 D</x:v>
      </x:c>
      <x:c r="Y239" s="36"/>
      <x:c r="Z239" s="36"/>
      <x:c r="AA239" s="36" t="str">
        <x:v>TEST-2959</x:v>
      </x:c>
      <x:c r="AB239" s="36" t="str">
        <x:v>20191126</x:v>
      </x:c>
      <x:c r="AC239" s="36" t="str">
        <x:v>R1ES</x:v>
      </x:c>
      <x:c r="AD239" s="36" t="str">
        <x:v>U21DT0</x:v>
      </x:c>
      <x:c r="AE239" s="36" t="str">
        <x:v>I</x:v>
      </x:c>
      <x:c r="AF239" s="36" t="str">
        <x:v>PB</x:v>
      </x:c>
      <x:c r="AG239" s="36" t="n">
        <x:v>2019</x:v>
      </x:c>
      <x:c r="AH239" s="36" t="str">
        <x:v>CZAA05AA</x:v>
      </x:c>
      <x:c r="AI239" s="36" t="str">
        <x:v>W1K00000000002959</x:v>
      </x:c>
      <x:c r="AJ239" s="38" t="str">
        <x:v>{"kw":118,"ccm":1597,"vin":"W1K00000000002959","brand":"MERCEDES-BENZ","fuel1":"2","fuel2":"0","fuel3":"0","model":"E 200 D","plate":"TEST-2959","is_4wd":"0","variant":"U21DT0","version":"CZAA05AA","fab_code":"MB","group_no":"542126","body_code":"AC","type_text":"R1ES","build_month":"201911","eu_category":"M1","manufacturer":"MERCEDES-BENZ AG DE-70372 STUTTGART","vehicle_type":"PB","vehicle_year":2019,"vehicle_class":"I","registration_date":"20191126"}</x:v>
      </x:c>
    </x:row>
    <x:row r="240" ht="18" customHeight="1">
      <x:c r="A240" s="36" t="n">
        <x:v>2960</x:v>
      </x:c>
      <x:c r="B240" s="36" t="str">
        <x:v>normalization-review-passenger-250-v1-rules-20260805T184409855703Z</x:v>
      </x:c>
      <x:c r="C240" s="36" t="n">
        <x:v>46239.78067008102</x:v>
      </x:c>
      <x:c r="D240" s="38" t="str">
        <x:v>"2026-08-05T18:44:09.895308+00:00"</x:v>
      </x:c>
      <x:c r="E240" s="36"/>
      <x:c r="F240" s="36" t="str">
        <x:v>01</x:v>
      </x:c>
      <x:c r="G240" s="36"/>
      <x:c r="H240" s="36" t="str">
        <x:v>PORSCHE 924</x:v>
      </x:c>
      <x:c r="I240" s="36"/>
      <x:c r="J240" s="36"/>
      <x:c r="K240" s="36"/>
      <x:c r="L240" s="36" t="str">
        <x:v>M1</x:v>
      </x:c>
      <x:c r="M240" s="36"/>
      <x:c r="N240" s="36" t="str">
        <x:v>PR</x:v>
      </x:c>
      <x:c r="O240" s="36" t="str">
        <x:v>1</x:v>
      </x:c>
      <x:c r="P240" s="36" t="str">
        <x:v>0</x:v>
      </x:c>
      <x:c r="Q240" s="36" t="str">
        <x:v>0</x:v>
      </x:c>
      <x:c r="R240" s="36"/>
      <x:c r="S240" s="36" t="str">
        <x:v>M</x:v>
      </x:c>
      <x:c r="T240" s="36"/>
      <x:c r="U240" s="36" t="str">
        <x:v>0</x:v>
      </x:c>
      <x:c r="V240" s="36" t="n">
        <x:v>92</x:v>
      </x:c>
      <x:c r="W240" s="36"/>
      <x:c r="X240" s="36"/>
      <x:c r="Y240" s="36"/>
      <x:c r="Z240" s="36" t="n">
        <x:v>1977</x:v>
      </x:c>
      <x:c r="AA240" s="36" t="str">
        <x:v>TEST-2960</x:v>
      </x:c>
      <x:c r="AB240" s="36" t="str">
        <x:v>19841015</x:v>
      </x:c>
      <x:c r="AC240" s="36"/>
      <x:c r="AD240" s="36"/>
      <x:c r="AE240" s="36" t="str">
        <x:v>I</x:v>
      </x:c>
      <x:c r="AF240" s="36" t="str">
        <x:v>PB</x:v>
      </x:c>
      <x:c r="AG240" s="36" t="n">
        <x:v>1977</x:v>
      </x:c>
      <x:c r="AH240" s="36"/>
      <x:c r="AI240" s="36" t="str">
        <x:v>92400000000002960</x:v>
      </x:c>
      <x:c r="AJ240" s="38" t="str">
        <x:v>{"kw":92,"vin":"92400000000002960","brand":"PORSCHE 924","fuel1":"1","fuel2":"0","fuel3":"0","plate":"TEST-2960","is_4wd":"0","gearbox":"M","fab_code":"PR","body_code":"01","model_year":1977,"eu_category":"M1","vehicle_type":"PB","vehicle_year":1977,"vehicle_class":"I","registration_date":"19841015"}</x:v>
      </x:c>
    </x:row>
    <x:row r="241" ht="18" customHeight="1">
      <x:c r="A241" s="36" t="n">
        <x:v>2961</x:v>
      </x:c>
      <x:c r="B241" s="36" t="str">
        <x:v>normalization-review-passenger-250-v1-rules-20260805T184409855703Z</x:v>
      </x:c>
      <x:c r="C241" s="36" t="n">
        <x:v>46239.78067008102</x:v>
      </x:c>
      <x:c r="D241" s="38" t="str">
        <x:v>"2026-08-05T18:44:09.895308+00:00"</x:v>
      </x:c>
      <x:c r="E241" s="36"/>
      <x:c r="F241" s="36" t="str">
        <x:v>AF</x:v>
      </x:c>
      <x:c r="G241" s="36"/>
      <x:c r="H241" s="36" t="str">
        <x:v>FORD WA6</x:v>
      </x:c>
      <x:c r="I241" s="36"/>
      <x:c r="J241" s="36" t="str">
        <x:v>201010</x:v>
      </x:c>
      <x:c r="K241" s="36" t="n">
        <x:v>1997</x:v>
      </x:c>
      <x:c r="L241" s="36" t="str">
        <x:v>M1</x:v>
      </x:c>
      <x:c r="M241" s="36"/>
      <x:c r="N241" s="36" t="str">
        <x:v>FO</x:v>
      </x:c>
      <x:c r="O241" s="36" t="str">
        <x:v>2</x:v>
      </x:c>
      <x:c r="P241" s="36" t="str">
        <x:v>0</x:v>
      </x:c>
      <x:c r="Q241" s="36" t="str">
        <x:v>0</x:v>
      </x:c>
      <x:c r="R241" s="36"/>
      <x:c r="S241" s="36" t="str">
        <x:v>A</x:v>
      </x:c>
      <x:c r="T241" s="36" t="str">
        <x:v>013083</x:v>
      </x:c>
      <x:c r="U241" s="36" t="str">
        <x:v>0</x:v>
      </x:c>
      <x:c r="V241" s="36" t="n">
        <x:v>120</x:v>
      </x:c>
      <x:c r="W241" s="36"/>
      <x:c r="X241" s="36" t="str">
        <x:v>GALAXY</x:v>
      </x:c>
      <x:c r="Y241" s="36"/>
      <x:c r="Z241" s="36"/>
      <x:c r="AA241" s="36" t="str">
        <x:v>TEST-2961</x:v>
      </x:c>
      <x:c r="AB241" s="36" t="str">
        <x:v>20101029</x:v>
      </x:c>
      <x:c r="AC241" s="36" t="str">
        <x:v>WA6</x:v>
      </x:c>
      <x:c r="AD241" s="36" t="str">
        <x:v>TXWA1M</x:v>
      </x:c>
      <x:c r="AE241" s="36" t="str">
        <x:v>I</x:v>
      </x:c>
      <x:c r="AF241" s="36" t="str">
        <x:v>PB</x:v>
      </x:c>
      <x:c r="AG241" s="36" t="n">
        <x:v>2010</x:v>
      </x:c>
      <x:c r="AH241" s="36" t="str">
        <x:v>7MJAQG</x:v>
      </x:c>
      <x:c r="AI241" s="36" t="str">
        <x:v>WF000000000002961</x:v>
      </x:c>
      <x:c r="AJ241" s="38" t="str">
        <x:v>{"kw":120,"ccm":1997,"vin":"WF000000000002961","brand":"FORD WA6","fuel1":"2","fuel2":"0","fuel3":"0","model":"GALAXY","plate":"TEST-2961","is_4wd":"0","gearbox":"A","variant":"TXWA1M","version":"7MJAQG","fab_code":"FO","group_no":"013083","body_code":"AF","type_text":"WA6","build_month":"201010","eu_category":"M1","vehicle_type":"PB","vehicle_year":2010,"vehicle_class":"I","registration_date":"20101029"}</x:v>
      </x:c>
    </x:row>
    <x:row r="242" ht="18" customHeight="1">
      <x:c r="A242" s="36" t="n">
        <x:v>2962</x:v>
      </x:c>
      <x:c r="B242" s="36" t="str">
        <x:v>normalization-review-passenger-250-v1-rules-20260805T184409855703Z</x:v>
      </x:c>
      <x:c r="C242" s="36" t="n">
        <x:v>46239.78067008102</x:v>
      </x:c>
      <x:c r="D242" s="38" t="str">
        <x:v>"2026-08-05T18:44:09.895308+00:00"</x:v>
      </x:c>
      <x:c r="E242" s="36"/>
      <x:c r="F242" s="36" t="str">
        <x:v>AB</x:v>
      </x:c>
      <x:c r="G242" s="36"/>
      <x:c r="H242" s="36" t="str">
        <x:v>DACIA SD</x:v>
      </x:c>
      <x:c r="I242" s="36"/>
      <x:c r="J242" s="36" t="str">
        <x:v>201408</x:v>
      </x:c>
      <x:c r="K242" s="36" t="n">
        <x:v>898</x:v>
      </x:c>
      <x:c r="L242" s="36" t="str">
        <x:v>M1</x:v>
      </x:c>
      <x:c r="M242" s="36"/>
      <x:c r="N242" s="36" t="str">
        <x:v>DQ</x:v>
      </x:c>
      <x:c r="O242" s="36" t="str">
        <x:v>1</x:v>
      </x:c>
      <x:c r="P242" s="36" t="str">
        <x:v>0</x:v>
      </x:c>
      <x:c r="Q242" s="36" t="str">
        <x:v>0</x:v>
      </x:c>
      <x:c r="R242" s="36"/>
      <x:c r="S242" s="36"/>
      <x:c r="T242" s="36" t="str">
        <x:v>022006</x:v>
      </x:c>
      <x:c r="U242" s="36" t="str">
        <x:v>0</x:v>
      </x:c>
      <x:c r="V242" s="36" t="n">
        <x:v>66</x:v>
      </x:c>
      <x:c r="W242" s="36"/>
      <x:c r="X242" s="36" t="str">
        <x:v>SANDERO</x:v>
      </x:c>
      <x:c r="Y242" s="36"/>
      <x:c r="Z242" s="36"/>
      <x:c r="AA242" s="36" t="str">
        <x:v>TEST-2962</x:v>
      </x:c>
      <x:c r="AB242" s="36" t="str">
        <x:v>20141009</x:v>
      </x:c>
      <x:c r="AC242" s="36" t="str">
        <x:v>SD</x:v>
      </x:c>
      <x:c r="AD242" s="36" t="str">
        <x:v>5SDAA</x:v>
      </x:c>
      <x:c r="AE242" s="36" t="str">
        <x:v>I</x:v>
      </x:c>
      <x:c r="AF242" s="36" t="str">
        <x:v>PB</x:v>
      </x:c>
      <x:c r="AG242" s="36" t="n">
        <x:v>2014</x:v>
      </x:c>
      <x:c r="AH242" s="36" t="str">
        <x:v>5SDAA5</x:v>
      </x:c>
      <x:c r="AI242" s="36" t="str">
        <x:v>UU100000000002962</x:v>
      </x:c>
      <x:c r="AJ242" s="38" t="str">
        <x:v>{"kw":66,"ccm":898,"vin":"UU100000000002962","brand":"DACIA SD","fuel1":"1","fuel2":"0","fuel3":"0","model":"SANDERO","plate":"TEST-2962","is_4wd":"0","variant":"5SDAA","version":"5SDAA5","fab_code":"DQ","group_no":"022006","body_code":"AB","type_text":"SD","build_month":"201408","eu_category":"M1","vehicle_type":"PB","vehicle_year":2014,"vehicle_class":"I","registration_date":"20141009"}</x:v>
      </x:c>
    </x:row>
    <x:row r="243" ht="18" customHeight="1">
      <x:c r="A243" s="36" t="n">
        <x:v>2963</x:v>
      </x:c>
      <x:c r="B243" s="36" t="str">
        <x:v>normalization-review-passenger-250-v1-rules-20260805T184409855703Z</x:v>
      </x:c>
      <x:c r="C243" s="36" t="n">
        <x:v>46239.78067008102</x:v>
      </x:c>
      <x:c r="D243" s="38" t="str">
        <x:v>"2026-08-05T18:44:09.895308+00:00"</x:v>
      </x:c>
      <x:c r="E243" s="36"/>
      <x:c r="F243" s="36" t="str">
        <x:v>AC</x:v>
      </x:c>
      <x:c r="G243" s="36"/>
      <x:c r="H243" s="36" t="str">
        <x:v>VOLVO S + V70</x:v>
      </x:c>
      <x:c r="I243" s="36"/>
      <x:c r="J243" s="36" t="str">
        <x:v>200610</x:v>
      </x:c>
      <x:c r="K243" s="36" t="n">
        <x:v>2435</x:v>
      </x:c>
      <x:c r="L243" s="36" t="str">
        <x:v>M1</x:v>
      </x:c>
      <x:c r="M243" s="36"/>
      <x:c r="N243" s="36" t="str">
        <x:v>VO</x:v>
      </x:c>
      <x:c r="O243" s="36" t="str">
        <x:v>1</x:v>
      </x:c>
      <x:c r="P243" s="36" t="str">
        <x:v>0</x:v>
      </x:c>
      <x:c r="Q243" s="36" t="str">
        <x:v>0</x:v>
      </x:c>
      <x:c r="R243" s="36"/>
      <x:c r="S243" s="36" t="str">
        <x:v>M</x:v>
      </x:c>
      <x:c r="T243" s="36" t="str">
        <x:v>740028</x:v>
      </x:c>
      <x:c r="U243" s="36" t="str">
        <x:v>0</x:v>
      </x:c>
      <x:c r="V243" s="36" t="n">
        <x:v>125</x:v>
      </x:c>
      <x:c r="W243" s="36"/>
      <x:c r="X243" s="36"/>
      <x:c r="Y243" s="36"/>
      <x:c r="Z243" s="36"/>
      <x:c r="AA243" s="36" t="str">
        <x:v>TEST-2963</x:v>
      </x:c>
      <x:c r="AB243" s="36" t="str">
        <x:v>20061129</x:v>
      </x:c>
      <x:c r="AC243" s="36" t="str">
        <x:v>S</x:v>
      </x:c>
      <x:c r="AD243" s="36" t="str">
        <x:v>SW61</x:v>
      </x:c>
      <x:c r="AE243" s="36" t="str">
        <x:v>I</x:v>
      </x:c>
      <x:c r="AF243" s="36" t="str">
        <x:v>PB</x:v>
      </x:c>
      <x:c r="AG243" s="36" t="n">
        <x:v>2006</x:v>
      </x:c>
      <x:c r="AH243" s="36" t="str">
        <x:v>SW6142??</x:v>
      </x:c>
      <x:c r="AI243" s="36" t="str">
        <x:v>YV100000000002963</x:v>
      </x:c>
      <x:c r="AJ243" s="38" t="str">
        <x:v>{"kw":125,"ccm":2435,"vin":"YV100000000002963","brand":"VOLVO S + V70","fuel1":"1","fuel2":"0","fuel3":"0","plate":"TEST-2963","is_4wd":"0","gearbox":"M","variant":"SW61","version":"SW6142??","fab_code":"VO","group_no":"740028","body_code":"AC","type_text":"S","build_month":"200610","eu_category":"M1","vehicle_type":"PB","vehicle_year":2006,"vehicle_class":"I","registration_date":"20061129"}</x:v>
      </x:c>
    </x:row>
    <x:row r="244" ht="18" customHeight="1">
      <x:c r="A244" s="36" t="n">
        <x:v>2964</x:v>
      </x:c>
      <x:c r="B244" s="36" t="str">
        <x:v>normalization-review-passenger-250-v1-rules-20260805T184409855703Z</x:v>
      </x:c>
      <x:c r="C244" s="36" t="n">
        <x:v>46239.78067008102</x:v>
      </x:c>
      <x:c r="D244" s="38" t="str">
        <x:v>"2026-08-05T18:44:09.895308+00:00"</x:v>
      </x:c>
      <x:c r="E244" s="36"/>
      <x:c r="F244" s="36" t="str">
        <x:v>AC</x:v>
      </x:c>
      <x:c r="G244" s="36"/>
      <x:c r="H244" s="36" t="str">
        <x:v>OPEL ASTRA KOMBI 1.6 ENJ</x:v>
      </x:c>
      <x:c r="I244" s="36"/>
      <x:c r="J244" s="36" t="str">
        <x:v>200603</x:v>
      </x:c>
      <x:c r="K244" s="36" t="n">
        <x:v>1598</x:v>
      </x:c>
      <x:c r="L244" s="36" t="str">
        <x:v>M1</x:v>
      </x:c>
      <x:c r="M244" s="36"/>
      <x:c r="N244" s="36" t="str">
        <x:v>OP</x:v>
      </x:c>
      <x:c r="O244" s="36" t="str">
        <x:v>1</x:v>
      </x:c>
      <x:c r="P244" s="36" t="str">
        <x:v>0</x:v>
      </x:c>
      <x:c r="Q244" s="36" t="str">
        <x:v>0</x:v>
      </x:c>
      <x:c r="R244" s="36"/>
      <x:c r="S244" s="36" t="str">
        <x:v>M</x:v>
      </x:c>
      <x:c r="T244" s="36" t="str">
        <x:v>030582</x:v>
      </x:c>
      <x:c r="U244" s="36" t="str">
        <x:v>0</x:v>
      </x:c>
      <x:c r="V244" s="36" t="n">
        <x:v>77</x:v>
      </x:c>
      <x:c r="W244" s="36"/>
      <x:c r="X244" s="36"/>
      <x:c r="Y244" s="36"/>
      <x:c r="Z244" s="36"/>
      <x:c r="AA244" s="36" t="str">
        <x:v>TEST-2964</x:v>
      </x:c>
      <x:c r="AB244" s="36" t="str">
        <x:v>20060531</x:v>
      </x:c>
      <x:c r="AC244" s="36" t="str">
        <x:v>A-H/SW</x:v>
      </x:c>
      <x:c r="AD244" s="36" t="str">
        <x:v>FB11</x:v>
      </x:c>
      <x:c r="AE244" s="36" t="str">
        <x:v>I</x:v>
      </x:c>
      <x:c r="AF244" s="36" t="str">
        <x:v>PB</x:v>
      </x:c>
      <x:c r="AG244" s="36" t="n">
        <x:v>2006</x:v>
      </x:c>
      <x:c r="AH244" s="36" t="str">
        <x:v>1A02A5EABG5</x:v>
      </x:c>
      <x:c r="AI244" s="36" t="str">
        <x:v>W0L00000000002964</x:v>
      </x:c>
      <x:c r="AJ244" s="38" t="str">
        <x:v>{"kw":77,"ccm":1598,"vin":"W0L00000000002964","brand":"OPEL ASTRA KOMBI 1.6 ENJ","fuel1":"1","fuel2":"0","fuel3":"0","plate":"TEST-2964","is_4wd":"0","gearbox":"M","variant":"FB11","version":"1A02A5EABG5","fab_code":"OP","group_no":"030582","body_code":"AC","type_text":"A-H/SW","build_month":"200603","eu_category":"M1","vehicle_type":"PB","vehicle_year":2006,"vehicle_class":"I","registration_date":"20060531"}</x:v>
      </x:c>
    </x:row>
    <x:row r="245" ht="18" customHeight="1">
      <x:c r="A245" s="36" t="n">
        <x:v>2965</x:v>
      </x:c>
      <x:c r="B245" s="36" t="str">
        <x:v>normalization-review-passenger-250-v1-rules-20260805T184409855703Z</x:v>
      </x:c>
      <x:c r="C245" s="36" t="n">
        <x:v>46239.78067008102</x:v>
      </x:c>
      <x:c r="D245" s="38" t="str">
        <x:v>"2026-08-05T18:44:09.895308+00:00"</x:v>
      </x:c>
      <x:c r="E245" s="36"/>
      <x:c r="F245" s="36" t="str">
        <x:v>03</x:v>
      </x:c>
      <x:c r="G245" s="36"/>
      <x:c r="H245" s="36" t="str">
        <x:v>SAAB 900 2,3I DX55B</x:v>
      </x:c>
      <x:c r="I245" s="36"/>
      <x:c r="J245" s="36"/>
      <x:c r="K245" s="36"/>
      <x:c r="L245" s="36" t="str">
        <x:v>M1</x:v>
      </x:c>
      <x:c r="M245" s="36"/>
      <x:c r="N245" s="36" t="str">
        <x:v>SA</x:v>
      </x:c>
      <x:c r="O245" s="36" t="str">
        <x:v>1</x:v>
      </x:c>
      <x:c r="P245" s="36" t="str">
        <x:v>0</x:v>
      </x:c>
      <x:c r="Q245" s="36" t="str">
        <x:v>0</x:v>
      </x:c>
      <x:c r="R245" s="36"/>
      <x:c r="S245" s="36" t="str">
        <x:v>M</x:v>
      </x:c>
      <x:c r="T245" s="36" t="str">
        <x:v>005734</x:v>
      </x:c>
      <x:c r="U245" s="36" t="str">
        <x:v>0</x:v>
      </x:c>
      <x:c r="V245" s="36" t="n">
        <x:v>110</x:v>
      </x:c>
      <x:c r="W245" s="36"/>
      <x:c r="X245" s="36"/>
      <x:c r="Y245" s="36" t="str">
        <x:v>005734</x:v>
      </x:c>
      <x:c r="Z245" s="36" t="n">
        <x:v>1996</x:v>
      </x:c>
      <x:c r="AA245" s="36" t="str">
        <x:v>TEST-2965</x:v>
      </x:c>
      <x:c r="AB245" s="36" t="str">
        <x:v>19951011</x:v>
      </x:c>
      <x:c r="AC245" s="36"/>
      <x:c r="AD245" s="36"/>
      <x:c r="AE245" s="36" t="str">
        <x:v>I</x:v>
      </x:c>
      <x:c r="AF245" s="36" t="str">
        <x:v>PB</x:v>
      </x:c>
      <x:c r="AG245" s="36" t="n">
        <x:v>1996</x:v>
      </x:c>
      <x:c r="AH245" s="36"/>
      <x:c r="AI245" s="36" t="str">
        <x:v>DC500000000002965</x:v>
      </x:c>
      <x:c r="AJ245" s="38" t="str">
        <x:v>{"kw":110,"vin":"DC500000000002965","brand":"SAAB 900 2,3I DX55B","fuel1":"1","fuel2":"0","fuel3":"0","plate":"TEST-2965","is_4wd":"0","gearbox":"M","fab_code":"SA","group_no":"005734","model_no":"005734","body_code":"03","model_year":1996,"eu_category":"M1","vehicle_type":"PB","vehicle_year":1996,"vehicle_class":"I","registration_date":"19951011"}</x:v>
      </x:c>
    </x:row>
    <x:row r="246" ht="18" customHeight="1">
      <x:c r="A246" s="36" t="n">
        <x:v>2966</x:v>
      </x:c>
      <x:c r="B246" s="36" t="str">
        <x:v>normalization-review-passenger-250-v1-rules-20260805T184409855703Z</x:v>
      </x:c>
      <x:c r="C246" s="36" t="n">
        <x:v>46239.78067008102</x:v>
      </x:c>
      <x:c r="D246" s="38" t="str">
        <x:v>"2026-08-05T18:44:09.895308+00:00"</x:v>
      </x:c>
      <x:c r="E246" s="36"/>
      <x:c r="F246" s="36" t="str">
        <x:v>AB</x:v>
      </x:c>
      <x:c r="G246" s="36"/>
      <x:c r="H246" s="36" t="str">
        <x:v>RENAULT</x:v>
      </x:c>
      <x:c r="I246" s="36"/>
      <x:c r="J246" s="36" t="str">
        <x:v>201608</x:v>
      </x:c>
      <x:c r="K246" s="36" t="n">
        <x:v>1197</x:v>
      </x:c>
      <x:c r="L246" s="36" t="str">
        <x:v>M1</x:v>
      </x:c>
      <x:c r="M246" s="36"/>
      <x:c r="N246" s="36" t="str">
        <x:v>RN</x:v>
      </x:c>
      <x:c r="O246" s="36" t="str">
        <x:v>1</x:v>
      </x:c>
      <x:c r="P246" s="36" t="str">
        <x:v>0</x:v>
      </x:c>
      <x:c r="Q246" s="36" t="str">
        <x:v>0</x:v>
      </x:c>
      <x:c r="R246" s="36"/>
      <x:c r="S246" s="36"/>
      <x:c r="T246" s="36" t="str">
        <x:v>303063</x:v>
      </x:c>
      <x:c r="U246" s="36" t="str">
        <x:v>0</x:v>
      </x:c>
      <x:c r="V246" s="36" t="n">
        <x:v>87</x:v>
      </x:c>
      <x:c r="W246" s="36"/>
      <x:c r="X246" s="36" t="str">
        <x:v>CLIO</x:v>
      </x:c>
      <x:c r="Y246" s="36"/>
      <x:c r="Z246" s="36"/>
      <x:c r="AA246" s="36" t="str">
        <x:v>TEST-2966</x:v>
      </x:c>
      <x:c r="AB246" s="36" t="str">
        <x:v>20170330</x:v>
      </x:c>
      <x:c r="AC246" s="36" t="str">
        <x:v>R</x:v>
      </x:c>
      <x:c r="AD246" s="36" t="str">
        <x:v>5RBU</x:v>
      </x:c>
      <x:c r="AE246" s="36" t="str">
        <x:v>I</x:v>
      </x:c>
      <x:c r="AF246" s="36" t="str">
        <x:v>PB</x:v>
      </x:c>
      <x:c r="AG246" s="36" t="n">
        <x:v>2016</x:v>
      </x:c>
      <x:c r="AH246" s="36" t="str">
        <x:v>5RBU0C</x:v>
      </x:c>
      <x:c r="AI246" s="36" t="str">
        <x:v>VF100000000002966</x:v>
      </x:c>
      <x:c r="AJ246" s="38" t="str">
        <x:v>{"kw":87,"ccm":1197,"vin":"VF100000000002966","brand":"RENAULT","fuel1":"1","fuel2":"0","fuel3":"0","model":"CLIO","plate":"TEST-2966","is_4wd":"0","variant":"5RBU","version":"5RBU0C","fab_code":"RN","group_no":"303063","body_code":"AB","type_text":"R","build_month":"201608","eu_category":"M1","vehicle_type":"PB","vehicle_year":2016,"vehicle_class":"I","registration_date":"20170330"}</x:v>
      </x:c>
    </x:row>
    <x:row r="247" ht="18" customHeight="1">
      <x:c r="A247" s="36" t="n">
        <x:v>2967</x:v>
      </x:c>
      <x:c r="B247" s="36" t="str">
        <x:v>normalization-review-passenger-250-v1-rules-20260805T184409855703Z</x:v>
      </x:c>
      <x:c r="C247" s="36" t="n">
        <x:v>46239.78067008102</x:v>
      </x:c>
      <x:c r="D247" s="38" t="str">
        <x:v>"2026-08-05T18:44:09.895308+00:00"</x:v>
      </x:c>
      <x:c r="E247" s="36"/>
      <x:c r="F247" s="36" t="str">
        <x:v>01</x:v>
      </x:c>
      <x:c r="G247" s="36"/>
      <x:c r="H247" s="36" t="str">
        <x:v>JAGUAR 340</x:v>
      </x:c>
      <x:c r="I247" s="36"/>
      <x:c r="J247" s="36"/>
      <x:c r="K247" s="36"/>
      <x:c r="L247" s="36" t="str">
        <x:v>M1</x:v>
      </x:c>
      <x:c r="M247" s="36"/>
      <x:c r="N247" s="36" t="str">
        <x:v>JA</x:v>
      </x:c>
      <x:c r="O247" s="36" t="str">
        <x:v>1</x:v>
      </x:c>
      <x:c r="P247" s="36" t="str">
        <x:v>0</x:v>
      </x:c>
      <x:c r="Q247" s="36" t="str">
        <x:v>0</x:v>
      </x:c>
      <x:c r="R247" s="36"/>
      <x:c r="S247" s="36" t="str">
        <x:v>M</x:v>
      </x:c>
      <x:c r="T247" s="36"/>
      <x:c r="U247" s="36" t="str">
        <x:v>0</x:v>
      </x:c>
      <x:c r="V247" s="36" t="n">
        <x:v>118</x:v>
      </x:c>
      <x:c r="W247" s="36"/>
      <x:c r="X247" s="36"/>
      <x:c r="Y247" s="36"/>
      <x:c r="Z247" s="36" t="n">
        <x:v>1968</x:v>
      </x:c>
      <x:c r="AA247" s="36" t="str">
        <x:v>TEST-2967</x:v>
      </x:c>
      <x:c r="AB247" s="36" t="str">
        <x:v>19680711</x:v>
      </x:c>
      <x:c r="AC247" s="36"/>
      <x:c r="AD247" s="36"/>
      <x:c r="AE247" s="36" t="str">
        <x:v>I</x:v>
      </x:c>
      <x:c r="AF247" s="36" t="str">
        <x:v>PB</x:v>
      </x:c>
      <x:c r="AG247" s="36" t="n">
        <x:v>1968</x:v>
      </x:c>
      <x:c r="AH247" s="36"/>
      <x:c r="AI247" s="36" t="str">
        <x:v>P1J00000000002967</x:v>
      </x:c>
      <x:c r="AJ247" s="38" t="str">
        <x:v>{"kw":118,"vin":"P1J00000000002967","brand":"JAGUAR 340","fuel1":"1","fuel2":"0","fuel3":"0","plate":"TEST-2967","is_4wd":"0","gearbox":"M","fab_code":"JA","body_code":"01","model_year":1968,"eu_category":"M1","vehicle_type":"PB","vehicle_year":1968,"vehicle_class":"I","registration_date":"19680711"}</x:v>
      </x:c>
    </x:row>
    <x:row r="248" ht="18" customHeight="1">
      <x:c r="A248" s="36" t="n">
        <x:v>2968</x:v>
      </x:c>
      <x:c r="B248" s="36" t="str">
        <x:v>normalization-review-passenger-250-v1-rules-20260805T184409855703Z</x:v>
      </x:c>
      <x:c r="C248" s="36" t="n">
        <x:v>46239.78067008102</x:v>
      </x:c>
      <x:c r="D248" s="38" t="str">
        <x:v>"2026-08-05T18:44:09.895308+00:00"</x:v>
      </x:c>
      <x:c r="E248" s="36"/>
      <x:c r="F248" s="36" t="str">
        <x:v>AC</x:v>
      </x:c>
      <x:c r="G248" s="36"/>
      <x:c r="H248" s="36" t="str">
        <x:v>SKODA</x:v>
      </x:c>
      <x:c r="I248" s="36"/>
      <x:c r="J248" s="36" t="str">
        <x:v>202002</x:v>
      </x:c>
      <x:c r="K248" s="36" t="n">
        <x:v>1968</x:v>
      </x:c>
      <x:c r="L248" s="36" t="str">
        <x:v>M1G</x:v>
      </x:c>
      <x:c r="M248" s="36"/>
      <x:c r="N248" s="36" t="str">
        <x:v>SK</x:v>
      </x:c>
      <x:c r="O248" s="36" t="str">
        <x:v>2</x:v>
      </x:c>
      <x:c r="P248" s="36" t="str">
        <x:v>0</x:v>
      </x:c>
      <x:c r="Q248" s="36" t="str">
        <x:v>0</x:v>
      </x:c>
      <x:c r="R248" s="36"/>
      <x:c r="S248" s="36" t="str">
        <x:v>A</x:v>
      </x:c>
      <x:c r="T248" s="36" t="str">
        <x:v>041010</x:v>
      </x:c>
      <x:c r="U248" s="36" t="str">
        <x:v>1</x:v>
      </x:c>
      <x:c r="V248" s="36" t="n">
        <x:v>140</x:v>
      </x:c>
      <x:c r="W248" s="36" t="str">
        <x:v>SKODA AUTO TR. VACLAVA KLEMENTA 869, 293 01 MLADA BOLESLAV</x:v>
      </x:c>
      <x:c r="X248" s="36" t="str">
        <x:v>KODIAQ</x:v>
      </x:c>
      <x:c r="Y248" s="36"/>
      <x:c r="Z248" s="36"/>
      <x:c r="AA248" s="36" t="str">
        <x:v>TEST-2968</x:v>
      </x:c>
      <x:c r="AB248" s="36" t="str">
        <x:v>20200318</x:v>
      </x:c>
      <x:c r="AC248" s="36" t="str">
        <x:v>NS</x:v>
      </x:c>
      <x:c r="AD248" s="36" t="str">
        <x:v>ACDFHAX1</x:v>
      </x:c>
      <x:c r="AE248" s="36" t="str">
        <x:v>I</x:v>
      </x:c>
      <x:c r="AF248" s="36" t="str">
        <x:v>PB</x:v>
      </x:c>
      <x:c r="AG248" s="36" t="n">
        <x:v>2020</x:v>
      </x:c>
      <x:c r="AH248" s="36" t="str">
        <x:v>NAD7AD7DL0034BF0GS5N1A8A</x:v>
      </x:c>
      <x:c r="AI248" s="36" t="str">
        <x:v>TMB00000000002968</x:v>
      </x:c>
      <x:c r="AJ248" s="38" t="str">
        <x:v>{"kw":140,"ccm":1968,"vin":"TMB00000000002968","brand":"SKODA","fuel1":"2","fuel2":"0","fuel3":"0","model":"KODIAQ","plate":"TEST-2968","is_4wd":"1","gearbox":"A","variant":"ACDFHAX1","version":"NAD7AD7DL0034BF0GS5N1A8A","fab_code":"SK","group_no":"041010","body_code":"AC","type_text":"NS","build_month":"202002","eu_category":"M1G","manufacturer":"SKODA AUTO TR. VACLAVA KLEMENTA 869, 293 01 MLADA BOLESLAV","vehicle_type":"PB","vehicle_year":2020,"vehicle_class":"I","registration_date":"20200318"}</x:v>
      </x:c>
    </x:row>
    <x:row r="249" ht="18" customHeight="1">
      <x:c r="A249" s="36" t="n">
        <x:v>2969</x:v>
      </x:c>
      <x:c r="B249" s="36" t="str">
        <x:v>normalization-review-passenger-250-v1-rules-20260805T184409855703Z</x:v>
      </x:c>
      <x:c r="C249" s="36" t="n">
        <x:v>46239.78067008102</x:v>
      </x:c>
      <x:c r="D249" s="38" t="str">
        <x:v>"2026-08-05T18:44:09.895308+00:00"</x:v>
      </x:c>
      <x:c r="E249" s="36"/>
      <x:c r="F249" s="36" t="str">
        <x:v>01</x:v>
      </x:c>
      <x:c r="G249" s="36"/>
      <x:c r="H249" s="36" t="str">
        <x:v>BMC 850 SALOON</x:v>
      </x:c>
      <x:c r="I249" s="36"/>
      <x:c r="J249" s="36"/>
      <x:c r="K249" s="36"/>
      <x:c r="L249" s="36" t="str">
        <x:v>M1</x:v>
      </x:c>
      <x:c r="M249" s="36"/>
      <x:c r="N249" s="36" t="str">
        <x:v>BC</x:v>
      </x:c>
      <x:c r="O249" s="36" t="str">
        <x:v>1</x:v>
      </x:c>
      <x:c r="P249" s="36" t="str">
        <x:v>0</x:v>
      </x:c>
      <x:c r="Q249" s="36" t="str">
        <x:v>0</x:v>
      </x:c>
      <x:c r="R249" s="36"/>
      <x:c r="S249" s="36" t="str">
        <x:v>M</x:v>
      </x:c>
      <x:c r="T249" s="36" t="str">
        <x:v>000231</x:v>
      </x:c>
      <x:c r="U249" s="36" t="str">
        <x:v>0</x:v>
      </x:c>
      <x:c r="V249" s="36" t="n">
        <x:v>27</x:v>
      </x:c>
      <x:c r="W249" s="36"/>
      <x:c r="X249" s="36"/>
      <x:c r="Y249" s="36" t="str">
        <x:v>000231</x:v>
      </x:c>
      <x:c r="Z249" s="36" t="n">
        <x:v>1965</x:v>
      </x:c>
      <x:c r="AA249" s="36" t="str">
        <x:v>TEST-2969</x:v>
      </x:c>
      <x:c r="AB249" s="36" t="str">
        <x:v>19660121</x:v>
      </x:c>
      <x:c r="AC249" s="36"/>
      <x:c r="AD249" s="36"/>
      <x:c r="AE249" s="36" t="str">
        <x:v>I</x:v>
      </x:c>
      <x:c r="AF249" s="36" t="str">
        <x:v>PB</x:v>
      </x:c>
      <x:c r="AG249" s="36" t="n">
        <x:v>1965</x:v>
      </x:c>
      <x:c r="AH249" s="36"/>
      <x:c r="AI249" s="36" t="str">
        <x:v>68200000000002969</x:v>
      </x:c>
      <x:c r="AJ249" s="38" t="str">
        <x:v>{"kw":27,"vin":"68200000000002969","brand":"BMC 850 SALOON","fuel1":"1","fuel2":"0","fuel3":"0","plate":"TEST-2969","is_4wd":"0","gearbox":"M","fab_code":"BC","group_no":"000231","model_no":"000231","body_code":"01","model_year":1965,"eu_category":"M1","vehicle_type":"PB","vehicle_year":1965,"vehicle_class":"I","registration_date":"19660121"}</x:v>
      </x:c>
    </x:row>
    <x:row r="250" ht="18" customHeight="1">
      <x:c r="A250" s="36" t="n">
        <x:v>2970</x:v>
      </x:c>
      <x:c r="B250" s="36" t="str">
        <x:v>normalization-review-passenger-250-v1-rules-20260805T184409855703Z</x:v>
      </x:c>
      <x:c r="C250" s="36" t="n">
        <x:v>46239.78067008102</x:v>
      </x:c>
      <x:c r="D250" s="38" t="str">
        <x:v>"2026-08-05T18:44:09.895308+00:00"</x:v>
      </x:c>
      <x:c r="E250" s="36"/>
      <x:c r="F250" s="36" t="str">
        <x:v>AC</x:v>
      </x:c>
      <x:c r="G250" s="36"/>
      <x:c r="H250" s="36" t="str">
        <x:v>SAAB 9-3 VECTOR</x:v>
      </x:c>
      <x:c r="I250" s="36"/>
      <x:c r="J250" s="36" t="str">
        <x:v>200805</x:v>
      </x:c>
      <x:c r="K250" s="36" t="n">
        <x:v>1998</x:v>
      </x:c>
      <x:c r="L250" s="36" t="str">
        <x:v>M1</x:v>
      </x:c>
      <x:c r="M250" s="36"/>
      <x:c r="N250" s="36" t="str">
        <x:v>SA</x:v>
      </x:c>
      <x:c r="O250" s="36" t="str">
        <x:v>1</x:v>
      </x:c>
      <x:c r="P250" s="36" t="str">
        <x:v>7</x:v>
      </x:c>
      <x:c r="Q250" s="36" t="str">
        <x:v>0</x:v>
      </x:c>
      <x:c r="R250" s="36"/>
      <x:c r="S250" s="36" t="str">
        <x:v>M</x:v>
      </x:c>
      <x:c r="T250" s="36" t="str">
        <x:v>060319</x:v>
      </x:c>
      <x:c r="U250" s="36" t="str">
        <x:v>0</x:v>
      </x:c>
      <x:c r="V250" s="36" t="n">
        <x:v>110</x:v>
      </x:c>
      <x:c r="W250" s="36"/>
      <x:c r="X250" s="36"/>
      <x:c r="Y250" s="36"/>
      <x:c r="Z250" s="36"/>
      <x:c r="AA250" s="36" t="str">
        <x:v>TEST-2970</x:v>
      </x:c>
      <x:c r="AB250" s="36" t="str">
        <x:v>20080603</x:v>
      </x:c>
      <x:c r="AC250" s="36" t="str">
        <x:v>YS3F</x:v>
      </x:c>
      <x:c r="AD250" s="36" t="str">
        <x:v>F5F/BP</x:v>
      </x:c>
      <x:c r="AE250" s="36" t="str">
        <x:v>I</x:v>
      </x:c>
      <x:c r="AF250" s="36" t="str">
        <x:v>PB</x:v>
      </x:c>
      <x:c r="AG250" s="36" t="n">
        <x:v>2008</x:v>
      </x:c>
      <x:c r="AH250" s="36" t="str">
        <x:v>M502</x:v>
      </x:c>
      <x:c r="AI250" s="36" t="str">
        <x:v>YS300000000002970</x:v>
      </x:c>
      <x:c r="AJ250" s="38" t="str">
        <x:v>{"kw":110,"ccm":1998,"vin":"YS300000000002970","brand":"SAAB 9-3 VECTOR","fuel1":"1","fuel2":"7","fuel3":"0","plate":"TEST-2970","is_4wd":"0","gearbox":"M","variant":"F5F/BP","version":"M502","fab_code":"SA","group_no":"060319","body_code":"AC","type_text":"YS3F","build_month":"200805","eu_category":"M1","vehicle_type":"PB","vehicle_year":2008,"vehicle_class":"I","registration_date":"20080603"}</x:v>
      </x:c>
    </x:row>
    <x:row r="251" ht="18" customHeight="1">
      <x:c r="A251" s="36" t="n">
        <x:v>2971</x:v>
      </x:c>
      <x:c r="B251" s="36" t="str">
        <x:v>normalization-review-passenger-250-v1-rules-20260805T184409855703Z</x:v>
      </x:c>
      <x:c r="C251" s="36" t="n">
        <x:v>46239.78067008102</x:v>
      </x:c>
      <x:c r="D251" s="38" t="str">
        <x:v>"2026-08-05T18:44:09.895308+00:00"</x:v>
      </x:c>
      <x:c r="E251" s="36"/>
      <x:c r="F251" s="36" t="str">
        <x:v>AF</x:v>
      </x:c>
      <x:c r="G251" s="36"/>
      <x:c r="H251" s="36" t="str">
        <x:v>KIA</x:v>
      </x:c>
      <x:c r="I251" s="36"/>
      <x:c r="J251" s="36" t="str">
        <x:v>201806</x:v>
      </x:c>
      <x:c r="K251" s="36" t="n">
        <x:v>1598</x:v>
      </x:c>
      <x:c r="L251" s="36" t="str">
        <x:v>M1</x:v>
      </x:c>
      <x:c r="M251" s="36"/>
      <x:c r="N251" s="36" t="str">
        <x:v>KG</x:v>
      </x:c>
      <x:c r="O251" s="36" t="str">
        <x:v>2</x:v>
      </x:c>
      <x:c r="P251" s="36" t="str">
        <x:v>0</x:v>
      </x:c>
      <x:c r="Q251" s="36" t="str">
        <x:v>0</x:v>
      </x:c>
      <x:c r="R251" s="36"/>
      <x:c r="S251" s="36" t="str">
        <x:v>A</x:v>
      </x:c>
      <x:c r="T251" s="36" t="str">
        <x:v>163011</x:v>
      </x:c>
      <x:c r="U251" s="36" t="str">
        <x:v>1</x:v>
      </x:c>
      <x:c r="V251" s="36" t="n">
        <x:v>100</x:v>
      </x:c>
      <x:c r="W251" s="36"/>
      <x:c r="X251" s="36" t="str">
        <x:v>SPORTAGE</x:v>
      </x:c>
      <x:c r="Y251" s="36"/>
      <x:c r="Z251" s="36"/>
      <x:c r="AA251" s="36" t="str">
        <x:v>TEST-2971</x:v>
      </x:c>
      <x:c r="AB251" s="36" t="str">
        <x:v>20190430</x:v>
      </x:c>
      <x:c r="AC251" s="36" t="str">
        <x:v>QLE</x:v>
      </x:c>
      <x:c r="AD251" s="36" t="str">
        <x:v>F5D24</x:v>
      </x:c>
      <x:c r="AE251" s="36" t="str">
        <x:v>I</x:v>
      </x:c>
      <x:c r="AF251" s="36" t="str">
        <x:v>PB</x:v>
      </x:c>
      <x:c r="AG251" s="36" t="n">
        <x:v>2018</x:v>
      </x:c>
      <x:c r="AH251" s="36" t="str">
        <x:v>D731Z1</x:v>
      </x:c>
      <x:c r="AI251" s="36" t="str">
        <x:v>U5Y00000000002971</x:v>
      </x:c>
      <x:c r="AJ251" s="38" t="str">
        <x:v>{"kw":100,"ccm":1598,"vin":"U5Y00000000002971","brand":"KIA","fuel1":"2","fuel2":"0","fuel3":"0","model":"SPORTAGE","plate":"TEST-2971","is_4wd":"1","gearbox":"A","variant":"F5D24","version":"D731Z1","fab_code":"KG","group_no":"163011","body_code":"AF","type_text":"QLE","build_month":"201806","eu_category":"M1","vehicle_type":"PB","vehicle_year":2018,"vehicle_class":"I","registration_date":"20190430"}</x:v>
      </x:c>
    </x:row>
    <x:row r="252" ht="18" customHeight="1">
      <x:c r="A252" s="36" t="n">
        <x:v>2972</x:v>
      </x:c>
      <x:c r="B252" s="36" t="str">
        <x:v>normalization-review-passenger-250-v1-rules-20260805T184409855703Z</x:v>
      </x:c>
      <x:c r="C252" s="36" t="n">
        <x:v>46239.78067008102</x:v>
      </x:c>
      <x:c r="D252" s="38" t="str">
        <x:v>"2026-08-05T18:44:09.895308+00:00"</x:v>
      </x:c>
      <x:c r="E252" s="36"/>
      <x:c r="F252" s="36" t="str">
        <x:v>01</x:v>
      </x:c>
      <x:c r="G252" s="36"/>
      <x:c r="H252" s="36" t="str">
        <x:v>TOYOTA AVENSIS</x:v>
      </x:c>
      <x:c r="I252" s="36"/>
      <x:c r="J252" s="36"/>
      <x:c r="K252" s="36"/>
      <x:c r="L252" s="36" t="str">
        <x:v>M1</x:v>
      </x:c>
      <x:c r="M252" s="36"/>
      <x:c r="N252" s="36" t="str">
        <x:v>TO</x:v>
      </x:c>
      <x:c r="O252" s="36" t="str">
        <x:v>1</x:v>
      </x:c>
      <x:c r="P252" s="36" t="str">
        <x:v>0</x:v>
      </x:c>
      <x:c r="Q252" s="36" t="str">
        <x:v>0</x:v>
      </x:c>
      <x:c r="R252" s="36"/>
      <x:c r="S252" s="36" t="str">
        <x:v>M</x:v>
      </x:c>
      <x:c r="T252" s="36" t="str">
        <x:v>132520</x:v>
      </x:c>
      <x:c r="U252" s="36" t="str">
        <x:v>0</x:v>
      </x:c>
      <x:c r="V252" s="36" t="n">
        <x:v>94</x:v>
      </x:c>
      <x:c r="W252" s="36"/>
      <x:c r="X252" s="36"/>
      <x:c r="Y252" s="36"/>
      <x:c r="Z252" s="36" t="n">
        <x:v>1998</x:v>
      </x:c>
      <x:c r="AA252" s="36" t="str">
        <x:v>TEST-2972</x:v>
      </x:c>
      <x:c r="AB252" s="36" t="str">
        <x:v>19980930</x:v>
      </x:c>
      <x:c r="AC252" s="36"/>
      <x:c r="AD252" s="36" t="str">
        <x:v>ST220(LS)</x:v>
      </x:c>
      <x:c r="AE252" s="36" t="str">
        <x:v>I</x:v>
      </x:c>
      <x:c r="AF252" s="36" t="str">
        <x:v>PB</x:v>
      </x:c>
      <x:c r="AG252" s="36" t="n">
        <x:v>1998</x:v>
      </x:c>
      <x:c r="AH252" s="36" t="str">
        <x:v>ST220L-ALMEKW(1</x:v>
      </x:c>
      <x:c r="AI252" s="36" t="str">
        <x:v>64S00000000002972</x:v>
      </x:c>
      <x:c r="AJ252" s="38" t="str">
        <x:v>{"kw":94,"vin":"64S00000000002972","brand":"TOYOTA AVENSIS","fuel1":"1","fuel2":"0","fuel3":"0","plate":"TEST-2972","is_4wd":"0","gearbox":"M","variant":"ST220(LS)","version":"ST220L-ALMEKW(1","fab_code":"TO","group_no":"132520","body_code":"01","model_year":1998,"eu_category":"M1","vehicle_type":"PB","vehicle_year":1998,"vehicle_class":"I","registration_date":"19980930"}</x:v>
      </x:c>
    </x:row>
    <x:row r="253" ht="18" customHeight="1">
      <x:c r="A253" s="36" t="n">
        <x:v>2973</x:v>
      </x:c>
      <x:c r="B253" s="36" t="str">
        <x:v>normalization-review-passenger-250-v1-rules-20260805T184409855703Z</x:v>
      </x:c>
      <x:c r="C253" s="36" t="n">
        <x:v>46239.78067008102</x:v>
      </x:c>
      <x:c r="D253" s="38" t="str">
        <x:v>"2026-08-05T18:44:09.895308+00:00"</x:v>
      </x:c>
      <x:c r="E253" s="36"/>
      <x:c r="F253" s="36" t="str">
        <x:v>AA</x:v>
      </x:c>
      <x:c r="G253" s="36"/>
      <x:c r="H253" s="36" t="str">
        <x:v>BMW</x:v>
      </x:c>
      <x:c r="I253" s="36"/>
      <x:c r="J253" s="36" t="str">
        <x:v>201507</x:v>
      </x:c>
      <x:c r="K253" s="36" t="n">
        <x:v>1995</x:v>
      </x:c>
      <x:c r="L253" s="36" t="str">
        <x:v>M1</x:v>
      </x:c>
      <x:c r="M253" s="36"/>
      <x:c r="N253" s="36" t="str">
        <x:v>BW</x:v>
      </x:c>
      <x:c r="O253" s="36" t="str">
        <x:v>2</x:v>
      </x:c>
      <x:c r="P253" s="36" t="str">
        <x:v>0</x:v>
      </x:c>
      <x:c r="Q253" s="36" t="str">
        <x:v>0</x:v>
      </x:c>
      <x:c r="R253" s="36"/>
      <x:c r="S253" s="36" t="str">
        <x:v>A</x:v>
      </x:c>
      <x:c r="T253" s="36" t="str">
        <x:v>230161</x:v>
      </x:c>
      <x:c r="U253" s="36" t="str">
        <x:v>1</x:v>
      </x:c>
      <x:c r="V253" s="36" t="n">
        <x:v>140</x:v>
      </x:c>
      <x:c r="W253" s="36"/>
      <x:c r="X253" s="36" t="str">
        <x:v>320D XDRIVE</x:v>
      </x:c>
      <x:c r="Y253" s="36"/>
      <x:c r="Z253" s="36"/>
      <x:c r="AA253" s="36" t="str">
        <x:v>TEST-2973</x:v>
      </x:c>
      <x:c r="AB253" s="36" t="str">
        <x:v>20151023</x:v>
      </x:c>
      <x:c r="AC253" s="36" t="str">
        <x:v>3L</x:v>
      </x:c>
      <x:c r="AD253" s="36" t="str">
        <x:v>8C91</x:v>
      </x:c>
      <x:c r="AE253" s="36" t="str">
        <x:v>I</x:v>
      </x:c>
      <x:c r="AF253" s="36" t="str">
        <x:v>PB</x:v>
      </x:c>
      <x:c r="AG253" s="36" t="n">
        <x:v>2015</x:v>
      </x:c>
      <x:c r="AH253" s="36" t="str">
        <x:v>6A350700</x:v>
      </x:c>
      <x:c r="AI253" s="36" t="str">
        <x:v>WBA00000000002973</x:v>
      </x:c>
      <x:c r="AJ253" s="38" t="str">
        <x:v>{"kw":140,"ccm":1995,"vin":"WBA00000000002973","brand":"BMW","fuel1":"2","fuel2":"0","fuel3":"0","model":"320D XDRIVE","plate":"TEST-2973","is_4wd":"1","gearbox":"A","variant":"8C91","version":"6A350700","fab_code":"BW","group_no":"230161","body_code":"AA","type_text":"3L","build_month":"201507","eu_category":"M1","vehicle_type":"PB","vehicle_year":2015,"vehicle_class":"I","registration_date":"20151023"}</x:v>
      </x:c>
    </x:row>
    <x:row r="254" ht="18" customHeight="1">
      <x:c r="A254" s="36" t="n">
        <x:v>2974</x:v>
      </x:c>
      <x:c r="B254" s="36" t="str">
        <x:v>normalization-review-passenger-250-v1-rules-20260805T184409855703Z</x:v>
      </x:c>
      <x:c r="C254" s="36" t="n">
        <x:v>46239.78067008102</x:v>
      </x:c>
      <x:c r="D254" s="38" t="str">
        <x:v>"2026-08-05T18:44:09.895308+00:00"</x:v>
      </x:c>
      <x:c r="E254" s="36"/>
      <x:c r="F254" s="36" t="str">
        <x:v>01</x:v>
      </x:c>
      <x:c r="G254" s="36"/>
      <x:c r="H254" s="36" t="str">
        <x:v>PONTIAC</x:v>
      </x:c>
      <x:c r="I254" s="36"/>
      <x:c r="J254" s="36"/>
      <x:c r="K254" s="36"/>
      <x:c r="L254" s="36" t="str">
        <x:v>M1</x:v>
      </x:c>
      <x:c r="M254" s="36"/>
      <x:c r="N254" s="36" t="str">
        <x:v>PO</x:v>
      </x:c>
      <x:c r="O254" s="36" t="str">
        <x:v>1</x:v>
      </x:c>
      <x:c r="P254" s="36" t="str">
        <x:v>0</x:v>
      </x:c>
      <x:c r="Q254" s="36" t="str">
        <x:v>0</x:v>
      </x:c>
      <x:c r="R254" s="36"/>
      <x:c r="S254" s="36" t="str">
        <x:v>M</x:v>
      </x:c>
      <x:c r="T254" s="36"/>
      <x:c r="U254" s="36" t="str">
        <x:v>0</x:v>
      </x:c>
      <x:c r="V254" s="36" t="n">
        <x:v>32</x:v>
      </x:c>
      <x:c r="W254" s="36"/>
      <x:c r="X254" s="36"/>
      <x:c r="Y254" s="36"/>
      <x:c r="Z254" s="36" t="n">
        <x:v>1928</x:v>
      </x:c>
      <x:c r="AA254" s="36" t="str">
        <x:v>TEST-2974</x:v>
      </x:c>
      <x:c r="AB254" s="36" t="str">
        <x:v>19280101</x:v>
      </x:c>
      <x:c r="AC254" s="36"/>
      <x:c r="AD254" s="36"/>
      <x:c r="AE254" s="36" t="str">
        <x:v>I</x:v>
      </x:c>
      <x:c r="AF254" s="36" t="str">
        <x:v>PB</x:v>
      </x:c>
      <x:c r="AG254" s="36" t="n">
        <x:v>1928</x:v>
      </x:c>
      <x:c r="AH254" s="36"/>
      <x:c r="AI254" s="36" t="str">
        <x:v>10800000000002974</x:v>
      </x:c>
      <x:c r="AJ254" s="38" t="str">
        <x:v>{"kw":32,"vin":"10800000000002974","brand":"PONTIAC","fuel1":"1","fuel2":"0","fuel3":"0","plate":"TEST-2974","is_4wd":"0","gearbox":"M","fab_code":"PO","body_code":"01","model_year":1928,"eu_category":"M1","vehicle_type":"PB","vehicle_year":1928,"vehicle_class":"I","registration_date":"19280101"}</x:v>
      </x:c>
    </x:row>
  </x:sheetData>
  <x:mergeCells>
    <x:mergeCell ref="A1:AJ1"/>
    <x:mergeCell ref="A2:AJ2"/>
  </x:mergeCells>
  <x:pageMargins left="0.7" right="0.7" top="0.75" bottom="0.75" header="0.3" footer="0.3"/>
  <x:tableParts count="1">
    <x:tablePart xmlns:r="http://schemas.openxmlformats.org/officeDocument/2006/relationships" r:id="R0d923cb733cb41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48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2" hidden="0" customWidth="1"/>
    <x:col min="12" max="12" width="20" hidden="0" customWidth="1"/>
    <x:col min="13" max="13" width="22" hidden="0" customWidth="1"/>
    <x:col min="14" max="14" width="18" hidden="0" customWidth="1"/>
    <x:col min="15" max="15" width="55" hidden="0" customWidth="1"/>
    <x:col min="16" max="16" width="18" hidden="0" customWidth="1"/>
    <x:col min="17" max="17" width="18" hidden="0" customWidth="1"/>
    <x:col min="18" max="18" width="55" hidden="0" customWidth="1"/>
    <x:col min="19" max="19" width="55" hidden="0" customWidth="1"/>
    <x:col min="20" max="20" width="55" hidden="0" customWidth="1"/>
    <x:col min="21" max="21" width="55" hidden="0" customWidth="1"/>
    <x:col min="22" max="22" width="55" hidden="0" customWidth="1"/>
    <x:col min="23" max="23" width="65" hidden="0" customWidth="1"/>
    <x:col min="24" max="24" width="55" hidden="0" customWidth="1"/>
    <x:col min="25" max="25" width="75" hidden="0" customWidth="1"/>
    <x:col min="26" max="26" width="18" hidden="0" customWidth="1"/>
    <x:col min="27" max="27" width="18" hidden="0" customWidth="1"/>
  </x:cols>
  <x:sheetData>
    <x:row r="1" ht="34" customHeight="1">
      <x:c r="A1" s="28" t="str">
        <x:v>Expected normalized vehicle results</x:v>
      </x:c>
    </x:row>
    <x:row r="2" ht="34" customHeight="1">
      <x:c r="A2" s="31" t="str">
        <x:v>Target/reference: core.normalization_results. Use source_record_id to join to TS Raw Records.staging_id. JSON columns preserve the full output and provenance.</x:v>
      </x:c>
    </x:row>
    <x:row r="4" ht="30" customHeight="1">
      <x:c r="A4" s="34" t="str">
        <x:v>result_id</x:v>
      </x:c>
      <x:c r="B4" s="34" t="str">
        <x:v>normalization_id</x:v>
      </x:c>
      <x:c r="C4" s="34" t="str">
        <x:v>source_system</x:v>
      </x:c>
      <x:c r="D4" s="34" t="str">
        <x:v>source_batch_id</x:v>
      </x:c>
      <x:c r="E4" s="34" t="str">
        <x:v>source_table</x:v>
      </x:c>
      <x:c r="F4" s="34" t="str">
        <x:v>source_record_id</x:v>
      </x:c>
      <x:c r="G4" s="34" t="str">
        <x:v>mapping_version</x:v>
      </x:c>
      <x:c r="H4" s="34" t="str">
        <x:v>rule_version</x:v>
      </x:c>
      <x:c r="I4" s="34" t="str">
        <x:v>pipeline_version</x:v>
      </x:c>
      <x:c r="J4" s="34" t="str">
        <x:v>status</x:v>
      </x:c>
      <x:c r="K4" s="34" t="str">
        <x:v>confidence</x:v>
      </x:c>
      <x:c r="L4" s="34" t="str">
        <x:v>manufacturer</x:v>
      </x:c>
      <x:c r="M4" s="34" t="str">
        <x:v>model_family</x:v>
      </x:c>
      <x:c r="N4" s="34" t="str">
        <x:v>bodywork_form</x:v>
      </x:c>
      <x:c r="O4" s="34" t="str">
        <x:v>energy_sources</x:v>
      </x:c>
      <x:c r="P4" s="34" t="str">
        <x:v>transmission_type</x:v>
      </x:c>
      <x:c r="Q4" s="34" t="str">
        <x:v>production_year</x:v>
      </x:c>
      <x:c r="R4" s="34" t="str">
        <x:v>applied_rule_ids</x:v>
      </x:c>
      <x:c r="S4" s="34" t="str">
        <x:v>candidate_rule_ids</x:v>
      </x:c>
      <x:c r="T4" s="34" t="str">
        <x:v>review_reasons</x:v>
      </x:c>
      <x:c r="U4" s="34" t="str">
        <x:v>normalized_json</x:v>
      </x:c>
      <x:c r="V4" s="34" t="str">
        <x:v>candidates_json</x:v>
      </x:c>
      <x:c r="W4" s="34" t="str">
        <x:v>decision_trace_json</x:v>
      </x:c>
      <x:c r="X4" s="34" t="str">
        <x:v>rule_matches_json</x:v>
      </x:c>
      <x:c r="Y4" s="34" t="str">
        <x:v>normalized_payload_json</x:v>
      </x:c>
      <x:c r="Z4" s="34" t="str">
        <x:v>created_at</x:v>
      </x:c>
      <x:c r="AA4" s="34" t="str">
        <x:v>updated_at</x:v>
      </x:c>
    </x:row>
    <x:row r="5" ht="18" customHeight="1">
      <x:c r="A5" s="36" t="n">
        <x:v>2607</x:v>
      </x:c>
      <x:c r="B5" s="36" t="str">
        <x:v>92c83d59-9731-5933-be6d-5593a6fdc597</x:v>
      </x:c>
      <x:c r="C5" s="36" t="str">
        <x:v>Transportstyrelsen</x:v>
      </x:c>
      <x:c r="D5" s="36" t="str">
        <x:v>normalization-review-passenger-250-v1-rules-20260805T184409855703Z</x:v>
      </x:c>
      <x:c r="E5" s="36" t="str">
        <x:v>staging.transportstyrelsen_raw</x:v>
      </x:c>
      <x:c r="F5" s="36" t="n">
        <x:v>2725</x:v>
      </x:c>
      <x:c r="G5" s="36" t="str">
        <x:v>ts-mapping-v1</x:v>
      </x:c>
      <x:c r="H5" s="36" t="str">
        <x:v>ts-review-20260805T184254528647Z</x:v>
      </x:c>
      <x:c r="I5" s="36" t="str">
        <x:v>normalization-pipeline-v4</x:v>
      </x:c>
      <x:c r="J5" s="36" t="str">
        <x:v>provisional</x:v>
      </x:c>
      <x:c r="K5" s="39" t="n">
        <x:v>0.8</x:v>
      </x:c>
      <x:c r="L5" s="36" t="str">
        <x:v>Kia</x:v>
      </x:c>
      <x:c r="M5" s="36" t="str">
        <x:v>NIRO</x:v>
      </x:c>
      <x:c r="N5" s="36" t="str">
        <x:v>estate</x:v>
      </x:c>
      <x:c r="O5" s="38" t="str">
        <x:v>["electricity"]</x:v>
      </x:c>
      <x:c r="P5" s="36" t="str">
        <x:v>automatic</x:v>
      </x:c>
      <x:c r="Q5" s="36" t="n">
        <x:v>2019</x:v>
      </x:c>
      <x:c r="R5" s="38" t="str">
        <x:v>["MFR-102","DATE-REGISTRATION-V1","DATE-PRODUCTION-MONTH-V1","TRN-002","BDY-110","FUEL-003","ELEC-001"]</x:v>
      </x:c>
      <x:c r="S5" s="38" t="str">
        <x:v>[]</x:v>
      </x:c>
      <x:c r="T5" s="38" t="str">
        <x:v>[]</x:v>
      </x:c>
      <x:c r="U5" s="38" t="str">
        <x:v>{"market":["SE"],"manufacturer":"Kia","bodywork_form":"estate","energy_sources":["electricity"],"production_date":"2019-08","production_year":2019,"manufacturer_role":"vehicle_manufacturer","registration_date":"2020-01-30","transmission_type":"automatic","alias_types_present":["plate","vin","model_name"],"electrification_type":"battery_electric","model_family_candidate":true,"builder_converter_names":[],"production_date_precision":"month","bodywork_registry_label_sv":"Stationsvagn (kombivagn)"}</x:v>
      </x:c>
      <x:c r="V5" s="38" t="str">
        <x:v>{"model_family":"NIRO"}</x:v>
      </x:c>
      <x:c r="W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-08","field":"production_date","before":{"build_month":"201908","vehicle_year":2019,"registration_date":"20200130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20200130"},"target":"normalized","rule_ids":["DATE-REGISTRATION-V1","DATE-PRODUCTION-MONTH-V1"],"sequence":9,"transformer_id":"ts.dates","confidence_effect":0.1},{"after":2019,"field":"production_year","before":{"build_month":"201908","vehicle_year":2019,"registration_date":"20200130"},"target":"normalized","rule_ids":["DATE-REGISTRATION-V1","DATE-PRODUCTION-MONTH-V1"],"sequence":10,"transformer_id":"ts.dates","confidence_effect":0.1},{"after":"2020-01-30","field":"registration_date","before":{"build_month":"201908","vehicle_year":2019,"registration_date":"20200130"},"target":"normalized","rule_ids":["DATE-REGISTRATION-V1","DATE-PRODUCTION-MONTH-V1"],"sequence":11,"transformer_id":"ts.dates","confidence_effect":0.1},{"after":"automatic","field":"transmission_type","before":{"model":"NIRO","gearbox":"A","variant":"C5E11","version":"E11DZ1"},"target":"normalized","rule_ids":["TRN-002"],"sequence":12,"transformer_id":"ts.transmission","confidence_effect":0.1},{"after":"estate","field":"bodywork_form","before":{"model":"NIRO","variant":"C5E11","version":"E11DZ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Z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Z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Z1","ev_config":"EL"},"target":"normalized","rule_ids":["FUEL-003","ELEC-001"],"sequence":16,"transformer_id":"ts.fuel","confidence_effect":0.0}]</x:v>
      </x:c>
      <x:c r="X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" s="38" t="str">
        <x:v>{"candidates":{"model_family":"NIRO"},"confidence":0.8,"normalized":{"market":["SE"],"manufacturer":"Kia","bodywork_form":"estate","energy_sources":["electricity"],"production_date":"2019-08","production_year":2019,"manufacturer_role":"vehicle_manufacturer","registration_date":"2020-01-30","transmission_type":"automatic","alias_types_present":["plate","vin","model_name"],"electrification_type":"battery_electric","model_family_candidate":true,"builder_converter_names":[]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-08","field":"production_date","before":{"build_month":"201908","vehicle_year":2019,"registration_date":"20200130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20200130"},"target":"normalized","rule_ids":["DATE-REGISTRATION-V1","DATE-PRODUCTION-MONTH-V1"],"sequence":9,"transformer_id":"ts.dates","confidence_effect":0.1},{"after":2019,"field":"production_year","before":{"build_month":"201908","vehicle_year":2019,"registration_date":"20200130"},"target":"normalized","rule_ids":["DATE-REGISTRATION-V1","DATE-PRODUCTION-MONTH-V1"],"sequence":10,"transformer_id":"ts.dates","confidence_effect":0.1},{"after":"2020-01-30","field":"registration_date","before":{"build_month":"201908","vehicle_year":2019,"registration_date":"20200130"},"target":"normalized","rule_ids":["DATE-REGISTRATION-V1","DATE-PRODUCTION-MONTH-V1"],"sequence":11,"transformer_id":"ts.dates","confidence_effect":0.1},{"after":"automatic","field":"transmission_type","before":{"model":"NIRO","gearbox":"A","variant":"C5E11","version":"E11DZ1"},"target":"normalized","rule_ids":["TRN-002"],"sequence":12,"transformer_id":"ts.transmission","confidence_effect":0.1},{"after":"estate","field":"bodywork_form","before":{"model":"NIRO","variant":"C5E11","version":"E11DZ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Z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Z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Z1","ev_config":"EL"},"target":"normalized","rule_ids":["FUEL-003","ELEC-001"],"sequence":16,"transformer_id":"ts.fuel","confidence_effect":0.0}],"pipeline_version":"normalization-pipeline-v4","candidate_rule_ids":[]}</x:v>
      </x:c>
      <x:c r="Z5" s="36" t="n">
        <x:v>46239.78067015046</x:v>
      </x:c>
      <x:c r="AA5" s="36" t="n">
        <x:v>46239.78067015046</x:v>
      </x:c>
    </x:row>
    <x:row r="6" ht="18" customHeight="1">
      <x:c r="A6" s="36" t="n">
        <x:v>2608</x:v>
      </x:c>
      <x:c r="B6" s="36" t="str">
        <x:v>95f71fe9-23b8-5bf5-868c-b0db51eb48c8</x:v>
      </x:c>
      <x:c r="C6" s="36" t="str">
        <x:v>Transportstyrelsen</x:v>
      </x:c>
      <x:c r="D6" s="36" t="str">
        <x:v>normalization-review-passenger-250-v1-rules-20260805T184409855703Z</x:v>
      </x:c>
      <x:c r="E6" s="36" t="str">
        <x:v>staging.transportstyrelsen_raw</x:v>
      </x:c>
      <x:c r="F6" s="36" t="n">
        <x:v>2726</x:v>
      </x:c>
      <x:c r="G6" s="36" t="str">
        <x:v>ts-mapping-v1</x:v>
      </x:c>
      <x:c r="H6" s="36" t="str">
        <x:v>ts-review-20260805T184254528647Z</x:v>
      </x:c>
      <x:c r="I6" s="36" t="str">
        <x:v>normalization-pipeline-v4</x:v>
      </x:c>
      <x:c r="J6" s="36" t="str">
        <x:v>provisional</x:v>
      </x:c>
      <x:c r="K6" s="39" t="n">
        <x:v>0.8</x:v>
      </x:c>
      <x:c r="L6" s="36" t="str">
        <x:v>MINI</x:v>
      </x:c>
      <x:c r="M6" s="36" t="str">
        <x:v>COOPER</x:v>
      </x:c>
      <x:c r="N6" s="36" t="str">
        <x:v>convertible</x:v>
      </x:c>
      <x:c r="O6" s="38" t="str">
        <x:v>["petrol"]</x:v>
      </x:c>
      <x:c r="P6" s="36" t="str">
        <x:v>automatic</x:v>
      </x:c>
      <x:c r="Q6" s="36" t="n">
        <x:v>2023</x:v>
      </x:c>
      <x:c r="R6" s="38" t="str">
        <x:v>["MFR-PARENT-MARKETED","MFR-BRAND-MODEL","MFR-BRAND-VIN-WMI","DATE-REGISTRATION-V1","DATE-PRODUCTION-DAY-V1","UNIT-POWER-KW-V1","UNIT-DISPLACEMENT-CCM-V1","TRN-002","BDY-111","FUEL-001"]</x:v>
      </x:c>
      <x:c r="S6" s="38" t="str">
        <x:v>[]</x:v>
      </x:c>
      <x:c r="T6" s="38" t="str">
        <x:v>[]</x:v>
      </x:c>
      <x:c r="U6" s="38" t="str">
        <x:v>{"market":["SE"],"power_kw":100,"manufacturer":"MINI","bodywork_form":"convertible","energy_sources":["petrol"],"displacement_cc":1499,"production_date":"2023-03-30","production_year":2023,"manufacturer_role":"vehicle_manufacturer","power_source_unit":"kw","registration_date":"2023-05-29","transmission_type":"automatic","alias_types_present":["plate","vin","model_name"],"model_family_candidate":true,"builder_converter_names":[],"displacement_source_unit":"ccm","production_date_precision":"day","bodywork_registry_label_sv":"Cabriolet"}</x:v>
      </x:c>
      <x:c r="V6" s="38" t="str">
        <x:v>{"model_family":"COOPER"}</x:v>
      </x:c>
      <x:c r="W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2023-03-30","field":"production_date","before":{"build_date":"20230330","build_month":"202303","vehicle_year":2023,"registration_date":"20230529"},"target":"normalized","rule_ids":["DATE-REGISTRATION-V1","DATE-PRODUCTION-DAY-V1"],"sequence":8,"transformer_id":"ts.dates","confidence_effect":0.1},{"after":"day","field":"production_date_precision","before":{"build_date":"20230330","build_month":"202303","vehicle_year":2023,"registration_date":"20230529"},"target":"normalized","rule_ids":["DATE-REGISTRATION-V1","DATE-PRODUCTION-DAY-V1"],"sequence":9,"transformer_id":"ts.dates","confidence_effect":0.1},{"after":2023,"field":"production_year","before":{"build_date":"20230330","build_month":"202303","vehicle_year":2023,"registration_date":"20230529"},"target":"normalized","rule_ids":["DATE-REGISTRATION-V1","DATE-PRODUCTION-DAY-V1"],"sequence":10,"transformer_id":"ts.dates","confidence_effect":0.1},{"after":"2023-05-29","field":"registration_date","before":{"build_date":"20230330","build_month":"202303","vehicle_year":2023,"registration_date":"20230529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COOPER","gearbox":"A","variant":"21DL","version":"IAW40000"},"target":"normalized","rule_ids":["TRN-002"],"sequence":16,"transformer_id":"ts.transmission","confidence_effect":0.1},{"after":"convertible","field":"bodywork_form","before":{"model":"COOPER","variant":"21DL","version":"IAW40000","body_code":"AE","eu_category":"M1","vehicle_type":"PB"},"target":"normalized","rule_ids":["BDY-111"],"sequence":17,"transformer_id":"ts.bodywork","confidence_effect":0.1},{"after":"Cabriolet","field":"bodywork_registry_label_sv","before":{"model":"COOPER","variant":"21DL","version":"IAW40000","body_code":"AE","eu_category":"M1","vehicle_type":"PB"},"target":"normalized","rule_ids":["BDY-111"],"sequence":18,"transformer_id":"ts.bodywork","confidence_effect":0.1},{"after":["petrol"],"field":"energy_sources","before":{"fuel1":"1","fuel2":"0","fuel3":"0","model":"COOPER","variant":"21DL","version":"IAW40000"},"target":"normalized","rule_ids":["FUEL-001"],"sequence":19,"transformer_id":"ts.fuel","confidence_effect":0.0}]</x:v>
      </x:c>
      <x:c r="X6" s="38" t="str">
        <x:v>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" s="38" t="str">
        <x:v>{"candidates":{"model_family":"COOPER"},"confidence":0.8,"normalized":{"market":["SE"],"power_kw":100,"manufacturer":"MINI","bodywork_form":"convertible","energy_sources":["petrol"],"displacement_cc":1499,"production_date":"2023-03-30","production_year":2023,"manufacturer_role":"vehicle_manufacturer","power_source_unit":"kw","registration_date":"2023-05-29","transmission_type":"automatic","alias_types_present":["plate","vin","model_name"],"model_family_candidate":true,"builder_converter_names":[],"displacement_source_unit":"ccm","production_date_precision":"day","bodywork_registry_label_sv":"Cabriolet"},"rule_matches":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2023-03-30","field":"production_date","before":{"build_date":"20230330","build_month":"202303","vehicle_year":2023,"registration_date":"20230529"},"target":"normalized","rule_ids":["DATE-REGISTRATION-V1","DATE-PRODUCTION-DAY-V1"],"sequence":8,"transformer_id":"ts.dates","confidence_effect":0.1},{"after":"day","field":"production_date_precision","before":{"build_date":"20230330","build_month":"202303","vehicle_year":2023,"registration_date":"20230529"},"target":"normalized","rule_ids":["DATE-REGISTRATION-V1","DATE-PRODUCTION-DAY-V1"],"sequence":9,"transformer_id":"ts.dates","confidence_effect":0.1},{"after":2023,"field":"production_year","before":{"build_date":"20230330","build_month":"202303","vehicle_year":2023,"registration_date":"20230529"},"target":"normalized","rule_ids":["DATE-REGISTRATION-V1","DATE-PRODUCTION-DAY-V1"],"sequence":10,"transformer_id":"ts.dates","confidence_effect":0.1},{"after":"2023-05-29","field":"registration_date","before":{"build_date":"20230330","build_month":"202303","vehicle_year":2023,"registration_date":"20230529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COOPER","gearbox":"A","variant":"21DL","version":"IAW40000"},"target":"normalized","rule_ids":["TRN-002"],"sequence":16,"transformer_id":"ts.transmission","confidence_effect":0.1},{"after":"convertible","field":"bodywork_form","before":{"model":"COOPER","variant":"21DL","version":"IAW40000","body_code":"AE","eu_category":"M1","vehicle_type":"PB"},"target":"normalized","rule_ids":["BDY-111"],"sequence":17,"transformer_id":"ts.bodywork","confidence_effect":0.1},{"after":"Cabriolet","field":"bodywork_registry_label_sv","before":{"model":"COOPER","variant":"21DL","version":"IAW40000","body_code":"AE","eu_category":"M1","vehicle_type":"PB"},"target":"normalized","rule_ids":["BDY-111"],"sequence":18,"transformer_id":"ts.bodywork","confidence_effect":0.1},{"after":["petrol"],"field":"energy_sources","before":{"fuel1":"1","fuel2":"0","fuel3":"0","model":"COOPER","variant":"21DL","version":"IAW40000"},"target":"normalized","rule_ids":["FUEL-001"],"sequence":19,"transformer_id":"ts.fuel","confidence_effect":0.0}],"pipeline_version":"normalization-pipeline-v4","candidate_rule_ids":[]}</x:v>
      </x:c>
      <x:c r="Z6" s="36" t="n">
        <x:v>46239.78067015046</x:v>
      </x:c>
      <x:c r="AA6" s="36" t="n">
        <x:v>46239.78067015046</x:v>
      </x:c>
    </x:row>
    <x:row r="7" ht="18" customHeight="1">
      <x:c r="A7" s="36" t="n">
        <x:v>2609</x:v>
      </x:c>
      <x:c r="B7" s="36" t="str">
        <x:v>c90ef414-a175-543f-9a72-c5a2787b8670</x:v>
      </x:c>
      <x:c r="C7" s="36" t="str">
        <x:v>Transportstyrelsen</x:v>
      </x:c>
      <x:c r="D7" s="36" t="str">
        <x:v>normalization-review-passenger-250-v1-rules-20260805T184409855703Z</x:v>
      </x:c>
      <x:c r="E7" s="36" t="str">
        <x:v>staging.transportstyrelsen_raw</x:v>
      </x:c>
      <x:c r="F7" s="36" t="n">
        <x:v>2727</x:v>
      </x:c>
      <x:c r="G7" s="36" t="str">
        <x:v>ts-mapping-v1</x:v>
      </x:c>
      <x:c r="H7" s="36" t="str">
        <x:v>ts-review-20260805T184254528647Z</x:v>
      </x:c>
      <x:c r="I7" s="36" t="str">
        <x:v>normalization-pipeline-v4</x:v>
      </x:c>
      <x:c r="J7" s="36" t="str">
        <x:v>provisional</x:v>
      </x:c>
      <x:c r="K7" s="39" t="n">
        <x:v>0.8</x:v>
      </x:c>
      <x:c r="L7" s="36" t="str">
        <x:v>Volvo</x:v>
      </x:c>
      <x:c r="M7" s="36"/>
      <x:c r="N7" s="36" t="str">
        <x:v>covered_body</x:v>
      </x:c>
      <x:c r="O7" s="38" t="str">
        <x:v>["petrol"]</x:v>
      </x:c>
      <x:c r="P7" s="36" t="str">
        <x:v>manual</x:v>
      </x:c>
      <x:c r="Q7" s="36" t="n">
        <x:v>1968</x:v>
      </x:c>
      <x:c r="R7" s="38" t="str">
        <x:v>["DATE-REGISTRATION-V1","DATE-PRODUCTION-YEAR-V1","UNIT-POWER-KW-V1","TRN-001","BDY-102","FUEL-001"]</x:v>
      </x:c>
      <x:c r="S7" s="38" t="str">
        <x:v>["MFR-BRAND-PREFIX-FALLBACK"]</x:v>
      </x:c>
      <x:c r="T7" s="38" t="str">
        <x:v>[]</x:v>
      </x:c>
      <x:c r="U7" s="38" t="str">
        <x:v>{"market":["SE"],"power_kw":55,"manufacturer":"Volvo","bodywork_form":"covered_body","energy_sources":["petrol"],"production_year":1968,"manufacturer_role":"vehicle_manufacturer","power_source_unit":"kw","registration_date":"1968-01-01","transmission_type":"manual","alias_types_present":["plate","vin"],"builder_converter_names":[],"production_date_precision":"model_year","bodywork_registry_label_sv":"Täckt"}</x:v>
      </x:c>
      <x:c r="V7" s="38" t="str">
        <x:v>{"manufacturer_confirmation":{"source_fields":["brand"],"canonical_name":"Volvo"}}</x:v>
      </x:c>
      <x:c r="W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211341 P","target":"normalized","rule_ids":["MFR-CLASSIFY-V1"],"sequence":3,"transformer_id":"ts.manufacturer","confidence_effect":0.2},{"after":"Volvo","field":"manufacturer","before":"VOLVO 211341 P","target":"normalized","rule_ids":["MFR-CLASSIFY-V1"],"sequence":4,"transformer_id":"ts.manufacturer","confidence_effect":0.2},{"after":"vehicle_manufacturer","field":"manufacturer_role","before":"VOLVO 211341 P","target":"normalized","rule_ids":["MFR-CLASSIFY-V1"],"sequence":5,"transformer_id":"ts.manufacturer","confidence_effect":0.2},{"after":{"source_fields":["brand"],"canonical_name":"Volvo"},"field":"manufacturer_confirmation","before":"VOLVO 211341 P","target":"candidate","rule_ids":["MFR-BRAND-PREFIX-FALLBACK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1968-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211341 P","target":"normalized","rule_ids":["MFR-CLASSIFY-V1"],"sequence":3,"transformer_id":"ts.manufacturer","confidence_effect":0.2},{"after":"Volvo","field":"manufacturer","before":"VOLVO 211341 P","target":"normalized","rule_ids":["MFR-CLASSIFY-V1"],"sequence":4,"transformer_id":"ts.manufacturer","confidence_effect":0.2},{"after":"vehicle_manufacturer","field":"manufacturer_role","before":"VOLVO 211341 P","target":"normalized","rule_ids":["MFR-CLASSIFY-V1"],"sequence":5,"transformer_id":"ts.manufacturer","confidence_effect":0.2},{"after":{"source_fields":["brand"],"canonical_name":"Volvo"},"field":"manufacturer_confirmation","before":"VOLVO 211341 P","target":"candidate","rule_ids":["MFR-BRAND-PREFIX-FALLBACK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" s="36" t="n">
        <x:v>46239.78067015046</x:v>
      </x:c>
      <x:c r="AA7" s="36" t="n">
        <x:v>46239.78067015046</x:v>
      </x:c>
    </x:row>
    <x:row r="8" ht="18" customHeight="1">
      <x:c r="A8" s="36" t="n">
        <x:v>2610</x:v>
      </x:c>
      <x:c r="B8" s="36" t="str">
        <x:v>95d3b17b-2f29-5d14-b803-f528d179ea53</x:v>
      </x:c>
      <x:c r="C8" s="36" t="str">
        <x:v>Transportstyrelsen</x:v>
      </x:c>
      <x:c r="D8" s="36" t="str">
        <x:v>normalization-review-passenger-250-v1-rules-20260805T184409855703Z</x:v>
      </x:c>
      <x:c r="E8" s="36" t="str">
        <x:v>staging.transportstyrelsen_raw</x:v>
      </x:c>
      <x:c r="F8" s="36" t="n">
        <x:v>2728</x:v>
      </x:c>
      <x:c r="G8" s="36" t="str">
        <x:v>ts-mapping-v1</x:v>
      </x:c>
      <x:c r="H8" s="36" t="str">
        <x:v>ts-review-20260805T184254528647Z</x:v>
      </x:c>
      <x:c r="I8" s="36" t="str">
        <x:v>normalization-pipeline-v4</x:v>
      </x:c>
      <x:c r="J8" s="36" t="str">
        <x:v>resolved</x:v>
      </x:c>
      <x:c r="K8" s="39" t="n">
        <x:v>0.95</x:v>
      </x:c>
      <x:c r="L8" s="36" t="str">
        <x:v>Alfa Romeo</x:v>
      </x:c>
      <x:c r="M8" s="36"/>
      <x:c r="N8" s="36"/>
      <x:c r="O8" s="38" t="str">
        <x:v>["petrol"]</x:v>
      </x:c>
      <x:c r="P8" s="36" t="str">
        <x:v>manual</x:v>
      </x:c>
      <x:c r="Q8" s="36" t="n">
        <x:v>1955</x:v>
      </x:c>
      <x:c r="R8" s="38" t="str">
        <x:v>["MFR-BRAND-LEGACY-EXACT","DATE-REGISTRATION-V1","DATE-PRODUCTION-YEAR-V1","UNIT-POWER-KW-V1","TRN-001","FUEL-001"]</x:v>
      </x:c>
      <x:c r="S8" s="38" t="str">
        <x:v>[]</x:v>
      </x:c>
      <x:c r="T8" s="38" t="str">
        <x:v>[]</x:v>
      </x:c>
      <x:c r="U8" s="38" t="str">
        <x:v>{"market":["SE"],"power_kw":50,"manufacturer":"Alfa Romeo","energy_sources":["petrol"],"production_year":1955,"manufacturer_role":"vehicle_manufacturer","power_source_unit":"kw","registration_date":"1955-10-11","transmission_type":"manual","alias_types_present":["plate","vin"],"builder_converter_names":[],"production_date_precision":"model_year"}</x:v>
      </x:c>
      <x:c r="V8" s="38" t="str">
        <x:v>{}</x:v>
      </x:c>
      <x:c r="W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LFA ROMEO GIULIETTA SPR","target":"normalized","rule_ids":["MFR-BRAND-LEGACY-EXACT"],"sequence":3,"transformer_id":"ts.manufacturer","confidence_effect":0.2},{"after":"Alfa Romeo","field":"manufacturer","before":"ALFA ROMEO GIULIETTA SPR","target":"normalized","rule_ids":["MFR-BRAND-LEGACY-EXACT"],"sequence":4,"transformer_id":"ts.manufacturer","confidence_effect":0.2},{"after":"vehicle_manufacturer","field":"manufacturer_role","before":"ALFA ROMEO GIULIETTA SPR","target":"normalized","rule_ids":["MFR-BRAND-LEGACY-EXACT"],"sequence":5,"transformer_id":"ts.manufacturer","confidence_effect":0.2},{"after":"model_year","field":"production_date_precision","before":{"model_year":1955,"vehicle_year":1955,"registration_date":"19551011"},"target":"normalized","rule_ids":["DATE-REGISTRATION-V1","DATE-PRODUCTION-YEAR-V1"],"sequence":6,"transformer_id":"ts.dates","confidence_effect":0.1},{"after":1955,"field":"production_year","before":{"model_year":1955,"vehicle_year":1955,"registration_date":"19551011"},"target":"normalized","rule_ids":["DATE-REGISTRATION-V1","DATE-PRODUCTION-YEAR-V1"],"sequence":7,"transformer_id":"ts.dates","confidence_effect":0.1},{"after":"1955-10-11","field":"registration_date","before":{"model_year":1955,"vehicle_year":1955,"registration_date":"19551011"},"target":"normalized","rule_ids":["DATE-REGISTRATION-V1","DATE-PRODUCTION-YEAR-V1"],"sequence":8,"transformer_id":"ts.dates","confidence_effect":0.1},{"after":50,"field":"power_kw","before":50,"target":"normalized","rule_ids":["UNIT-POWER-KW-V1"],"sequence":9,"transformer_id":"ts.engine-measurements","confidence_effect":0.1},{"after":"kw","field":"power_source_unit","before":50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["petrol"],"field":"energy_sources","before":{"fuel1":"1","fuel2":"0","fuel3":"0"},"target":"normalized","rule_ids":["FUEL-001"],"sequence":12,"transformer_id":"ts.fuel","confidence_effect":0.0}]</x:v>
      </x:c>
      <x:c r="X8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" s="38" t="str">
        <x:v>{"candidates":{},"confidence":0.95,"normalized":{"market":["SE"],"power_kw":50,"manufacturer":"Alfa Romeo","energy_sources":["petrol"],"production_year":1955,"manufacturer_role":"vehicle_manufacturer","power_source_unit":"kw","registration_date":"1955-10-11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LFA ROMEO GIULIETTA SPR","target":"normalized","rule_ids":["MFR-BRAND-LEGACY-EXACT"],"sequence":3,"transformer_id":"ts.manufacturer","confidence_effect":0.2},{"after":"Alfa Romeo","field":"manufacturer","before":"ALFA ROMEO GIULIETTA SPR","target":"normalized","rule_ids":["MFR-BRAND-LEGACY-EXACT"],"sequence":4,"transformer_id":"ts.manufacturer","confidence_effect":0.2},{"after":"vehicle_manufacturer","field":"manufacturer_role","before":"ALFA ROMEO GIULIETTA SPR","target":"normalized","rule_ids":["MFR-BRAND-LEGACY-EXACT"],"sequence":5,"transformer_id":"ts.manufacturer","confidence_effect":0.2},{"after":"model_year","field":"production_date_precision","before":{"model_year":1955,"vehicle_year":1955,"registration_date":"19551011"},"target":"normalized","rule_ids":["DATE-REGISTRATION-V1","DATE-PRODUCTION-YEAR-V1"],"sequence":6,"transformer_id":"ts.dates","confidence_effect":0.1},{"after":1955,"field":"production_year","before":{"model_year":1955,"vehicle_year":1955,"registration_date":"19551011"},"target":"normalized","rule_ids":["DATE-REGISTRATION-V1","DATE-PRODUCTION-YEAR-V1"],"sequence":7,"transformer_id":"ts.dates","confidence_effect":0.1},{"after":"1955-10-11","field":"registration_date","before":{"model_year":1955,"vehicle_year":1955,"registration_date":"19551011"},"target":"normalized","rule_ids":["DATE-REGISTRATION-V1","DATE-PRODUCTION-YEAR-V1"],"sequence":8,"transformer_id":"ts.dates","confidence_effect":0.1},{"after":50,"field":"power_kw","before":50,"target":"normalized","rule_ids":["UNIT-POWER-KW-V1"],"sequence":9,"transformer_id":"ts.engine-measurements","confidence_effect":0.1},{"after":"kw","field":"power_source_unit","before":50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8" s="36" t="n">
        <x:v>46239.78067015046</x:v>
      </x:c>
      <x:c r="AA8" s="36" t="n">
        <x:v>46239.78067015046</x:v>
      </x:c>
    </x:row>
    <x:row r="9" ht="18" customHeight="1">
      <x:c r="A9" s="36" t="n">
        <x:v>2611</x:v>
      </x:c>
      <x:c r="B9" s="36" t="str">
        <x:v>0b8a912a-846c-54c3-9a53-2f0de8a956e1</x:v>
      </x:c>
      <x:c r="C9" s="36" t="str">
        <x:v>Transportstyrelsen</x:v>
      </x:c>
      <x:c r="D9" s="36" t="str">
        <x:v>normalization-review-passenger-250-v1-rules-20260805T184409855703Z</x:v>
      </x:c>
      <x:c r="E9" s="36" t="str">
        <x:v>staging.transportstyrelsen_raw</x:v>
      </x:c>
      <x:c r="F9" s="36" t="n">
        <x:v>2729</x:v>
      </x:c>
      <x:c r="G9" s="36" t="str">
        <x:v>ts-mapping-v1</x:v>
      </x:c>
      <x:c r="H9" s="36" t="str">
        <x:v>ts-review-20260805T184254528647Z</x:v>
      </x:c>
      <x:c r="I9" s="36" t="str">
        <x:v>normalization-pipeline-v4</x:v>
      </x:c>
      <x:c r="J9" s="36" t="str">
        <x:v>provisional</x:v>
      </x:c>
      <x:c r="K9" s="39" t="n">
        <x:v>0.8</x:v>
      </x:c>
      <x:c r="L9" s="36" t="str">
        <x:v>Volvo</x:v>
      </x:c>
      <x:c r="M9" s="36" t="str">
        <x:v>XC70</x:v>
      </x:c>
      <x:c r="N9" s="36" t="str">
        <x:v>estate</x:v>
      </x:c>
      <x:c r="O9" s="38" t="str">
        <x:v>["diesel"]</x:v>
      </x:c>
      <x:c r="P9" s="36" t="str">
        <x:v>automatic</x:v>
      </x:c>
      <x:c r="Q9" s="36" t="n">
        <x:v>2010</x:v>
      </x:c>
      <x:c r="R9" s="38" t="str">
        <x:v>["MFR-BRAND-CONFIRMED","MFR-BRAND-MODEL","MFR-BRAND-VIN-WMI","DATE-REGISTRATION-V1","DATE-PRODUCTION-MONTH-V1","UNIT-POWER-KW-V1","UNIT-DISPLACEMENT-CCM-V1","TRN-002","BDY-110","FUEL-002"]</x:v>
      </x:c>
      <x:c r="S9" s="38" t="str">
        <x:v>["DRV-008"]</x:v>
      </x:c>
      <x:c r="T9" s="38" t="str">
        <x:v>[]</x:v>
      </x:c>
      <x:c r="U9" s="38" t="str">
        <x:v>{"market":["SE"],"power_kw":120,"manufacturer":"Volvo","bodywork_form":"estate","energy_sources":["diesel"],"displacement_cc":2400,"production_date":"2010-03","production_year":2010,"manufacturer_role":"vehicle_manufacturer","power_source_unit":"kw","registration_date":"2010-04-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" s="38" t="str">
        <x:v>{"drive_type":"awd","model_family":"XC70"}</x:v>
      </x:c>
      <x:c r="W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2010-03","field":"production_date","before":{"build_month":"201003","vehicle_year":2010,"registration_date":"20100401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20100401"},"target":"normalized","rule_ids":["DATE-REGISTRATION-V1","DATE-PRODUCTION-MONTH-V1"],"sequence":9,"transformer_id":"ts.dates","confidence_effect":0.1},{"after":2010,"field":"production_year","before":{"build_month":"201003","vehicle_year":2010,"registration_date":"20100401"},"target":"normalized","rule_ids":["DATE-REGISTRATION-V1","DATE-PRODUCTION-MONTH-V1"],"sequence":10,"transformer_id":"ts.dates","confidence_effect":0.1},{"after":"2010-04-01","field":"registration_date","before":{"build_month":"201003","vehicle_year":2010,"registration_date":"20100401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80","version":"BZ8046??"},"target":"normalized","rule_ids":["TRN-002"],"sequence":16,"transformer_id":"ts.transmission","confidence_effect":0.1},{"after":"estate","field":"bodywork_form","before":{"model":"XC70","variant":"BZ80","version":"BZ8046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80","version":"BZ8046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80","version":"BZ8046??"},"target":"normalized","rule_ids":["FUEL-002"],"sequence":20,"transformer_id":"ts.fuel","confidence_effect":0.0}]</x:v>
      </x:c>
      <x:c r="X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" s="38" t="str">
        <x:v>{"candidates":{"drive_type":"awd","model_family":"XC70"},"confidence":0.8,"normalized":{"market":["SE"],"power_kw":120,"manufacturer":"Volvo","bodywork_form":"estate","energy_sources":["diesel"],"displacement_cc":2400,"production_date":"2010-03","production_year":2010,"manufacturer_role":"vehicle_manufacturer","power_source_unit":"kw","registration_date":"2010-04-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2010-03","field":"production_date","before":{"build_month":"201003","vehicle_year":2010,"registration_date":"20100401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20100401"},"target":"normalized","rule_ids":["DATE-REGISTRATION-V1","DATE-PRODUCTION-MONTH-V1"],"sequence":9,"transformer_id":"ts.dates","confidence_effect":0.1},{"after":2010,"field":"production_year","before":{"build_month":"201003","vehicle_year":2010,"registration_date":"20100401"},"target":"normalized","rule_ids":["DATE-REGISTRATION-V1","DATE-PRODUCTION-MONTH-V1"],"sequence":10,"transformer_id":"ts.dates","confidence_effect":0.1},{"after":"2010-04-01","field":"registration_date","before":{"build_month":"201003","vehicle_year":2010,"registration_date":"20100401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80","version":"BZ8046??"},"target":"normalized","rule_ids":["TRN-002"],"sequence":16,"transformer_id":"ts.transmission","confidence_effect":0.1},{"after":"estate","field":"bodywork_form","before":{"model":"XC70","variant":"BZ80","version":"BZ8046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80","version":"BZ8046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80","version":"BZ8046??"},"target":"normalized","rule_ids":["FUEL-002"],"sequence":20,"transformer_id":"ts.fuel","confidence_effect":0.0}],"pipeline_version":"normalization-pipeline-v4","candidate_rule_ids":["DRV-008"]}</x:v>
      </x:c>
      <x:c r="Z9" s="36" t="n">
        <x:v>46239.78067015046</x:v>
      </x:c>
      <x:c r="AA9" s="36" t="n">
        <x:v>46239.78067015046</x:v>
      </x:c>
    </x:row>
    <x:row r="10" ht="18" customHeight="1">
      <x:c r="A10" s="36" t="n">
        <x:v>2612</x:v>
      </x:c>
      <x:c r="B10" s="36" t="str">
        <x:v>f407b7c2-6752-5ef1-b53f-1637d07033b1</x:v>
      </x:c>
      <x:c r="C10" s="36" t="str">
        <x:v>Transportstyrelsen</x:v>
      </x:c>
      <x:c r="D10" s="36" t="str">
        <x:v>normalization-review-passenger-250-v1-rules-20260805T184409855703Z</x:v>
      </x:c>
      <x:c r="E10" s="36" t="str">
        <x:v>staging.transportstyrelsen_raw</x:v>
      </x:c>
      <x:c r="F10" s="36" t="n">
        <x:v>2730</x:v>
      </x:c>
      <x:c r="G10" s="36" t="str">
        <x:v>ts-mapping-v1</x:v>
      </x:c>
      <x:c r="H10" s="36" t="str">
        <x:v>ts-review-20260805T184254528647Z</x:v>
      </x:c>
      <x:c r="I10" s="36" t="str">
        <x:v>normalization-pipeline-v4</x:v>
      </x:c>
      <x:c r="J10" s="36" t="str">
        <x:v>resolved</x:v>
      </x:c>
      <x:c r="K10" s="39" t="n">
        <x:v>0.95</x:v>
      </x:c>
      <x:c r="L10" s="36" t="str">
        <x:v>Saab</x:v>
      </x:c>
      <x:c r="M10" s="36"/>
      <x:c r="N10" s="36" t="str">
        <x:v>covered_body</x:v>
      </x:c>
      <x:c r="O10" s="38" t="str">
        <x:v>["petrol"]</x:v>
      </x:c>
      <x:c r="P10" s="36" t="str">
        <x:v>manual</x:v>
      </x:c>
      <x:c r="Q10" s="36" t="n">
        <x:v>1965</x:v>
      </x:c>
      <x:c r="R10" s="38" t="str">
        <x:v>["MFE-CC8089323A8D5F","MFR-BRAND-REVIEWED-EXAMPLE","DATE-REGISTRATION-V1","DATE-PRODUCTION-YEAR-V1","UNIT-POWER-KW-V1","TRN-001","BDY-102","FUEL-001"]</x:v>
      </x:c>
      <x:c r="S10" s="38" t="str">
        <x:v>[]</x:v>
      </x:c>
      <x:c r="T10" s="38" t="str">
        <x:v>[]</x:v>
      </x:c>
      <x:c r="U10" s="38" t="str">
        <x:v>{"market":["SE"],"power_kw":40,"manufacturer":"Saab","bodywork_form":"covered_body","energy_sources":["petrol"],"production_year":1965,"manufacturer_role":"vehicle_manufacturer","power_source_unit":"kw","registration_date":"1964-12-11","transmission_type":"manual","alias_types_present":["plate","vin"],"builder_converter_names":[],"production_date_precision":"model_year","bodywork_registry_label_sv":"Täckt"}</x:v>
      </x:c>
      <x:c r="V10" s="38" t="str">
        <x:v>{}</x:v>
      </x:c>
      <x:c r="W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SPORT","target":"normalized","rule_ids":["MFE-CC8089323A8D5F","MFR-BRAND-REVIEWED-EXAMPLE"],"sequence":3,"transformer_id":"ts.manufacturer","confidence_effect":0.2},{"after":"Saab","field":"manufacturer","before":"SAAB SPORT","target":"normalized","rule_ids":["MFE-CC8089323A8D5F","MFR-BRAND-REVIEWED-EXAMPLE"],"sequence":4,"transformer_id":"ts.manufacturer","confidence_effect":0.2},{"after":"vehicle_manufacturer","field":"manufacturer_role","before":"SAAB SPORT","target":"normalized","rule_ids":["MFE-CC8089323A8D5F","MFR-BRAND-REVIEWED-EXAMPLE"],"sequence":5,"transformer_id":"ts.manufacturer","confidence_effect":0.2},{"after":"model_year","field":"production_date_precision","before":{"model_year":1965,"vehicle_year":1965,"registration_date":"19641211"},"target":"normalized","rule_ids":["DATE-REGISTRATION-V1","DATE-PRODUCTION-YEAR-V1"],"sequence":6,"transformer_id":"ts.dates","confidence_effect":0.1},{"after":1965,"field":"production_year","before":{"model_year":1965,"vehicle_year":1965,"registration_date":"19641211"},"target":"normalized","rule_ids":["DATE-REGISTRATION-V1","DATE-PRODUCTION-YEAR-V1"],"sequence":7,"transformer_id":"ts.dates","confidence_effect":0.1},{"after":"1964-12-11","field":"registration_date","before":{"model_year":1965,"vehicle_year":1965,"registration_date":"19641211"},"target":"normalized","rule_ids":["DATE-REGISTRATION-V1","DATE-PRODUCTION-YEAR-V1"],"sequence":8,"transformer_id":"ts.dates","confidence_effect":0.1},{"after":40,"field":"power_kw","before":40,"target":"normalized","rule_ids":["UNIT-POWER-KW-V1"],"sequence":9,"transformer_id":"ts.engine-measurements","confidence_effect":0.1},{"after":"kw","field":"power_source_unit","before":40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" s="38" t="str">
        <x:v>{"candidates":{},"confidence":0.95,"normalized":{"market":["SE"],"power_kw":40,"manufacturer":"Saab","bodywork_form":"covered_body","energy_sources":["petrol"],"production_year":1965,"manufacturer_role":"vehicle_manufacturer","power_source_unit":"kw","registration_date":"1964-12-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SPORT","target":"normalized","rule_ids":["MFE-CC8089323A8D5F","MFR-BRAND-REVIEWED-EXAMPLE"],"sequence":3,"transformer_id":"ts.manufacturer","confidence_effect":0.2},{"after":"Saab","field":"manufacturer","before":"SAAB SPORT","target":"normalized","rule_ids":["MFE-CC8089323A8D5F","MFR-BRAND-REVIEWED-EXAMPLE"],"sequence":4,"transformer_id":"ts.manufacturer","confidence_effect":0.2},{"after":"vehicle_manufacturer","field":"manufacturer_role","before":"SAAB SPORT","target":"normalized","rule_ids":["MFE-CC8089323A8D5F","MFR-BRAND-REVIEWED-EXAMPLE"],"sequence":5,"transformer_id":"ts.manufacturer","confidence_effect":0.2},{"after":"model_year","field":"production_date_precision","before":{"model_year":1965,"vehicle_year":1965,"registration_date":"19641211"},"target":"normalized","rule_ids":["DATE-REGISTRATION-V1","DATE-PRODUCTION-YEAR-V1"],"sequence":6,"transformer_id":"ts.dates","confidence_effect":0.1},{"after":1965,"field":"production_year","before":{"model_year":1965,"vehicle_year":1965,"registration_date":"19641211"},"target":"normalized","rule_ids":["DATE-REGISTRATION-V1","DATE-PRODUCTION-YEAR-V1"],"sequence":7,"transformer_id":"ts.dates","confidence_effect":0.1},{"after":"1964-12-11","field":"registration_date","before":{"model_year":1965,"vehicle_year":1965,"registration_date":"19641211"},"target":"normalized","rule_ids":["DATE-REGISTRATION-V1","DATE-PRODUCTION-YEAR-V1"],"sequence":8,"transformer_id":"ts.dates","confidence_effect":0.1},{"after":40,"field":"power_kw","before":40,"target":"normalized","rule_ids":["UNIT-POWER-KW-V1"],"sequence":9,"transformer_id":"ts.engine-measurements","confidence_effect":0.1},{"after":"kw","field":"power_source_unit","before":40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0" s="36" t="n">
        <x:v>46239.78067015046</x:v>
      </x:c>
      <x:c r="AA10" s="36" t="n">
        <x:v>46239.78067015046</x:v>
      </x:c>
    </x:row>
    <x:row r="11" ht="18" customHeight="1">
      <x:c r="A11" s="36" t="n">
        <x:v>2613</x:v>
      </x:c>
      <x:c r="B11" s="36" t="str">
        <x:v>dbdeacd7-89c2-5a19-9b12-89651bf2c4fa</x:v>
      </x:c>
      <x:c r="C11" s="36" t="str">
        <x:v>Transportstyrelsen</x:v>
      </x:c>
      <x:c r="D11" s="36" t="str">
        <x:v>normalization-review-passenger-250-v1-rules-20260805T184409855703Z</x:v>
      </x:c>
      <x:c r="E11" s="36" t="str">
        <x:v>staging.transportstyrelsen_raw</x:v>
      </x:c>
      <x:c r="F11" s="36" t="n">
        <x:v>2731</x:v>
      </x:c>
      <x:c r="G11" s="36" t="str">
        <x:v>ts-mapping-v1</x:v>
      </x:c>
      <x:c r="H11" s="36" t="str">
        <x:v>ts-review-20260805T184254528647Z</x:v>
      </x:c>
      <x:c r="I11" s="36" t="str">
        <x:v>normalization-pipeline-v4</x:v>
      </x:c>
      <x:c r="J11" s="36" t="str">
        <x:v>provisional</x:v>
      </x:c>
      <x:c r="K11" s="39" t="n">
        <x:v>0.8</x:v>
      </x:c>
      <x:c r="L11" s="36" t="str">
        <x:v>Opel</x:v>
      </x:c>
      <x:c r="M11" s="36"/>
      <x:c r="N11" s="36" t="str">
        <x:v>covered_body</x:v>
      </x:c>
      <x:c r="O11" s="38" t="str">
        <x:v>["petrol"]</x:v>
      </x:c>
      <x:c r="P11" s="36" t="str">
        <x:v>manual</x:v>
      </x:c>
      <x:c r="Q11" s="36" t="n">
        <x:v>1999</x:v>
      </x:c>
      <x:c r="R11" s="38" t="str">
        <x:v>["DATE-REGISTRATION-V1","DATE-PRODUCTION-YEAR-V1","UNIT-POWER-KW-V1","TRN-001","BDY-102","FUEL-001"]</x:v>
      </x:c>
      <x:c r="S11" s="38" t="str">
        <x:v>["MFR-BRAND-PREFIX-FALLBACK"]</x:v>
      </x:c>
      <x:c r="T11" s="38" t="str">
        <x:v>[]</x:v>
      </x:c>
      <x:c r="U11" s="38" t="str">
        <x:v>{"market":["SE"],"power_kw":74,"manufacturer":"Opel","bodywork_form":"covered_body","energy_sources":["petrol"],"production_year":1999,"manufacturer_role":"vehicle_manufacturer","power_source_unit":"kw","registration_date":"1998-12-11","transmission_type":"manual","alias_types_present":["plate","vin"],"builder_converter_names":[],"production_date_precision":"model_year","bodywork_registry_label_sv":"Täckt"}</x:v>
      </x:c>
      <x:c r="V11" s="38" t="str">
        <x:v>{"manufacturer_confirmation":{"source_fields":["brand"],"canonical_name":"Opel"}}</x:v>
      </x:c>
      <x:c r="W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5D CLUB","target":"normalized","rule_ids":["MFR-CLASSIFY-V1"],"sequence":3,"transformer_id":"ts.manufacturer","confidence_effect":0.2},{"after":"Opel","field":"manufacturer","before":"OPEL ASTRA 5D CLUB","target":"normalized","rule_ids":["MFR-CLASSIFY-V1"],"sequence":4,"transformer_id":"ts.manufacturer","confidence_effect":0.2},{"after":"vehicle_manufacturer","field":"manufacturer_role","before":"OPEL ASTRA 5D CLUB","target":"normalized","rule_ids":["MFR-CLASSIFY-V1"],"sequence":5,"transformer_id":"ts.manufacturer","confidence_effect":0.2},{"after":{"source_fields":["brand"],"canonical_name":"Opel"},"field":"manufacturer_confirmation","before":"OPEL ASTRA 5D CLUB","target":"candidate","rule_ids":["MFR-BRAND-PREFIX-FALLBACK"],"sequence":6,"transformer_id":"ts.manufacturer","confidence_effect":0.05},{"after":"model_year","field":"production_date_precision","before":{"model_year":1999,"vehicle_year":1999,"registration_date":"19981211"},"target":"normalized","rule_ids":["DATE-REGISTRATION-V1","DATE-PRODUCTION-YEAR-V1"],"sequence":7,"transformer_id":"ts.dates","confidence_effect":0.1},{"after":1999,"field":"production_year","before":{"model_year":1999,"vehicle_year":1999,"registration_date":"19981211"},"target":"normalized","rule_ids":["DATE-REGISTRATION-V1","DATE-PRODUCTION-YEAR-V1"],"sequence":8,"transformer_id":"ts.dates","confidence_effect":0.1},{"after":"1998-12-11","field":"registration_date","before":{"model_year":1999,"vehicle_year":1999,"registration_date":"19981211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CD11","version":"2A30AR35FDH5"},"target":"normalized","rule_ids":["TRN-001"],"sequence":12,"transformer_id":"ts.transmission","confidence_effect":0.1},{"after":"covered_body","field":"bodywork_form","before":{"variant":"CD11","version":"2A30AR35FDH5","body_code":"01","eu_category":"M1","vehicle_type":"PB"},"target":"normalized","rule_ids":["BDY-102"],"sequence":13,"transformer_id":"ts.bodywork","confidence_effect":0.1},{"after":"Täckt","field":"bodywork_registry_label_sv","before":{"variant":"CD11","version":"2A30AR35FDH5","body_code":"01","eu_category":"M1","vehicle_type":"PB"},"target":"normalized","rule_ids":["BDY-102"],"sequence":14,"transformer_id":"ts.bodywork","confidence_effect":0.1},{"after":["petrol"],"field":"energy_sources","before":{"fuel1":"1","fuel2":"0","fuel3":"0","variant":"CD11","version":"2A30AR35FDH5"},"target":"normalized","rule_ids":["FUEL-001"],"sequence":15,"transformer_id":"ts.fuel","confidence_effect":0.0}]</x:v>
      </x:c>
      <x:c r="X1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" s="38" t="str">
        <x:v>{"candidates":{"manufacturer_confirmation":{"source_fields":["brand"],"canonical_name":"Opel"}},"confidence":0.8,"normalized":{"market":["SE"],"power_kw":74,"manufacturer":"Opel","bodywork_form":"covered_body","energy_sources":["petrol"],"production_year":1999,"manufacturer_role":"vehicle_manufacturer","power_source_unit":"kw","registration_date":"1998-12-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5D CLUB","target":"normalized","rule_ids":["MFR-CLASSIFY-V1"],"sequence":3,"transformer_id":"ts.manufacturer","confidence_effect":0.2},{"after":"Opel","field":"manufacturer","before":"OPEL ASTRA 5D CLUB","target":"normalized","rule_ids":["MFR-CLASSIFY-V1"],"sequence":4,"transformer_id":"ts.manufacturer","confidence_effect":0.2},{"after":"vehicle_manufacturer","field":"manufacturer_role","before":"OPEL ASTRA 5D CLUB","target":"normalized","rule_ids":["MFR-CLASSIFY-V1"],"sequence":5,"transformer_id":"ts.manufacturer","confidence_effect":0.2},{"after":{"source_fields":["brand"],"canonical_name":"Opel"},"field":"manufacturer_confirmation","before":"OPEL ASTRA 5D CLUB","target":"candidate","rule_ids":["MFR-BRAND-PREFIX-FALLBACK"],"sequence":6,"transformer_id":"ts.manufacturer","confidence_effect":0.05},{"after":"model_year","field":"production_date_precision","before":{"model_year":1999,"vehicle_year":1999,"registration_date":"19981211"},"target":"normalized","rule_ids":["DATE-REGISTRATION-V1","DATE-PRODUCTION-YEAR-V1"],"sequence":7,"transformer_id":"ts.dates","confidence_effect":0.1},{"after":1999,"field":"production_year","before":{"model_year":1999,"vehicle_year":1999,"registration_date":"19981211"},"target":"normalized","rule_ids":["DATE-REGISTRATION-V1","DATE-PRODUCTION-YEAR-V1"],"sequence":8,"transformer_id":"ts.dates","confidence_effect":0.1},{"after":"1998-12-11","field":"registration_date","before":{"model_year":1999,"vehicle_year":1999,"registration_date":"19981211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CD11","version":"2A30AR35FDH5"},"target":"normalized","rule_ids":["TRN-001"],"sequence":12,"transformer_id":"ts.transmission","confidence_effect":0.1},{"after":"covered_body","field":"bodywork_form","before":{"variant":"CD11","version":"2A30AR35FDH5","body_code":"01","eu_category":"M1","vehicle_type":"PB"},"target":"normalized","rule_ids":["BDY-102"],"sequence":13,"transformer_id":"ts.bodywork","confidence_effect":0.1},{"after":"Täckt","field":"bodywork_registry_label_sv","before":{"variant":"CD11","version":"2A30AR35FDH5","body_code":"01","eu_category":"M1","vehicle_type":"PB"},"target":"normalized","rule_ids":["BDY-102"],"sequence":14,"transformer_id":"ts.bodywork","confidence_effect":0.1},{"after":["petrol"],"field":"energy_sources","before":{"fuel1":"1","fuel2":"0","fuel3":"0","variant":"CD11","version":"2A30AR35FDH5"},"target":"normalized","rule_ids":["FUEL-001"],"sequence":15,"transformer_id":"ts.fuel","confidence_effect":0.0}],"pipeline_version":"normalization-pipeline-v4","candidate_rule_ids":["MFR-BRAND-PREFIX-FALLBACK"]}</x:v>
      </x:c>
      <x:c r="Z11" s="36" t="n">
        <x:v>46239.78067015046</x:v>
      </x:c>
      <x:c r="AA11" s="36" t="n">
        <x:v>46239.78067015046</x:v>
      </x:c>
    </x:row>
    <x:row r="12" ht="18" customHeight="1">
      <x:c r="A12" s="36" t="n">
        <x:v>2614</x:v>
      </x:c>
      <x:c r="B12" s="36" t="str">
        <x:v>a55d51b0-c007-54a3-9bce-7c3129d24c8e</x:v>
      </x:c>
      <x:c r="C12" s="36" t="str">
        <x:v>Transportstyrelsen</x:v>
      </x:c>
      <x:c r="D12" s="36" t="str">
        <x:v>normalization-review-passenger-250-v1-rules-20260805T184409855703Z</x:v>
      </x:c>
      <x:c r="E12" s="36" t="str">
        <x:v>staging.transportstyrelsen_raw</x:v>
      </x:c>
      <x:c r="F12" s="36" t="n">
        <x:v>2732</x:v>
      </x:c>
      <x:c r="G12" s="36" t="str">
        <x:v>ts-mapping-v1</x:v>
      </x:c>
      <x:c r="H12" s="36" t="str">
        <x:v>ts-review-20260805T184254528647Z</x:v>
      </x:c>
      <x:c r="I12" s="36" t="str">
        <x:v>normalization-pipeline-v4</x:v>
      </x:c>
      <x:c r="J12" s="36" t="str">
        <x:v>resolved</x:v>
      </x:c>
      <x:c r="K12" s="39" t="n">
        <x:v>0.95</x:v>
      </x:c>
      <x:c r="L12" s="36" t="str">
        <x:v>Škoda</x:v>
      </x:c>
      <x:c r="M12" s="36"/>
      <x:c r="N12" s="36" t="str">
        <x:v>covered_body</x:v>
      </x:c>
      <x:c r="O12" s="38" t="str">
        <x:v>["petrol"]</x:v>
      </x:c>
      <x:c r="P12" s="36" t="str">
        <x:v>manual</x:v>
      </x:c>
      <x:c r="Q12" s="36" t="n">
        <x:v>1997</x:v>
      </x:c>
      <x:c r="R12" s="38" t="str">
        <x:v>["MFE-241A4A6B11D7C9","MFR-BRAND-REVIEWED-EXAMPLE","DATE-REGISTRATION-V1","DATE-PRODUCTION-YEAR-V1","UNIT-POWER-KW-V1","TRN-001","BDY-102","FUEL-001"]</x:v>
      </x:c>
      <x:c r="S12" s="38" t="str">
        <x:v>[]</x:v>
      </x:c>
      <x:c r="T12" s="38" t="str">
        <x:v>[]</x:v>
      </x:c>
      <x:c r="U12" s="38" t="str">
        <x:v>{"market":["SE"],"power_kw":50,"manufacturer":"Škoda","bodywork_form":"covered_body","energy_sources":["petrol"],"production_year":1997,"manufacturer_role":"vehicle_manufacturer","power_source_unit":"kw","registration_date":"1997-05-16","transmission_type":"manual","alias_types_present":["plate","vin"],"builder_converter_names":[],"production_date_precision":"model_year","bodywork_registry_label_sv":"Täckt"}</x:v>
      </x:c>
      <x:c r="V12" s="38" t="str">
        <x:v>{}</x:v>
      </x:c>
      <x:c r="W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FELICIA","target":"normalized","rule_ids":["MFE-241A4A6B11D7C9","MFR-BRAND-REVIEWED-EXAMPLE"],"sequence":3,"transformer_id":"ts.manufacturer","confidence_effect":0.2},{"after":"Škoda","field":"manufacturer","before":"SKODA FELICIA","target":"normalized","rule_ids":["MFE-241A4A6B11D7C9","MFR-BRAND-REVIEWED-EXAMPLE"],"sequence":4,"transformer_id":"ts.manufacturer","confidence_effect":0.2},{"after":"vehicle_manufacturer","field":"manufacturer_role","before":"SKODA FELICIA","target":"normalized","rule_ids":["MFE-241A4A6B11D7C9","MFR-BRAND-REVIEWED-EXAMPLE"],"sequence":5,"transformer_id":"ts.manufacturer","confidence_effect":0.2},{"after":"model_year","field":"production_date_precision","before":{"model_year":1997,"vehicle_year":1997,"registration_date":"19970516"},"target":"normalized","rule_ids":["DATE-REGISTRATION-V1","DATE-PRODUCTION-YEAR-V1"],"sequence":6,"transformer_id":"ts.dates","confidence_effect":0.1},{"after":1997,"field":"production_year","before":{"model_year":1997,"vehicle_year":1997,"registration_date":"19970516"},"target":"normalized","rule_ids":["DATE-REGISTRATION-V1","DATE-PRODUCTION-YEAR-V1"],"sequence":7,"transformer_id":"ts.dates","confidence_effect":0.1},{"after":"1997-05-16","field":"registration_date","before":{"model_year":1997,"vehicle_year":1997,"registration_date":"19970516"},"target":"normalized","rule_ids":["DATE-REGISTRATION-V1","DATE-PRODUCTION-YEAR-V1"],"sequence":8,"transformer_id":"ts.dates","confidence_effect":0.1},{"after":50,"field":"power_kw","before":50,"target":"normalized","rule_ids":["UNIT-POWER-KW-V1"],"sequence":9,"transformer_id":"ts.engine-measurements","confidence_effect":0.1},{"after":"kw","field":"power_source_unit","before":50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" s="38" t="str">
        <x:v>{"candidates":{},"confidence":0.95,"normalized":{"market":["SE"],"power_kw":50,"manufacturer":"Škoda","bodywork_form":"covered_body","energy_sources":["petrol"],"production_year":1997,"manufacturer_role":"vehicle_manufacturer","power_source_unit":"kw","registration_date":"1997-05-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FELICIA","target":"normalized","rule_ids":["MFE-241A4A6B11D7C9","MFR-BRAND-REVIEWED-EXAMPLE"],"sequence":3,"transformer_id":"ts.manufacturer","confidence_effect":0.2},{"after":"Škoda","field":"manufacturer","before":"SKODA FELICIA","target":"normalized","rule_ids":["MFE-241A4A6B11D7C9","MFR-BRAND-REVIEWED-EXAMPLE"],"sequence":4,"transformer_id":"ts.manufacturer","confidence_effect":0.2},{"after":"vehicle_manufacturer","field":"manufacturer_role","before":"SKODA FELICIA","target":"normalized","rule_ids":["MFE-241A4A6B11D7C9","MFR-BRAND-REVIEWED-EXAMPLE"],"sequence":5,"transformer_id":"ts.manufacturer","confidence_effect":0.2},{"after":"model_year","field":"production_date_precision","before":{"model_year":1997,"vehicle_year":1997,"registration_date":"19970516"},"target":"normalized","rule_ids":["DATE-REGISTRATION-V1","DATE-PRODUCTION-YEAR-V1"],"sequence":6,"transformer_id":"ts.dates","confidence_effect":0.1},{"after":1997,"field":"production_year","before":{"model_year":1997,"vehicle_year":1997,"registration_date":"19970516"},"target":"normalized","rule_ids":["DATE-REGISTRATION-V1","DATE-PRODUCTION-YEAR-V1"],"sequence":7,"transformer_id":"ts.dates","confidence_effect":0.1},{"after":"1997-05-16","field":"registration_date","before":{"model_year":1997,"vehicle_year":1997,"registration_date":"19970516"},"target":"normalized","rule_ids":["DATE-REGISTRATION-V1","DATE-PRODUCTION-YEAR-V1"],"sequence":8,"transformer_id":"ts.dates","confidence_effect":0.1},{"after":50,"field":"power_kw","before":50,"target":"normalized","rule_ids":["UNIT-POWER-KW-V1"],"sequence":9,"transformer_id":"ts.engine-measurements","confidence_effect":0.1},{"after":"kw","field":"power_source_unit","before":50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2" s="36" t="n">
        <x:v>46239.78067015046</x:v>
      </x:c>
      <x:c r="AA12" s="36" t="n">
        <x:v>46239.78067015046</x:v>
      </x:c>
    </x:row>
    <x:row r="13" ht="18" customHeight="1">
      <x:c r="A13" s="36" t="n">
        <x:v>2615</x:v>
      </x:c>
      <x:c r="B13" s="36" t="str">
        <x:v>215c9d1f-65cf-5ee1-9cd8-c74daf22b5e1</x:v>
      </x:c>
      <x:c r="C13" s="36" t="str">
        <x:v>Transportstyrelsen</x:v>
      </x:c>
      <x:c r="D13" s="36" t="str">
        <x:v>normalization-review-passenger-250-v1-rules-20260805T184409855703Z</x:v>
      </x:c>
      <x:c r="E13" s="36" t="str">
        <x:v>staging.transportstyrelsen_raw</x:v>
      </x:c>
      <x:c r="F13" s="36" t="n">
        <x:v>2733</x:v>
      </x:c>
      <x:c r="G13" s="36" t="str">
        <x:v>ts-mapping-v1</x:v>
      </x:c>
      <x:c r="H13" s="36" t="str">
        <x:v>ts-review-20260805T184254528647Z</x:v>
      </x:c>
      <x:c r="I13" s="36" t="str">
        <x:v>normalization-pipeline-v4</x:v>
      </x:c>
      <x:c r="J13" s="36" t="str">
        <x:v>resolved</x:v>
      </x:c>
      <x:c r="K13" s="39" t="n">
        <x:v>0.95</x:v>
      </x:c>
      <x:c r="L13" s="36" t="str">
        <x:v>Plymouth</x:v>
      </x:c>
      <x:c r="M13" s="36"/>
      <x:c r="N13" s="36" t="str">
        <x:v>covered_body</x:v>
      </x:c>
      <x:c r="O13" s="38" t="str">
        <x:v>["petrol"]</x:v>
      </x:c>
      <x:c r="P13" s="36" t="str">
        <x:v>manual</x:v>
      </x:c>
      <x:c r="Q13" s="36" t="n">
        <x:v>1946</x:v>
      </x:c>
      <x:c r="R13" s="38" t="str">
        <x:v>["MFR-BRAND-LEGACY-EXACT","DATE-REGISTRATION-V1","DATE-PRODUCTION-YEAR-V1","UNIT-POWER-KW-V1","TRN-001","BDY-102","FUEL-001"]</x:v>
      </x:c>
      <x:c r="S13" s="38" t="str">
        <x:v>[]</x:v>
      </x:c>
      <x:c r="T13" s="38" t="str">
        <x:v>[]</x:v>
      </x:c>
      <x:c r="U13" s="38" t="str">
        <x:v>{"market":["SE"],"power_kw":67,"manufacturer":"Plymouth","bodywork_form":"covered_body","energy_sources":["petrol"],"production_year":1946,"manufacturer_role":"vehicle_manufacturer","power_source_unit":"kw","registration_date":"2007-09-13","transmission_type":"manual","alias_types_present":["plate","vin"],"builder_converter_names":[],"production_date_precision":"model_year","bodywork_registry_label_sv":"Täckt"}</x:v>
      </x:c>
      <x:c r="V13" s="38" t="str">
        <x:v>{}</x:v>
      </x:c>
      <x:c r="W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LYMOUTH SPECIAL DE LUXE","target":"normalized","rule_ids":["MFR-BRAND-LEGACY-EXACT"],"sequence":3,"transformer_id":"ts.manufacturer","confidence_effect":0.2},{"after":"Plymouth","field":"manufacturer","before":"PLYMOUTH SPECIAL DE LUXE","target":"normalized","rule_ids":["MFR-BRAND-LEGACY-EXACT"],"sequence":4,"transformer_id":"ts.manufacturer","confidence_effect":0.2},{"after":"vehicle_manufacturer","field":"manufacturer_role","before":"PLYMOUTH SPECIAL DE LUXE","target":"normalized","rule_ids":["MFR-BRAND-LEGACY-EXACT"],"sequence":5,"transformer_id":"ts.manufacturer","confidence_effect":0.2},{"after":"model_year","field":"production_date_precision","before":{"model_year":1946,"vehicle_year":1946,"registration_date":"20070913"},"target":"normalized","rule_ids":["DATE-REGISTRATION-V1","DATE-PRODUCTION-YEAR-V1"],"sequence":6,"transformer_id":"ts.dates","confidence_effect":0.1},{"after":1946,"field":"production_year","before":{"model_year":1946,"vehicle_year":1946,"registration_date":"20070913"},"target":"normalized","rule_ids":["DATE-REGISTRATION-V1","DATE-PRODUCTION-YEAR-V1"],"sequence":7,"transformer_id":"ts.dates","confidence_effect":0.1},{"after":"2007-09-13","field":"registration_date","before":{"model_year":1946,"vehicle_year":1946,"registration_date":"20070913"},"target":"normalized","rule_ids":["DATE-REGISTRATION-V1","DATE-PRODUCTION-YEAR-V1"],"sequence":8,"transformer_id":"ts.dates","confidence_effect":0.1},{"after":67,"field":"power_kw","before":67,"target":"normalized","rule_ids":["UNIT-POWER-KW-V1"],"sequence":9,"transformer_id":"ts.engine-measurements","confidence_effect":0.1},{"after":"kw","field":"power_source_unit","before":67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" s="38" t="str">
        <x:v>{"candidates":{},"confidence":0.95,"normalized":{"market":["SE"],"power_kw":67,"manufacturer":"Plymouth","bodywork_form":"covered_body","energy_sources":["petrol"],"production_year":1946,"manufacturer_role":"vehicle_manufacturer","power_source_unit":"kw","registration_date":"2007-09-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LYMOUTH SPECIAL DE LUXE","target":"normalized","rule_ids":["MFR-BRAND-LEGACY-EXACT"],"sequence":3,"transformer_id":"ts.manufacturer","confidence_effect":0.2},{"after":"Plymouth","field":"manufacturer","before":"PLYMOUTH SPECIAL DE LUXE","target":"normalized","rule_ids":["MFR-BRAND-LEGACY-EXACT"],"sequence":4,"transformer_id":"ts.manufacturer","confidence_effect":0.2},{"after":"vehicle_manufacturer","field":"manufacturer_role","before":"PLYMOUTH SPECIAL DE LUXE","target":"normalized","rule_ids":["MFR-BRAND-LEGACY-EXACT"],"sequence":5,"transformer_id":"ts.manufacturer","confidence_effect":0.2},{"after":"model_year","field":"production_date_precision","before":{"model_year":1946,"vehicle_year":1946,"registration_date":"20070913"},"target":"normalized","rule_ids":["DATE-REGISTRATION-V1","DATE-PRODUCTION-YEAR-V1"],"sequence":6,"transformer_id":"ts.dates","confidence_effect":0.1},{"after":1946,"field":"production_year","before":{"model_year":1946,"vehicle_year":1946,"registration_date":"20070913"},"target":"normalized","rule_ids":["DATE-REGISTRATION-V1","DATE-PRODUCTION-YEAR-V1"],"sequence":7,"transformer_id":"ts.dates","confidence_effect":0.1},{"after":"2007-09-13","field":"registration_date","before":{"model_year":1946,"vehicle_year":1946,"registration_date":"20070913"},"target":"normalized","rule_ids":["DATE-REGISTRATION-V1","DATE-PRODUCTION-YEAR-V1"],"sequence":8,"transformer_id":"ts.dates","confidence_effect":0.1},{"after":67,"field":"power_kw","before":67,"target":"normalized","rule_ids":["UNIT-POWER-KW-V1"],"sequence":9,"transformer_id":"ts.engine-measurements","confidence_effect":0.1},{"after":"kw","field":"power_source_unit","before":67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3" s="36" t="n">
        <x:v>46239.78067015046</x:v>
      </x:c>
      <x:c r="AA13" s="36" t="n">
        <x:v>46239.78067015046</x:v>
      </x:c>
    </x:row>
    <x:row r="14" ht="18" customHeight="1">
      <x:c r="A14" s="36" t="n">
        <x:v>2616</x:v>
      </x:c>
      <x:c r="B14" s="36" t="str">
        <x:v>5f93e93f-8a87-5ad3-b64f-8b2390b60c02</x:v>
      </x:c>
      <x:c r="C14" s="36" t="str">
        <x:v>Transportstyrelsen</x:v>
      </x:c>
      <x:c r="D14" s="36" t="str">
        <x:v>normalization-review-passenger-250-v1-rules-20260805T184409855703Z</x:v>
      </x:c>
      <x:c r="E14" s="36" t="str">
        <x:v>staging.transportstyrelsen_raw</x:v>
      </x:c>
      <x:c r="F14" s="36" t="n">
        <x:v>2734</x:v>
      </x:c>
      <x:c r="G14" s="36" t="str">
        <x:v>ts-mapping-v1</x:v>
      </x:c>
      <x:c r="H14" s="36" t="str">
        <x:v>ts-review-20260805T184254528647Z</x:v>
      </x:c>
      <x:c r="I14" s="36" t="str">
        <x:v>normalization-pipeline-v4</x:v>
      </x:c>
      <x:c r="J14" s="36" t="str">
        <x:v>provisional</x:v>
      </x:c>
      <x:c r="K14" s="39" t="n">
        <x:v>0.8</x:v>
      </x:c>
      <x:c r="L14" s="36" t="str">
        <x:v>Volvo</x:v>
      </x:c>
      <x:c r="M14" s="36" t="str">
        <x:v>V70</x:v>
      </x:c>
      <x:c r="N14" s="36" t="str">
        <x:v>estate</x:v>
      </x:c>
      <x:c r="O14" s="38" t="str">
        <x:v>["diesel"]</x:v>
      </x:c>
      <x:c r="P14" s="36" t="str">
        <x:v>automatic</x:v>
      </x:c>
      <x:c r="Q14" s="36" t="n">
        <x:v>2014</x:v>
      </x:c>
      <x:c r="R14" s="38" t="str">
        <x:v>["MFR-BRAND-CONFIRMED","MFR-BRAND-MODEL","MFR-BRAND-VIN-WMI","DATE-REGISTRATION-V1","DATE-PRODUCTION-MONTH-V1","UNIT-POWER-KW-V1","UNIT-DISPLACEMENT-CCM-V1","TRN-002","BDY-110","FUEL-002"]</x:v>
      </x:c>
      <x:c r="S14" s="38" t="str">
        <x:v>["DRV-008"]</x:v>
      </x:c>
      <x:c r="T14" s="38" t="str">
        <x:v>[]</x:v>
      </x:c>
      <x:c r="U14" s="38" t="str">
        <x:v>{"market":["SE"],"power_kw":133,"manufacturer":"Volvo","bodywork_form":"estate","energy_sources":["diesel"],"displacement_cc":2400,"production_date":"2014-09","production_year":2014,"manufacturer_role":"vehicle_manufacturer","power_source_unit":"kw","registration_date":"2014-10-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4" s="38" t="str">
        <x:v>{"drive_type":"awd","model_family":"V70"}</x:v>
      </x:c>
      <x:c r="W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-09","field":"production_date","before":{"build_month":"201409","vehicle_year":2014,"registration_date":"20141030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20141030"},"target":"normalized","rule_ids":["DATE-REGISTRATION-V1","DATE-PRODUCTION-MONTH-V1"],"sequence":9,"transformer_id":"ts.dates","confidence_effect":0.1},{"after":2014,"field":"production_year","before":{"build_month":"201409","vehicle_year":2014,"registration_date":"20141030"},"target":"normalized","rule_ids":["DATE-REGISTRATION-V1","DATE-PRODUCTION-MONTH-V1"],"sequence":10,"transformer_id":"ts.dates","confidence_effect":0.1},{"after":"2014-10-30","field":"registration_date","before":{"build_month":"201409","vehicle_year":2014,"registration_date":"20141030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70","gearbox":"A","variant":"BW81","version":"BW8156??"},"target":"normalized","rule_ids":["TRN-002"],"sequence":16,"transformer_id":"ts.transmission","confidence_effect":0.1},{"after":"estate","field":"bodywork_form","before":{"model":"V70","variant":"BW81","version":"BW8156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81","version":"B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81","version":"BW8156??"},"target":"normalized","rule_ids":["FUEL-002"],"sequence":20,"transformer_id":"ts.fuel","confidence_effect":0.0}]</x:v>
      </x:c>
      <x:c r="X1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" s="38" t="str">
        <x:v>{"candidates":{"drive_type":"awd","model_family":"V70"},"confidence":0.8,"normalized":{"market":["SE"],"power_kw":133,"manufacturer":"Volvo","bodywork_form":"estate","energy_sources":["diesel"],"displacement_cc":2400,"production_date":"2014-09","production_year":2014,"manufacturer_role":"vehicle_manufacturer","power_source_unit":"kw","registration_date":"2014-10-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-09","field":"production_date","before":{"build_month":"201409","vehicle_year":2014,"registration_date":"20141030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20141030"},"target":"normalized","rule_ids":["DATE-REGISTRATION-V1","DATE-PRODUCTION-MONTH-V1"],"sequence":9,"transformer_id":"ts.dates","confidence_effect":0.1},{"after":2014,"field":"production_year","before":{"build_month":"201409","vehicle_year":2014,"registration_date":"20141030"},"target":"normalized","rule_ids":["DATE-REGISTRATION-V1","DATE-PRODUCTION-MONTH-V1"],"sequence":10,"transformer_id":"ts.dates","confidence_effect":0.1},{"after":"2014-10-30","field":"registration_date","before":{"build_month":"201409","vehicle_year":2014,"registration_date":"20141030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70","gearbox":"A","variant":"BW81","version":"BW8156??"},"target":"normalized","rule_ids":["TRN-002"],"sequence":16,"transformer_id":"ts.transmission","confidence_effect":0.1},{"after":"estate","field":"bodywork_form","before":{"model":"V70","variant":"BW81","version":"BW8156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81","version":"B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81","version":"BW8156??"},"target":"normalized","rule_ids":["FUEL-002"],"sequence":20,"transformer_id":"ts.fuel","confidence_effect":0.0}],"pipeline_version":"normalization-pipeline-v4","candidate_rule_ids":["DRV-008"]}</x:v>
      </x:c>
      <x:c r="Z14" s="36" t="n">
        <x:v>46239.78067015046</x:v>
      </x:c>
      <x:c r="AA14" s="36" t="n">
        <x:v>46239.78067015046</x:v>
      </x:c>
    </x:row>
    <x:row r="15" ht="18" customHeight="1">
      <x:c r="A15" s="36" t="n">
        <x:v>2617</x:v>
      </x:c>
      <x:c r="B15" s="36" t="str">
        <x:v>ce7c118e-fb82-5e8c-bc18-46570582d788</x:v>
      </x:c>
      <x:c r="C15" s="36" t="str">
        <x:v>Transportstyrelsen</x:v>
      </x:c>
      <x:c r="D15" s="36" t="str">
        <x:v>normalization-review-passenger-250-v1-rules-20260805T184409855703Z</x:v>
      </x:c>
      <x:c r="E15" s="36" t="str">
        <x:v>staging.transportstyrelsen_raw</x:v>
      </x:c>
      <x:c r="F15" s="36" t="n">
        <x:v>2735</x:v>
      </x:c>
      <x:c r="G15" s="36" t="str">
        <x:v>ts-mapping-v1</x:v>
      </x:c>
      <x:c r="H15" s="36" t="str">
        <x:v>ts-review-20260805T184254528647Z</x:v>
      </x:c>
      <x:c r="I15" s="36" t="str">
        <x:v>normalization-pipeline-v4</x:v>
      </x:c>
      <x:c r="J15" s="36" t="str">
        <x:v>provisional</x:v>
      </x:c>
      <x:c r="K15" s="39" t="n">
        <x:v>0.8</x:v>
      </x:c>
      <x:c r="L15" s="36" t="str">
        <x:v>Hyundai</x:v>
      </x:c>
      <x:c r="M15" s="36"/>
      <x:c r="N15" s="36" t="str">
        <x:v>multi_purpose_vehicle</x:v>
      </x:c>
      <x:c r="O15" s="38" t="str">
        <x:v>["petrol"]</x:v>
      </x:c>
      <x:c r="P15" s="36" t="str">
        <x:v>manual</x:v>
      </x:c>
      <x:c r="Q15" s="36" t="n">
        <x:v>2008</x:v>
      </x:c>
      <x:c r="R15" s="38" t="str">
        <x:v>["DATE-REGISTRATION-V1","DATE-PRODUCTION-MONTH-V1","UNIT-POWER-KW-V1","UNIT-DISPLACEMENT-CCM-V1","TRN-001","BDY-113","FUEL-001"]</x:v>
      </x:c>
      <x:c r="S15" s="38" t="str">
        <x:v>["MFR-BRAND-PREFIX-FALLBACK"]</x:v>
      </x:c>
      <x:c r="T15" s="38" t="str">
        <x:v>[]</x:v>
      </x:c>
      <x:c r="U15" s="38" t="str">
        <x:v>{"market":["SE"],"power_kw":48,"manufacturer":"Hyundai","bodywork_form":"multi_purpose_vehicle","energy_sources":["petrol"],"displacement_cc":1086,"production_date":"2008-07","production_year":2008,"manufacturer_role":"vehicle_manufacturer","power_source_unit":"kw","registration_date":"2008-09-05","transmission_type":"manual","alias_types_present":["plate","vin"],"builder_converter_names":[],"displacement_source_unit":"ccm","production_date_precision":"month","bodywork_registry_label_sv":"Fordon avsett för flera ändamål"}</x:v>
      </x:c>
      <x:c r="V15" s="38" t="str">
        <x:v>{"manufacturer_confirmation":{"source_fields":["brand"],"canonical_name":"Hyundai"}}</x:v>
      </x:c>
      <x:c r="W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I10 1.1 M5E-SENS","target":"normalized","rule_ids":["MFR-CLASSIFY-V1"],"sequence":3,"transformer_id":"ts.manufacturer","confidence_effect":0.2},{"after":"Hyundai","field":"manufacturer","before":"HYUNDAI I10 1.1 M5E-SENS","target":"normalized","rule_ids":["MFR-CLASSIFY-V1"],"sequence":4,"transformer_id":"ts.manufacturer","confidence_effect":0.2},{"after":"vehicle_manufacturer","field":"manufacturer_role","before":"HYUNDAI I10 1.1 M5E-SENS","target":"normalized","rule_ids":["MFR-CLASSIFY-V1"],"sequence":5,"transformer_id":"ts.manufacturer","confidence_effect":0.2},{"after":{"source_fields":["brand"],"canonical_name":"Hyundai"},"field":"manufacturer_confirmation","before":"HYUNDAI I10 1.1 M5E-SENS","target":"candidate","rule_ids":["MFR-BRAND-PREFIX-FALLBACK"],"sequence":6,"transformer_id":"ts.manufacturer","confidence_effect":0.05},{"after":"2008-07","field":"production_date","before":{"build_month":"200807","vehicle_year":2008,"registration_date":"20080905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20080905"},"target":"normalized","rule_ids":["DATE-REGISTRATION-V1","DATE-PRODUCTION-MONTH-V1"],"sequence":8,"transformer_id":"ts.dates","confidence_effect":0.1},{"after":2008,"field":"production_year","before":{"build_month":"200807","vehicle_year":2008,"registration_date":"20080905"},"target":"normalized","rule_ids":["DATE-REGISTRATION-V1","DATE-PRODUCTION-MONTH-V1"],"sequence":9,"transformer_id":"ts.dates","confidence_effect":0.1},{"after":"2008-09-05","field":"registration_date","before":{"build_month":"200807","vehicle_year":2008,"registration_date":"20080905"},"target":"normalized","rule_ids":["DATE-REGISTRATION-V1","DATE-PRODUCTION-MONTH-V1"],"sequence":10,"transformer_id":"ts.dates","confidence_effect":0.1},{"after":1086,"field":"displacement_cc","before":{"kw":48,"ccm":1086},"target":"normalized","rule_ids":["UNIT-POWER-KW-V1","UNIT-DISPLACEMENT-CCM-V1"],"sequence":11,"transformer_id":"ts.engine-measurements","confidence_effect":0.1},{"after":"ccm","field":"displacement_source_unit","before":{"kw":48,"ccm":1086},"target":"normalized","rule_ids":["UNIT-POWER-KW-V1","UNIT-DISPLACEMENT-CCM-V1"],"sequence":12,"transformer_id":"ts.engine-measurements","confidence_effect":0.1},{"after":48,"field":"power_kw","before":{"kw":48,"ccm":1086},"target":"normalized","rule_ids":["UNIT-POWER-KW-V1","UNIT-DISPLACEMENT-CCM-V1"],"sequence":13,"transformer_id":"ts.engine-measurements","confidence_effect":0.1},{"after":"kw","field":"power_source_unit","before":{"kw":48,"ccm":1086},"target":"normalized","rule_ids":["UNIT-POWER-KW-V1","UNIT-DISPLACEMENT-CCM-V1"],"sequence":14,"transformer_id":"ts.engine-measurements","confidence_effect":0.1},{"after":"manual","field":"transmission_type","before":{"gearbox":"M","variant":"F5P11","version":"M51AZ1"},"target":"normalized","rule_ids":["TRN-001"],"sequence":15,"transformer_id":"ts.transmission","confidence_effect":0.1},{"after":"multi_purpose_vehicle","field":"bodywork_form","before":{"variant":"F5P11","version":"M51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F5P11","version":"M51AZ1","body_code":"AF","eu_category":"M1","vehicle_type":"PB"},"target":"normalized","rule_ids":["BDY-113"],"sequence":17,"transformer_id":"ts.bodywork","confidence_effect":0.1},{"after":["petrol"],"field":"energy_sources","before":{"fuel1":"1","fuel2":"0","fuel3":"0","variant":"F5P11","version":"M51AZ1"},"target":"normalized","rule_ids":["FUEL-001"],"sequence":18,"transformer_id":"ts.fuel","confidence_effect":0.0}]</x:v>
      </x:c>
      <x:c r="X1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" s="38" t="str">
        <x:v>{"candidates":{"manufacturer_confirmation":{"source_fields":["brand"],"canonical_name":"Hyundai"}},"confidence":0.8,"normalized":{"market":["SE"],"power_kw":48,"manufacturer":"Hyundai","bodywork_form":"multi_purpose_vehicle","energy_sources":["petrol"],"displacement_cc":1086,"production_date":"2008-07","production_year":2008,"manufacturer_role":"vehicle_manufacturer","power_source_unit":"kw","registration_date":"2008-09-05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I10 1.1 M5E-SENS","target":"normalized","rule_ids":["MFR-CLASSIFY-V1"],"sequence":3,"transformer_id":"ts.manufacturer","confidence_effect":0.2},{"after":"Hyundai","field":"manufacturer","before":"HYUNDAI I10 1.1 M5E-SENS","target":"normalized","rule_ids":["MFR-CLASSIFY-V1"],"sequence":4,"transformer_id":"ts.manufacturer","confidence_effect":0.2},{"after":"vehicle_manufacturer","field":"manufacturer_role","before":"HYUNDAI I10 1.1 M5E-SENS","target":"normalized","rule_ids":["MFR-CLASSIFY-V1"],"sequence":5,"transformer_id":"ts.manufacturer","confidence_effect":0.2},{"after":{"source_fields":["brand"],"canonical_name":"Hyundai"},"field":"manufacturer_confirmation","before":"HYUNDAI I10 1.1 M5E-SENS","target":"candidate","rule_ids":["MFR-BRAND-PREFIX-FALLBACK"],"sequence":6,"transformer_id":"ts.manufacturer","confidence_effect":0.05},{"after":"2008-07","field":"production_date","before":{"build_month":"200807","vehicle_year":2008,"registration_date":"20080905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20080905"},"target":"normalized","rule_ids":["DATE-REGISTRATION-V1","DATE-PRODUCTION-MONTH-V1"],"sequence":8,"transformer_id":"ts.dates","confidence_effect":0.1},{"after":2008,"field":"production_year","before":{"build_month":"200807","vehicle_year":2008,"registration_date":"20080905"},"target":"normalized","rule_ids":["DATE-REGISTRATION-V1","DATE-PRODUCTION-MONTH-V1"],"sequence":9,"transformer_id":"ts.dates","confidence_effect":0.1},{"after":"2008-09-05","field":"registration_date","before":{"build_month":"200807","vehicle_year":2008,"registration_date":"20080905"},"target":"normalized","rule_ids":["DATE-REGISTRATION-V1","DATE-PRODUCTION-MONTH-V1"],"sequence":10,"transformer_id":"ts.dates","confidence_effect":0.1},{"after":1086,"field":"displacement_cc","before":{"kw":48,"ccm":1086},"target":"normalized","rule_ids":["UNIT-POWER-KW-V1","UNIT-DISPLACEMENT-CCM-V1"],"sequence":11,"transformer_id":"ts.engine-measurements","confidence_effect":0.1},{"after":"ccm","field":"displacement_source_unit","before":{"kw":48,"ccm":1086},"target":"normalized","rule_ids":["UNIT-POWER-KW-V1","UNIT-DISPLACEMENT-CCM-V1"],"sequence":12,"transformer_id":"ts.engine-measurements","confidence_effect":0.1},{"after":48,"field":"power_kw","before":{"kw":48,"ccm":1086},"target":"normalized","rule_ids":["UNIT-POWER-KW-V1","UNIT-DISPLACEMENT-CCM-V1"],"sequence":13,"transformer_id":"ts.engine-measurements","confidence_effect":0.1},{"after":"kw","field":"power_source_unit","before":{"kw":48,"ccm":1086},"target":"normalized","rule_ids":["UNIT-POWER-KW-V1","UNIT-DISPLACEMENT-CCM-V1"],"sequence":14,"transformer_id":"ts.engine-measurements","confidence_effect":0.1},{"after":"manual","field":"transmission_type","before":{"gearbox":"M","variant":"F5P11","version":"M51AZ1"},"target":"normalized","rule_ids":["TRN-001"],"sequence":15,"transformer_id":"ts.transmission","confidence_effect":0.1},{"after":"multi_purpose_vehicle","field":"bodywork_form","before":{"variant":"F5P11","version":"M51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F5P11","version":"M51AZ1","body_code":"AF","eu_category":"M1","vehicle_type":"PB"},"target":"normalized","rule_ids":["BDY-113"],"sequence":17,"transformer_id":"ts.bodywork","confidence_effect":0.1},{"after":["petrol"],"field":"energy_sources","before":{"fuel1":"1","fuel2":"0","fuel3":"0","variant":"F5P11","version":"M51AZ1"},"target":"normalized","rule_ids":["FUEL-001"],"sequence":18,"transformer_id":"ts.fuel","confidence_effect":0.0}],"pipeline_version":"normalization-pipeline-v4","candidate_rule_ids":["MFR-BRAND-PREFIX-FALLBACK"]}</x:v>
      </x:c>
      <x:c r="Z15" s="36" t="n">
        <x:v>46239.78067015046</x:v>
      </x:c>
      <x:c r="AA15" s="36" t="n">
        <x:v>46239.78067015046</x:v>
      </x:c>
    </x:row>
    <x:row r="16" ht="18" customHeight="1">
      <x:c r="A16" s="36" t="n">
        <x:v>2618</x:v>
      </x:c>
      <x:c r="B16" s="36" t="str">
        <x:v>4800a9bf-a52b-5cab-a6c6-510fa4299607</x:v>
      </x:c>
      <x:c r="C16" s="36" t="str">
        <x:v>Transportstyrelsen</x:v>
      </x:c>
      <x:c r="D16" s="36" t="str">
        <x:v>normalization-review-passenger-250-v1-rules-20260805T184409855703Z</x:v>
      </x:c>
      <x:c r="E16" s="36" t="str">
        <x:v>staging.transportstyrelsen_raw</x:v>
      </x:c>
      <x:c r="F16" s="36" t="n">
        <x:v>2736</x:v>
      </x:c>
      <x:c r="G16" s="36" t="str">
        <x:v>ts-mapping-v1</x:v>
      </x:c>
      <x:c r="H16" s="36" t="str">
        <x:v>ts-review-20260805T184254528647Z</x:v>
      </x:c>
      <x:c r="I16" s="36" t="str">
        <x:v>normalization-pipeline-v4</x:v>
      </x:c>
      <x:c r="J16" s="36" t="str">
        <x:v>provisional</x:v>
      </x:c>
      <x:c r="K16" s="39" t="n">
        <x:v>0.8</x:v>
      </x:c>
      <x:c r="L16" s="36" t="str">
        <x:v>Renault</x:v>
      </x:c>
      <x:c r="M16" s="36" t="str">
        <x:v>CAPTUR</x:v>
      </x:c>
      <x:c r="N16" s="36" t="str">
        <x:v>hatchback</x:v>
      </x:c>
      <x:c r="O16" s="38" t="str">
        <x:v>["petrol"]</x:v>
      </x:c>
      <x:c r="P16" s="36"/>
      <x:c r="Q16" s="36" t="n">
        <x:v>2016</x:v>
      </x:c>
      <x:c r="R16" s="38" t="str">
        <x:v>["MFR-BRAND-CONFIRMED","MFR-BRAND-MODEL","DATE-REGISTRATION-V1","DATE-PRODUCTION-MONTH-V1","UNIT-POWER-KW-V1","UNIT-DISPLACEMENT-CCM-V1","BDY-109","FUEL-001"]</x:v>
      </x:c>
      <x:c r="S16" s="38" t="str">
        <x:v>[]</x:v>
      </x:c>
      <x:c r="T16" s="38" t="str">
        <x:v>[]</x:v>
      </x:c>
      <x:c r="U16" s="38" t="str">
        <x:v>{"market":["SE"],"power_kw":87,"manufacturer":"Renault","bodywork_form":"hatchback","energy_sources":["petrol"],"displacement_cc":1197,"production_date":"2016-02","production_year":2016,"manufacturer_role":"vehicle_manufacturer","power_source_unit":"kw","registration_date":"2016-06-30","alias_types_present":["plate","vin","model_name"],"model_family_candidate":true,"builder_converter_names":[],"displacement_source_unit":"ccm","production_date_precision":"month","bodywork_registry_label_sv":"Halvkombi"}</x:v>
      </x:c>
      <x:c r="V16" s="38" t="str">
        <x:v>{"model_family":"CAPTUR"}</x:v>
      </x:c>
      <x:c r="W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2016-02","field":"production_date","before":{"build_month":"201602","vehicle_year":2016,"registration_date":"20160630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20160630"},"target":"normalized","rule_ids":["DATE-REGISTRATION-V1","DATE-PRODUCTION-MONTH-V1"],"sequence":9,"transformer_id":"ts.dates","confidence_effect":0.1},{"after":2016,"field":"production_year","before":{"build_month":"201602","vehicle_year":2016,"registration_date":"20160630"},"target":"normalized","rule_ids":["DATE-REGISTRATION-V1","DATE-PRODUCTION-MONTH-V1"],"sequence":10,"transformer_id":"ts.dates","confidence_effect":0.1},{"after":"2016-06-30","field":"registration_date","before":{"build_month":"201602","vehicle_year":2016,"registration_date":"20160630"},"target":"normalized","rule_ids":["DATE-REGISTRATION-V1","DATE-PRODUCTION-MONTH-V1"],"sequence":11,"transformer_id":"ts.dates","confidence_effect":0.1},{"after":1197,"field":"displacement_cc","before":{"kw":87,"ccm":1197},"target":"normalized","rule_ids":["UNIT-POWER-KW-V1","UNIT-DISPLACEMENT-CCM-V1"],"sequence":12,"transformer_id":"ts.engine-measurements","confidence_effect":0.1},{"after":"ccm","field":"displacement_source_unit","before":{"kw":87,"ccm":1197},"target":"normalized","rule_ids":["UNIT-POWER-KW-V1","UNIT-DISPLACEMENT-CCM-V1"],"sequence":13,"transformer_id":"ts.engine-measurements","confidence_effect":0.1},{"after":87,"field":"power_kw","before":{"kw":87,"ccm":1197},"target":"normalized","rule_ids":["UNIT-POWER-KW-V1","UNIT-DISPLACEMENT-CCM-V1"],"sequence":14,"transformer_id":"ts.engine-measurements","confidence_effect":0.1},{"after":"kw","field":"power_source_unit","before":{"kw":87,"ccm":1197},"target":"normalized","rule_ids":["UNIT-POWER-KW-V1","UNIT-DISPLACEMENT-CCM-V1"],"sequence":15,"transformer_id":"ts.engine-measurements","confidence_effect":0.1},{"after":"hatchback","field":"bodywork_form","before":{"model":"CAPTUR","variant":"2RBU","version":"2RBU1D","body_code":"AB","eu_category":"M1","vehicle_type":"PB"},"target":"normalized","rule_ids":["BDY-109"],"sequence":16,"transformer_id":"ts.bodywork","confidence_effect":0.1},{"after":"Halvkombi","field":"bodywork_registry_label_sv","before":{"model":"CAPTUR","variant":"2RBU","version":"2RBU1D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2RBU","version":"2RBU1D"},"target":"normalized","rule_ids":["FUEL-001"],"sequence":18,"transformer_id":"ts.fuel","confidence_effect":0.0}]</x:v>
      </x:c>
      <x:c r="X16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" s="38" t="str">
        <x:v>{"candidates":{"model_family":"CAPTUR"},"confidence":0.8,"normalized":{"market":["SE"],"power_kw":87,"manufacturer":"Renault","bodywork_form":"hatchback","energy_sources":["petrol"],"displacement_cc":1197,"production_date":"2016-02","production_year":2016,"manufacturer_role":"vehicle_manufacturer","power_source_unit":"kw","registration_date":"2016-06-30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2016-02","field":"production_date","before":{"build_month":"201602","vehicle_year":2016,"registration_date":"20160630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20160630"},"target":"normalized","rule_ids":["DATE-REGISTRATION-V1","DATE-PRODUCTION-MONTH-V1"],"sequence":9,"transformer_id":"ts.dates","confidence_effect":0.1},{"after":2016,"field":"production_year","before":{"build_month":"201602","vehicle_year":2016,"registration_date":"20160630"},"target":"normalized","rule_ids":["DATE-REGISTRATION-V1","DATE-PRODUCTION-MONTH-V1"],"sequence":10,"transformer_id":"ts.dates","confidence_effect":0.1},{"after":"2016-06-30","field":"registration_date","before":{"build_month":"201602","vehicle_year":2016,"registration_date":"20160630"},"target":"normalized","rule_ids":["DATE-REGISTRATION-V1","DATE-PRODUCTION-MONTH-V1"],"sequence":11,"transformer_id":"ts.dates","confidence_effect":0.1},{"after":1197,"field":"displacement_cc","before":{"kw":87,"ccm":1197},"target":"normalized","rule_ids":["UNIT-POWER-KW-V1","UNIT-DISPLACEMENT-CCM-V1"],"sequence":12,"transformer_id":"ts.engine-measurements","confidence_effect":0.1},{"after":"ccm","field":"displacement_source_unit","before":{"kw":87,"ccm":1197},"target":"normalized","rule_ids":["UNIT-POWER-KW-V1","UNIT-DISPLACEMENT-CCM-V1"],"sequence":13,"transformer_id":"ts.engine-measurements","confidence_effect":0.1},{"after":87,"field":"power_kw","before":{"kw":87,"ccm":1197},"target":"normalized","rule_ids":["UNIT-POWER-KW-V1","UNIT-DISPLACEMENT-CCM-V1"],"sequence":14,"transformer_id":"ts.engine-measurements","confidence_effect":0.1},{"after":"kw","field":"power_source_unit","before":{"kw":87,"ccm":1197},"target":"normalized","rule_ids":["UNIT-POWER-KW-V1","UNIT-DISPLACEMENT-CCM-V1"],"sequence":15,"transformer_id":"ts.engine-measurements","confidence_effect":0.1},{"after":"hatchback","field":"bodywork_form","before":{"model":"CAPTUR","variant":"2RBU","version":"2RBU1D","body_code":"AB","eu_category":"M1","vehicle_type":"PB"},"target":"normalized","rule_ids":["BDY-109"],"sequence":16,"transformer_id":"ts.bodywork","confidence_effect":0.1},{"after":"Halvkombi","field":"bodywork_registry_label_sv","before":{"model":"CAPTUR","variant":"2RBU","version":"2RBU1D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2RBU","version":"2RBU1D"},"target":"normalized","rule_ids":["FUEL-001"],"sequence":18,"transformer_id":"ts.fuel","confidence_effect":0.0}],"pipeline_version":"normalization-pipeline-v4","candidate_rule_ids":[]}</x:v>
      </x:c>
      <x:c r="Z16" s="36" t="n">
        <x:v>46239.78067015046</x:v>
      </x:c>
      <x:c r="AA16" s="36" t="n">
        <x:v>46239.78067015046</x:v>
      </x:c>
    </x:row>
    <x:row r="17" ht="18" customHeight="1">
      <x:c r="A17" s="36" t="n">
        <x:v>2619</x:v>
      </x:c>
      <x:c r="B17" s="36" t="str">
        <x:v>380325e1-b627-58a0-8cad-ed107d625653</x:v>
      </x:c>
      <x:c r="C17" s="36" t="str">
        <x:v>Transportstyrelsen</x:v>
      </x:c>
      <x:c r="D17" s="36" t="str">
        <x:v>normalization-review-passenger-250-v1-rules-20260805T184409855703Z</x:v>
      </x:c>
      <x:c r="E17" s="36" t="str">
        <x:v>staging.transportstyrelsen_raw</x:v>
      </x:c>
      <x:c r="F17" s="36" t="n">
        <x:v>2737</x:v>
      </x:c>
      <x:c r="G17" s="36" t="str">
        <x:v>ts-mapping-v1</x:v>
      </x:c>
      <x:c r="H17" s="36" t="str">
        <x:v>ts-review-20260805T184254528647Z</x:v>
      </x:c>
      <x:c r="I17" s="36" t="str">
        <x:v>normalization-pipeline-v4</x:v>
      </x:c>
      <x:c r="J17" s="36" t="str">
        <x:v>resolved</x:v>
      </x:c>
      <x:c r="K17" s="39" t="n">
        <x:v>0.95</x:v>
      </x:c>
      <x:c r="L17" s="36" t="str">
        <x:v>Saab</x:v>
      </x:c>
      <x:c r="M17" s="36"/>
      <x:c r="N17" s="36" t="str">
        <x:v>covered_body</x:v>
      </x:c>
      <x:c r="O17" s="38" t="str">
        <x:v>["petrol"]</x:v>
      </x:c>
      <x:c r="P17" s="36" t="str">
        <x:v>manual</x:v>
      </x:c>
      <x:c r="Q17" s="36" t="n">
        <x:v>1972</x:v>
      </x:c>
      <x:c r="R17" s="38" t="str">
        <x:v>["MFE-CC8089323A8D5F","MFR-BRAND-REVIEWED-EXAMPLE","DATE-REGISTRATION-V1","DATE-PRODUCTION-YEAR-V1","UNIT-POWER-KW-V1","TRN-001","BDY-102","FUEL-001"]</x:v>
      </x:c>
      <x:c r="S17" s="38" t="str">
        <x:v>[]</x:v>
      </x:c>
      <x:c r="T17" s="38" t="str">
        <x:v>[]</x:v>
      </x:c>
      <x:c r="U17" s="38" t="str">
        <x:v>{"market":["SE"],"power_kw":70,"manufacturer":"Saab","bodywork_form":"covered_body","energy_sources":["petrol"],"production_year":1972,"manufacturer_role":"vehicle_manufacturer","power_source_unit":"kw","registration_date":"1972-09-05","transmission_type":"manual","alias_types_present":["plate","vin"],"builder_converter_names":[],"production_date_precision":"model_year","bodywork_registry_label_sv":"Täckt"}</x:v>
      </x:c>
      <x:c r="V17" s="38" t="str">
        <x:v>{}</x:v>
      </x:c>
      <x:c r="W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99-2,0 CM 2","target":"normalized","rule_ids":["MFE-CC8089323A8D5F","MFR-BRAND-REVIEWED-EXAMPLE"],"sequence":3,"transformer_id":"ts.manufacturer","confidence_effect":0.2},{"after":"Saab","field":"manufacturer","before":"SAAB 99-2,0 CM 2","target":"normalized","rule_ids":["MFE-CC8089323A8D5F","MFR-BRAND-REVIEWED-EXAMPLE"],"sequence":4,"transformer_id":"ts.manufacturer","confidence_effect":0.2},{"after":"vehicle_manufacturer","field":"manufacturer_role","before":"SAAB 99-2,0 CM 2","target":"normalized","rule_ids":["MFE-CC8089323A8D5F","MFR-BRAND-REVIEWED-EXAMPLE"],"sequence":5,"transformer_id":"ts.manufacturer","confidence_effect":0.2},{"after":"model_year","field":"production_date_precision","before":{"model_year":1972,"vehicle_year":1972,"registration_date":"19720905"},"target":"normalized","rule_ids":["DATE-REGISTRATION-V1","DATE-PRODUCTION-YEAR-V1"],"sequence":6,"transformer_id":"ts.dates","confidence_effect":0.1},{"after":1972,"field":"production_year","before":{"model_year":1972,"vehicle_year":1972,"registration_date":"19720905"},"target":"normalized","rule_ids":["DATE-REGISTRATION-V1","DATE-PRODUCTION-YEAR-V1"],"sequence":7,"transformer_id":"ts.dates","confidence_effect":0.1},{"after":"1972-09-05","field":"registration_date","before":{"model_year":1972,"vehicle_year":1972,"registration_date":"19720905"},"target":"normalized","rule_ids":["DATE-REGISTRATION-V1","DATE-PRODUCTION-YEAR-V1"],"sequence":8,"transformer_id":"ts.dates","confidence_effect":0.1},{"after":70,"field":"power_kw","before":70,"target":"normalized","rule_ids":["UNIT-POWER-KW-V1"],"sequence":9,"transformer_id":"ts.engine-measurements","confidence_effect":0.1},{"after":"kw","field":"power_source_unit","before":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" s="38" t="str">
        <x:v>{"candidates":{},"confidence":0.95,"normalized":{"market":["SE"],"power_kw":70,"manufacturer":"Saab","bodywork_form":"covered_body","energy_sources":["petrol"],"production_year":1972,"manufacturer_role":"vehicle_manufacturer","power_source_unit":"kw","registration_date":"1972-09-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99-2,0 CM 2","target":"normalized","rule_ids":["MFE-CC8089323A8D5F","MFR-BRAND-REVIEWED-EXAMPLE"],"sequence":3,"transformer_id":"ts.manufacturer","confidence_effect":0.2},{"after":"Saab","field":"manufacturer","before":"SAAB 99-2,0 CM 2","target":"normalized","rule_ids":["MFE-CC8089323A8D5F","MFR-BRAND-REVIEWED-EXAMPLE"],"sequence":4,"transformer_id":"ts.manufacturer","confidence_effect":0.2},{"after":"vehicle_manufacturer","field":"manufacturer_role","before":"SAAB 99-2,0 CM 2","target":"normalized","rule_ids":["MFE-CC8089323A8D5F","MFR-BRAND-REVIEWED-EXAMPLE"],"sequence":5,"transformer_id":"ts.manufacturer","confidence_effect":0.2},{"after":"model_year","field":"production_date_precision","before":{"model_year":1972,"vehicle_year":1972,"registration_date":"19720905"},"target":"normalized","rule_ids":["DATE-REGISTRATION-V1","DATE-PRODUCTION-YEAR-V1"],"sequence":6,"transformer_id":"ts.dates","confidence_effect":0.1},{"after":1972,"field":"production_year","before":{"model_year":1972,"vehicle_year":1972,"registration_date":"19720905"},"target":"normalized","rule_ids":["DATE-REGISTRATION-V1","DATE-PRODUCTION-YEAR-V1"],"sequence":7,"transformer_id":"ts.dates","confidence_effect":0.1},{"after":"1972-09-05","field":"registration_date","before":{"model_year":1972,"vehicle_year":1972,"registration_date":"19720905"},"target":"normalized","rule_ids":["DATE-REGISTRATION-V1","DATE-PRODUCTION-YEAR-V1"],"sequence":8,"transformer_id":"ts.dates","confidence_effect":0.1},{"after":70,"field":"power_kw","before":70,"target":"normalized","rule_ids":["UNIT-POWER-KW-V1"],"sequence":9,"transformer_id":"ts.engine-measurements","confidence_effect":0.1},{"after":"kw","field":"power_source_unit","before":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7" s="36" t="n">
        <x:v>46239.78067015046</x:v>
      </x:c>
      <x:c r="AA17" s="36" t="n">
        <x:v>46239.78067015046</x:v>
      </x:c>
    </x:row>
    <x:row r="18" ht="18" customHeight="1">
      <x:c r="A18" s="36" t="n">
        <x:v>2620</x:v>
      </x:c>
      <x:c r="B18" s="36" t="str">
        <x:v>021be88c-c9b7-5c10-8531-aa0954b2a373</x:v>
      </x:c>
      <x:c r="C18" s="36" t="str">
        <x:v>Transportstyrelsen</x:v>
      </x:c>
      <x:c r="D18" s="36" t="str">
        <x:v>normalization-review-passenger-250-v1-rules-20260805T184409855703Z</x:v>
      </x:c>
      <x:c r="E18" s="36" t="str">
        <x:v>staging.transportstyrelsen_raw</x:v>
      </x:c>
      <x:c r="F18" s="36" t="n">
        <x:v>2738</x:v>
      </x:c>
      <x:c r="G18" s="36" t="str">
        <x:v>ts-mapping-v1</x:v>
      </x:c>
      <x:c r="H18" s="36" t="str">
        <x:v>ts-review-20260805T184254528647Z</x:v>
      </x:c>
      <x:c r="I18" s="36" t="str">
        <x:v>normalization-pipeline-v4</x:v>
      </x:c>
      <x:c r="J18" s="36" t="str">
        <x:v>provisional</x:v>
      </x:c>
      <x:c r="K18" s="39" t="n">
        <x:v>0.8</x:v>
      </x:c>
      <x:c r="L18" s="36" t="str">
        <x:v>Volvo</x:v>
      </x:c>
      <x:c r="M18" s="36"/>
      <x:c r="N18" s="36" t="str">
        <x:v>estate</x:v>
      </x:c>
      <x:c r="O18" s="38" t="str">
        <x:v>["petrol"]</x:v>
      </x:c>
      <x:c r="P18" s="36" t="str">
        <x:v>manual</x:v>
      </x:c>
      <x:c r="Q18" s="36" t="n">
        <x:v>1971</x:v>
      </x:c>
      <x:c r="R18" s="38" t="str">
        <x:v>["DATE-REGISTRATION-V1","DATE-PRODUCTION-YEAR-V1","UNIT-POWER-KW-V1","TRN-001","BDY-103","FUEL-001"]</x:v>
      </x:c>
      <x:c r="S18" s="38" t="str">
        <x:v>["MFR-BRAND-PREFIX-FALLBACK"]</x:v>
      </x:c>
      <x:c r="T18" s="38" t="str">
        <x:v>[]</x:v>
      </x:c>
      <x:c r="U18" s="38" t="str">
        <x:v>{"market":["SE"],"power_kw":60,"manufacturer":"Volvo","bodywork_form":"estate","energy_sources":["petrol"],"production_year":1971,"manufacturer_role":"vehicle_manufacturer","power_source_unit":"kw","registration_date":"1971-04-01","transmission_type":"manual","alias_types_present":["plate","vin"],"builder_converter_names":[],"production_date_precision":"model_year","bodywork_registry_label_sv":"Kombi"}</x:v>
      </x:c>
      <x:c r="V18" s="38" t="str">
        <x:v>{"manufacturer_confirmation":{"source_fields":["brand"],"canonical_name":"Volvo"}}</x:v>
      </x:c>
      <x:c r="W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1451641 U","target":"normalized","rule_ids":["MFR-CLASSIFY-V1"],"sequence":3,"transformer_id":"ts.manufacturer","confidence_effect":0.2},{"after":"Volvo","field":"manufacturer","before":"VOLVO 1451641 U","target":"normalized","rule_ids":["MFR-CLASSIFY-V1"],"sequence":4,"transformer_id":"ts.manufacturer","confidence_effect":0.2},{"after":"vehicle_manufacturer","field":"manufacturer_role","before":"VOLVO 1451641 U","target":"normalized","rule_ids":["MFR-CLASSIFY-V1"],"sequence":5,"transformer_id":"ts.manufacturer","confidence_effect":0.2},{"after":{"source_fields":["brand"],"canonical_name":"Volvo"},"field":"manufacturer_confirmation","before":"VOLVO 1451641 U","target":"candidate","rule_ids":["MFR-BRAND-PREFIX-FALLBACK"],"sequence":6,"transformer_id":"ts.manufacturer","confidence_effect":0.05},{"after":"model_year","field":"production_date_precision","before":{"model_year":1971,"vehicle_year":1971,"registration_date":"19710401"},"target":"normalized","rule_ids":["DATE-REGISTRATION-V1","DATE-PRODUCTION-YEAR-V1"],"sequence":7,"transformer_id":"ts.dates","confidence_effect":0.1},{"after":1971,"field":"production_year","before":{"model_year":1971,"vehicle_year":1971,"registration_date":"19710401"},"target":"normalized","rule_ids":["DATE-REGISTRATION-V1","DATE-PRODUCTION-YEAR-V1"],"sequence":8,"transformer_id":"ts.dates","confidence_effect":0.1},{"after":"1971-04-01","field":"registration_date","before":{"model_year":1971,"vehicle_year":1971,"registration_date":"19710401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" s="38" t="str">
        <x:v>{"candidates":{"manufacturer_confirmation":{"source_fields":["brand"],"canonical_name":"Volvo"}},"confidence":0.8,"normalized":{"market":["SE"],"power_kw":60,"manufacturer":"Volvo","bodywork_form":"estate","energy_sources":["petrol"],"production_year":1971,"manufacturer_role":"vehicle_manufacturer","power_source_unit":"kw","registration_date":"1971-04-01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1451641 U","target":"normalized","rule_ids":["MFR-CLASSIFY-V1"],"sequence":3,"transformer_id":"ts.manufacturer","confidence_effect":0.2},{"after":"Volvo","field":"manufacturer","before":"VOLVO 1451641 U","target":"normalized","rule_ids":["MFR-CLASSIFY-V1"],"sequence":4,"transformer_id":"ts.manufacturer","confidence_effect":0.2},{"after":"vehicle_manufacturer","field":"manufacturer_role","before":"VOLVO 1451641 U","target":"normalized","rule_ids":["MFR-CLASSIFY-V1"],"sequence":5,"transformer_id":"ts.manufacturer","confidence_effect":0.2},{"after":{"source_fields":["brand"],"canonical_name":"Volvo"},"field":"manufacturer_confirmation","before":"VOLVO 1451641 U","target":"candidate","rule_ids":["MFR-BRAND-PREFIX-FALLBACK"],"sequence":6,"transformer_id":"ts.manufacturer","confidence_effect":0.05},{"after":"model_year","field":"production_date_precision","before":{"model_year":1971,"vehicle_year":1971,"registration_date":"19710401"},"target":"normalized","rule_ids":["DATE-REGISTRATION-V1","DATE-PRODUCTION-YEAR-V1"],"sequence":7,"transformer_id":"ts.dates","confidence_effect":0.1},{"after":1971,"field":"production_year","before":{"model_year":1971,"vehicle_year":1971,"registration_date":"19710401"},"target":"normalized","rule_ids":["DATE-REGISTRATION-V1","DATE-PRODUCTION-YEAR-V1"],"sequence":8,"transformer_id":"ts.dates","confidence_effect":0.1},{"after":"1971-04-01","field":"registration_date","before":{"model_year":1971,"vehicle_year":1971,"registration_date":"19710401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8" s="36" t="n">
        <x:v>46239.78067015046</x:v>
      </x:c>
      <x:c r="AA18" s="36" t="n">
        <x:v>46239.78067015046</x:v>
      </x:c>
    </x:row>
    <x:row r="19" ht="18" customHeight="1">
      <x:c r="A19" s="36" t="n">
        <x:v>2621</x:v>
      </x:c>
      <x:c r="B19" s="36" t="str">
        <x:v>7f40cff7-50b7-5075-9683-68b78af13d27</x:v>
      </x:c>
      <x:c r="C19" s="36" t="str">
        <x:v>Transportstyrelsen</x:v>
      </x:c>
      <x:c r="D19" s="36" t="str">
        <x:v>normalization-review-passenger-250-v1-rules-20260805T184409855703Z</x:v>
      </x:c>
      <x:c r="E19" s="36" t="str">
        <x:v>staging.transportstyrelsen_raw</x:v>
      </x:c>
      <x:c r="F19" s="36" t="n">
        <x:v>2739</x:v>
      </x:c>
      <x:c r="G19" s="36" t="str">
        <x:v>ts-mapping-v1</x:v>
      </x:c>
      <x:c r="H19" s="36" t="str">
        <x:v>ts-review-20260805T184254528647Z</x:v>
      </x:c>
      <x:c r="I19" s="36" t="str">
        <x:v>normalization-pipeline-v4</x:v>
      </x:c>
      <x:c r="J19" s="36" t="str">
        <x:v>provisional</x:v>
      </x:c>
      <x:c r="K19" s="39" t="n">
        <x:v>0.8</x:v>
      </x:c>
      <x:c r="L19" s="36" t="str">
        <x:v>Ford</x:v>
      </x:c>
      <x:c r="M19" s="36" t="str">
        <x:v>KUGA</x:v>
      </x:c>
      <x:c r="N19" s="36" t="str">
        <x:v>multi_purpose_vehicle</x:v>
      </x:c>
      <x:c r="O19" s="38" t="str">
        <x:v>["petrol","electricity"]</x:v>
      </x:c>
      <x:c r="P19" s="36" t="str">
        <x:v>cvt</x:v>
      </x:c>
      <x:c r="Q19" s="36" t="n">
        <x:v>2020</x:v>
      </x:c>
      <x:c r="R19" s="38" t="str">
        <x:v>["MFR-102","DATE-REGISTRATION-V1","DATE-PRODUCTION-MONTH-V1","UNIT-POWER-KW-V1","UNIT-DISPLACEMENT-CCM-V1","TRN-003","BDY-113","FUEL-001","FUEL-003","ELEC-003"]</x:v>
      </x:c>
      <x:c r="S19" s="38" t="str">
        <x:v>[]</x:v>
      </x:c>
      <x:c r="T19" s="38" t="str">
        <x:v>[]</x:v>
      </x:c>
      <x:c r="U19" s="38" t="str">
        <x:v>{"market":["SE"],"power_kw":112,"manufacturer":"Ford","bodywork_form":"multi_purpose_vehicle","energy_sources":["petrol","electricity"],"displacement_cc":2488,"production_date":"2020-07","production_year":2020,"manufacturer_role":"vehicle_manufacturer","power_source_unit":"kw","registration_date":"2021-03-29","transmission_type":"cvt","alias_types_present":["plate","vin","model_name"],"electrification_type":"plug_in_hybrid","transmission_display":"Variomatic","model_family_candidate":true,"builder_converter_names":[],"displacement_source_unit":"ccm","production_date_precision":"month","bodywork_registry_label_sv":"Fordon avsett för flera ändamål"}</x:v>
      </x:c>
      <x:c r="V19" s="38" t="str">
        <x:v>{"model_family":"KUGA"}</x:v>
      </x:c>
      <x:c r="W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2020-07","field":"production_date","before":{"build_month":"202007","vehicle_year":2020,"registration_date":"20210329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20210329"},"target":"normalized","rule_ids":["DATE-REGISTRATION-V1","DATE-PRODUCTION-MONTH-V1"],"sequence":9,"transformer_id":"ts.dates","confidence_effect":0.1},{"after":2020,"field":"production_year","before":{"build_month":"202007","vehicle_year":2020,"registration_date":"20210329"},"target":"normalized","rule_ids":["DATE-REGISTRATION-V1","DATE-PRODUCTION-MONTH-V1"],"sequence":10,"transformer_id":"ts.dates","confidence_effect":0.1},{"after":"2021-03-29","field":"registration_date","before":{"build_month":"202007","vehicle_year":2020,"registration_date":"20210329"},"target":"normalized","rule_ids":["DATE-REGISTRATION-V1","DATE-PRODUCTION-MONTH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HX","version":"566DA6AP6AF"},"target":"normalized","rule_ids":["TRN-003"],"sequence":16,"transformer_id":"ts.transmission","confidence_effect":0.1},{"after":"cvt","field":"transmission_type","before":{"model":"KUGA","gearbox":"V","variant":"BGDA1HX","version":"566DA6AP6AF"},"target":"normalized","rule_ids":["TRN-003"],"sequence":17,"transformer_id":"ts.transmission","confidence_effect":0.1},{"after":"multi_purpose_vehicle","field":"bodywork_form","before":{"model":"KUGA","variant":"BGDA1HX","version":"566DA6AP6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HX","version":"566DA6AP6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HX","version":"566DA6AP6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HX","version":"566DA6AP6AF","ev_config":"LADDHYBRID"},"target":"normalized","rule_ids":["FUEL-001","FUEL-003","ELEC-003"],"sequence":21,"transformer_id":"ts.fuel","confidence_effect":0.0}]</x:v>
      </x:c>
      <x:c r="X19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9" s="38" t="str">
        <x:v>{"candidates":{"model_family":"KUGA"},"confidence":0.8,"normalized":{"market":["SE"],"power_kw":112,"manufacturer":"Ford","bodywork_form":"multi_purpose_vehicle","energy_sources":["petrol","electricity"],"displacement_cc":2488,"production_date":"2020-07","production_year":2020,"manufacturer_role":"vehicle_manufacturer","power_source_unit":"kw","registration_date":"2021-03-29","transmission_type":"cvt","alias_types_present":["plate","vin","model_name"],"electrification_type":"plug_in_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2020-07","field":"production_date","before":{"build_month":"202007","vehicle_year":2020,"registration_date":"20210329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20210329"},"target":"normalized","rule_ids":["DATE-REGISTRATION-V1","DATE-PRODUCTION-MONTH-V1"],"sequence":9,"transformer_id":"ts.dates","confidence_effect":0.1},{"after":2020,"field":"production_year","before":{"build_month":"202007","vehicle_year":2020,"registration_date":"20210329"},"target":"normalized","rule_ids":["DATE-REGISTRATION-V1","DATE-PRODUCTION-MONTH-V1"],"sequence":10,"transformer_id":"ts.dates","confidence_effect":0.1},{"after":"2021-03-29","field":"registration_date","before":{"build_month":"202007","vehicle_year":2020,"registration_date":"20210329"},"target":"normalized","rule_ids":["DATE-REGISTRATION-V1","DATE-PRODUCTION-MONTH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HX","version":"566DA6AP6AF"},"target":"normalized","rule_ids":["TRN-003"],"sequence":16,"transformer_id":"ts.transmission","confidence_effect":0.1},{"after":"cvt","field":"transmission_type","before":{"model":"KUGA","gearbox":"V","variant":"BGDA1HX","version":"566DA6AP6AF"},"target":"normalized","rule_ids":["TRN-003"],"sequence":17,"transformer_id":"ts.transmission","confidence_effect":0.1},{"after":"multi_purpose_vehicle","field":"bodywork_form","before":{"model":"KUGA","variant":"BGDA1HX","version":"566DA6AP6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HX","version":"566DA6AP6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HX","version":"566DA6AP6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HX","version":"566DA6AP6AF","ev_config":"LADDHYBRID"},"target":"normalized","rule_ids":["FUEL-001","FUEL-003","ELEC-003"],"sequence":21,"transformer_id":"ts.fuel","confidence_effect":0.0}],"pipeline_version":"normalization-pipeline-v4","candidate_rule_ids":[]}</x:v>
      </x:c>
      <x:c r="Z19" s="36" t="n">
        <x:v>46239.78067015046</x:v>
      </x:c>
      <x:c r="AA19" s="36" t="n">
        <x:v>46239.78067015046</x:v>
      </x:c>
    </x:row>
    <x:row r="20" ht="18" customHeight="1">
      <x:c r="A20" s="36" t="n">
        <x:v>2622</x:v>
      </x:c>
      <x:c r="B20" s="36" t="str">
        <x:v>e2c53fdc-d2bb-5f3f-a6c2-32f6b99399bb</x:v>
      </x:c>
      <x:c r="C20" s="36" t="str">
        <x:v>Transportstyrelsen</x:v>
      </x:c>
      <x:c r="D20" s="36" t="str">
        <x:v>normalization-review-passenger-250-v1-rules-20260805T184409855703Z</x:v>
      </x:c>
      <x:c r="E20" s="36" t="str">
        <x:v>staging.transportstyrelsen_raw</x:v>
      </x:c>
      <x:c r="F20" s="36" t="n">
        <x:v>2740</x:v>
      </x:c>
      <x:c r="G20" s="36" t="str">
        <x:v>ts-mapping-v1</x:v>
      </x:c>
      <x:c r="H20" s="36" t="str">
        <x:v>ts-review-20260805T184254528647Z</x:v>
      </x:c>
      <x:c r="I20" s="36" t="str">
        <x:v>normalization-pipeline-v4</x:v>
      </x:c>
      <x:c r="J20" s="36" t="str">
        <x:v>resolved</x:v>
      </x:c>
      <x:c r="K20" s="39" t="n">
        <x:v>0.95</x:v>
      </x:c>
      <x:c r="L20" s="36" t="str">
        <x:v>Chevrolet</x:v>
      </x:c>
      <x:c r="M20" s="36"/>
      <x:c r="N20" s="36" t="str">
        <x:v>estate</x:v>
      </x:c>
      <x:c r="O20" s="38" t="str">
        <x:v>["petrol"]</x:v>
      </x:c>
      <x:c r="P20" s="36" t="str">
        <x:v>automatic</x:v>
      </x:c>
      <x:c r="Q20" s="36" t="n">
        <x:v>1961</x:v>
      </x:c>
      <x:c r="R20" s="38" t="str">
        <x:v>["MFR-BRAND-LEGACY-EXACT","DATE-REGISTRATION-V1","DATE-PRODUCTION-YEAR-V1","UNIT-POWER-KW-V1","TRN-002","BDY-110","FUEL-001"]</x:v>
      </x:c>
      <x:c r="S20" s="38" t="str">
        <x:v>[]</x:v>
      </x:c>
      <x:c r="T20" s="38" t="str">
        <x:v>[]</x:v>
      </x:c>
      <x:c r="U20" s="38" t="str">
        <x:v>{"market":["SE"],"power_kw":101,"manufacturer":"Chevrolet","bodywork_form":"estate","energy_sources":["petrol"],"production_year":1961,"manufacturer_role":"vehicle_manufacturer","power_source_unit":"kw","registration_date":"2015-02-20","transmission_type":"automatic","alias_types_present":["plate","vin"],"builder_converter_names":[],"production_date_precision":"model_year","bodywork_registry_label_sv":"Stationsvagn (kombivagn)"}</x:v>
      </x:c>
      <x:c r="V20" s="38" t="str">
        <x:v>{}</x:v>
      </x:c>
      <x:c r="W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VAN","target":"normalized","rule_ids":["MFR-BRAND-LEGACY-EXACT"],"sequence":3,"transformer_id":"ts.manufacturer","confidence_effect":0.2},{"after":"Chevrolet","field":"manufacturer","before":"CHEVROLET VAN","target":"normalized","rule_ids":["MFR-BRAND-LEGACY-EXACT"],"sequence":4,"transformer_id":"ts.manufacturer","confidence_effect":0.2},{"after":"vehicle_manufacturer","field":"manufacturer_role","before":"CHEVROLET VAN","target":"normalized","rule_ids":["MFR-BRAND-LEGACY-EXACT"],"sequence":5,"transformer_id":"ts.manufacturer","confidence_effect":0.2},{"after":"model_year","field":"production_date_precision","before":{"model_year":1961,"vehicle_year":1961,"registration_date":"20150220"},"target":"normalized","rule_ids":["DATE-REGISTRATION-V1","DATE-PRODUCTION-YEAR-V1"],"sequence":6,"transformer_id":"ts.dates","confidence_effect":0.1},{"after":1961,"field":"production_year","before":{"model_year":1961,"vehicle_year":1961,"registration_date":"20150220"},"target":"normalized","rule_ids":["DATE-REGISTRATION-V1","DATE-PRODUCTION-YEAR-V1"],"sequence":7,"transformer_id":"ts.dates","confidence_effect":0.1},{"after":"2015-02-20","field":"registration_date","before":{"model_year":1961,"vehicle_year":1961,"registration_date":"20150220"},"target":"normalized","rule_ids":["DATE-REGISTRATION-V1","DATE-PRODUCTION-YEAR-V1"],"sequence":8,"transformer_id":"ts.dates","confidence_effect":0.1},{"after":101,"field":"power_kw","before":101,"target":"normalized","rule_ids":["UNIT-POWER-KW-V1"],"sequence":9,"transformer_id":"ts.engine-measurements","confidence_effect":0.1},{"after":"kw","field":"power_source_unit","before":101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" s="38" t="str">
        <x:v>{"candidates":{},"confidence":0.95,"normalized":{"market":["SE"],"power_kw":101,"manufacturer":"Chevrolet","bodywork_form":"estate","energy_sources":["petrol"],"production_year":1961,"manufacturer_role":"vehicle_manufacturer","power_source_unit":"kw","registration_date":"2015-02-20","transmission_type":"automatic","alias_types_present":["plate","vin"],"builder_converter_names":[],"production_date_precision":"model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VAN","target":"normalized","rule_ids":["MFR-BRAND-LEGACY-EXACT"],"sequence":3,"transformer_id":"ts.manufacturer","confidence_effect":0.2},{"after":"Chevrolet","field":"manufacturer","before":"CHEVROLET VAN","target":"normalized","rule_ids":["MFR-BRAND-LEGACY-EXACT"],"sequence":4,"transformer_id":"ts.manufacturer","confidence_effect":0.2},{"after":"vehicle_manufacturer","field":"manufacturer_role","before":"CHEVROLET VAN","target":"normalized","rule_ids":["MFR-BRAND-LEGACY-EXACT"],"sequence":5,"transformer_id":"ts.manufacturer","confidence_effect":0.2},{"after":"model_year","field":"production_date_precision","before":{"model_year":1961,"vehicle_year":1961,"registration_date":"20150220"},"target":"normalized","rule_ids":["DATE-REGISTRATION-V1","DATE-PRODUCTION-YEAR-V1"],"sequence":6,"transformer_id":"ts.dates","confidence_effect":0.1},{"after":1961,"field":"production_year","before":{"model_year":1961,"vehicle_year":1961,"registration_date":"20150220"},"target":"normalized","rule_ids":["DATE-REGISTRATION-V1","DATE-PRODUCTION-YEAR-V1"],"sequence":7,"transformer_id":"ts.dates","confidence_effect":0.1},{"after":"2015-02-20","field":"registration_date","before":{"model_year":1961,"vehicle_year":1961,"registration_date":"20150220"},"target":"normalized","rule_ids":["DATE-REGISTRATION-V1","DATE-PRODUCTION-YEAR-V1"],"sequence":8,"transformer_id":"ts.dates","confidence_effect":0.1},{"after":101,"field":"power_kw","before":101,"target":"normalized","rule_ids":["UNIT-POWER-KW-V1"],"sequence":9,"transformer_id":"ts.engine-measurements","confidence_effect":0.1},{"after":"kw","field":"power_source_unit","before":101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20" s="36" t="n">
        <x:v>46239.78067015046</x:v>
      </x:c>
      <x:c r="AA20" s="36" t="n">
        <x:v>46239.78067015046</x:v>
      </x:c>
    </x:row>
    <x:row r="21" ht="18" customHeight="1">
      <x:c r="A21" s="36" t="n">
        <x:v>2623</x:v>
      </x:c>
      <x:c r="B21" s="36" t="str">
        <x:v>7faec669-c11d-5c7c-a3e9-a3965187a22d</x:v>
      </x:c>
      <x:c r="C21" s="36" t="str">
        <x:v>Transportstyrelsen</x:v>
      </x:c>
      <x:c r="D21" s="36" t="str">
        <x:v>normalization-review-passenger-250-v1-rules-20260805T184409855703Z</x:v>
      </x:c>
      <x:c r="E21" s="36" t="str">
        <x:v>staging.transportstyrelsen_raw</x:v>
      </x:c>
      <x:c r="F21" s="36" t="n">
        <x:v>2741</x:v>
      </x:c>
      <x:c r="G21" s="36" t="str">
        <x:v>ts-mapping-v1</x:v>
      </x:c>
      <x:c r="H21" s="36" t="str">
        <x:v>ts-review-20260805T184254528647Z</x:v>
      </x:c>
      <x:c r="I21" s="36" t="str">
        <x:v>normalization-pipeline-v4</x:v>
      </x:c>
      <x:c r="J21" s="36" t="str">
        <x:v>provisional</x:v>
      </x:c>
      <x:c r="K21" s="39" t="n">
        <x:v>0.8</x:v>
      </x:c>
      <x:c r="L21" s="36" t="str">
        <x:v>Fiat</x:v>
      </x:c>
      <x:c r="M21" s="36"/>
      <x:c r="N21" s="36" t="str">
        <x:v>covered_body</x:v>
      </x:c>
      <x:c r="O21" s="38" t="str">
        <x:v>["petrol"]</x:v>
      </x:c>
      <x:c r="P21" s="36" t="str">
        <x:v>manual</x:v>
      </x:c>
      <x:c r="Q21" s="36" t="n">
        <x:v>1979</x:v>
      </x:c>
      <x:c r="R21" s="38" t="str">
        <x:v>["DATE-REGISTRATION-V1","DATE-PRODUCTION-YEAR-V1","UNIT-POWER-KW-V1","TRN-001","BDY-102","FUEL-001"]</x:v>
      </x:c>
      <x:c r="S21" s="38" t="str">
        <x:v>["MFR-BRAND-PREFIX-FALLBACK"]</x:v>
      </x:c>
      <x:c r="T21" s="38" t="str">
        <x:v>[]</x:v>
      </x:c>
      <x:c r="U21" s="38" t="str">
        <x:v>{"market":["SE"],"power_kw":68,"manufacturer":"Fiat","bodywork_form":"covered_body","energy_sources":["petrol"],"production_year":1979,"manufacturer_role":"vehicle_manufacturer","power_source_unit":"kw","registration_date":"1980-02-25","transmission_type":"manual","alias_types_present":["plate","vin"],"builder_converter_names":[],"production_date_precision":"model_year","bodywork_registry_label_sv":"Täckt"}</x:v>
      </x:c>
      <x:c r="V21" s="38" t="str">
        <x:v>{"manufacturer_confirmation":{"source_fields":["brand"],"canonical_name":"Fiat"}}</x:v>
      </x:c>
      <x:c r="W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131 SUPER 1600","target":"normalized","rule_ids":["MFR-CLASSIFY-V1"],"sequence":3,"transformer_id":"ts.manufacturer","confidence_effect":0.2},{"after":"Fiat","field":"manufacturer","before":"FIAT 131 SUPER 1600","target":"normalized","rule_ids":["MFR-CLASSIFY-V1"],"sequence":4,"transformer_id":"ts.manufacturer","confidence_effect":0.2},{"after":"vehicle_manufacturer","field":"manufacturer_role","before":"FIAT 131 SUPER 1600","target":"normalized","rule_ids":["MFR-CLASSIFY-V1"],"sequence":5,"transformer_id":"ts.manufacturer","confidence_effect":0.2},{"after":{"source_fields":["brand"],"canonical_name":"Fiat"},"field":"manufacturer_confirmation","before":"FIAT 131 SUPER 1600","target":"candidate","rule_ids":["MFR-BRAND-PREFIX-FALLBACK"],"sequence":6,"transformer_id":"ts.manufacturer","confidence_effect":0.05},{"after":"model_year","field":"production_date_precision","before":{"model_year":1979,"vehicle_year":1979,"registration_date":"19800225"},"target":"normalized","rule_ids":["DATE-REGISTRATION-V1","DATE-PRODUCTION-YEAR-V1"],"sequence":7,"transformer_id":"ts.dates","confidence_effect":0.1},{"after":1979,"field":"production_year","before":{"model_year":1979,"vehicle_year":1979,"registration_date":"19800225"},"target":"normalized","rule_ids":["DATE-REGISTRATION-V1","DATE-PRODUCTION-YEAR-V1"],"sequence":8,"transformer_id":"ts.dates","confidence_effect":0.1},{"after":"1980-02-25","field":"registration_date","before":{"model_year":1979,"vehicle_year":1979,"registration_date":"19800225"},"target":"normalized","rule_ids":["DATE-REGISTRATION-V1","DATE-PRODUCTION-YEAR-V1"],"sequence":9,"transformer_id":"ts.dates","confidence_effect":0.1},{"after":68,"field":"power_kw","before":68,"target":"normalized","rule_ids":["UNIT-POWER-KW-V1"],"sequence":10,"transformer_id":"ts.engine-measurements","confidence_effect":0.1},{"after":"kw","field":"power_source_unit","before":68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" s="38" t="str">
        <x:v>{"candidates":{"manufacturer_confirmation":{"source_fields":["brand"],"canonical_name":"Fiat"}},"confidence":0.8,"normalized":{"market":["SE"],"power_kw":68,"manufacturer":"Fiat","bodywork_form":"covered_body","energy_sources":["petrol"],"production_year":1979,"manufacturer_role":"vehicle_manufacturer","power_source_unit":"kw","registration_date":"1980-02-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131 SUPER 1600","target":"normalized","rule_ids":["MFR-CLASSIFY-V1"],"sequence":3,"transformer_id":"ts.manufacturer","confidence_effect":0.2},{"after":"Fiat","field":"manufacturer","before":"FIAT 131 SUPER 1600","target":"normalized","rule_ids":["MFR-CLASSIFY-V1"],"sequence":4,"transformer_id":"ts.manufacturer","confidence_effect":0.2},{"after":"vehicle_manufacturer","field":"manufacturer_role","before":"FIAT 131 SUPER 1600","target":"normalized","rule_ids":["MFR-CLASSIFY-V1"],"sequence":5,"transformer_id":"ts.manufacturer","confidence_effect":0.2},{"after":{"source_fields":["brand"],"canonical_name":"Fiat"},"field":"manufacturer_confirmation","before":"FIAT 131 SUPER 1600","target":"candidate","rule_ids":["MFR-BRAND-PREFIX-FALLBACK"],"sequence":6,"transformer_id":"ts.manufacturer","confidence_effect":0.05},{"after":"model_year","field":"production_date_precision","before":{"model_year":1979,"vehicle_year":1979,"registration_date":"19800225"},"target":"normalized","rule_ids":["DATE-REGISTRATION-V1","DATE-PRODUCTION-YEAR-V1"],"sequence":7,"transformer_id":"ts.dates","confidence_effect":0.1},{"after":1979,"field":"production_year","before":{"model_year":1979,"vehicle_year":1979,"registration_date":"19800225"},"target":"normalized","rule_ids":["DATE-REGISTRATION-V1","DATE-PRODUCTION-YEAR-V1"],"sequence":8,"transformer_id":"ts.dates","confidence_effect":0.1},{"after":"1980-02-25","field":"registration_date","before":{"model_year":1979,"vehicle_year":1979,"registration_date":"19800225"},"target":"normalized","rule_ids":["DATE-REGISTRATION-V1","DATE-PRODUCTION-YEAR-V1"],"sequence":9,"transformer_id":"ts.dates","confidence_effect":0.1},{"after":68,"field":"power_kw","before":68,"target":"normalized","rule_ids":["UNIT-POWER-KW-V1"],"sequence":10,"transformer_id":"ts.engine-measurements","confidence_effect":0.1},{"after":"kw","field":"power_source_unit","before":68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" s="36" t="n">
        <x:v>46239.78067015046</x:v>
      </x:c>
      <x:c r="AA21" s="36" t="n">
        <x:v>46239.78067015046</x:v>
      </x:c>
    </x:row>
    <x:row r="22" ht="18" customHeight="1">
      <x:c r="A22" s="36" t="n">
        <x:v>2624</x:v>
      </x:c>
      <x:c r="B22" s="36" t="str">
        <x:v>4dc39ace-6d32-59c3-985e-cddb0ed48852</x:v>
      </x:c>
      <x:c r="C22" s="36" t="str">
        <x:v>Transportstyrelsen</x:v>
      </x:c>
      <x:c r="D22" s="36" t="str">
        <x:v>normalization-review-passenger-250-v1-rules-20260805T184409855703Z</x:v>
      </x:c>
      <x:c r="E22" s="36" t="str">
        <x:v>staging.transportstyrelsen_raw</x:v>
      </x:c>
      <x:c r="F22" s="36" t="n">
        <x:v>2742</x:v>
      </x:c>
      <x:c r="G22" s="36" t="str">
        <x:v>ts-mapping-v1</x:v>
      </x:c>
      <x:c r="H22" s="36" t="str">
        <x:v>ts-review-20260805T184254528647Z</x:v>
      </x:c>
      <x:c r="I22" s="36" t="str">
        <x:v>normalization-pipeline-v4</x:v>
      </x:c>
      <x:c r="J22" s="36" t="str">
        <x:v>resolved</x:v>
      </x:c>
      <x:c r="K22" s="39" t="n">
        <x:v>0.95</x:v>
      </x:c>
      <x:c r="L22" s="36" t="str">
        <x:v>Saab</x:v>
      </x:c>
      <x:c r="M22" s="36"/>
      <x:c r="N22" s="36" t="str">
        <x:v>covered_body</x:v>
      </x:c>
      <x:c r="O22" s="38" t="str">
        <x:v>["petrol"]</x:v>
      </x:c>
      <x:c r="P22" s="36" t="str">
        <x:v>manual</x:v>
      </x:c>
      <x:c r="Q22" s="36" t="n">
        <x:v>1969</x:v>
      </x:c>
      <x:c r="R22" s="38" t="str">
        <x:v>["MFE-CC8089323A8D5F","MFR-BRAND-REVIEWED-EXAMPLE","DATE-REGISTRATION-V1","DATE-PRODUCTION-YEAR-V1","UNIT-POWER-KW-V1","TRN-001","BDY-102","FUEL-001"]</x:v>
      </x:c>
      <x:c r="S22" s="38" t="str">
        <x:v>[]</x:v>
      </x:c>
      <x:c r="T22" s="38" t="str">
        <x:v>[]</x:v>
      </x:c>
      <x:c r="U22" s="38" t="str">
        <x:v>{"market":["SE"],"power_kw":48,"manufacturer":"Saab","bodywork_form":"covered_body","energy_sources":["petrol"],"production_year":1969,"manufacturer_role":"vehicle_manufacturer","power_source_unit":"kw","registration_date":"1968-09-02","transmission_type":"manual","alias_types_present":["plate","vin"],"builder_converter_names":[],"production_date_precision":"model_year","bodywork_registry_label_sv":"Täckt"}</x:v>
      </x:c>
      <x:c r="V22" s="38" t="str">
        <x:v>{}</x:v>
      </x:c>
      <x:c r="W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 4","target":"normalized","rule_ids":["MFE-CC8089323A8D5F","MFR-BRAND-REVIEWED-EXAMPLE"],"sequence":3,"transformer_id":"ts.manufacturer","confidence_effect":0.2},{"after":"Saab","field":"manufacturer","before":"SAAB V 4","target":"normalized","rule_ids":["MFE-CC8089323A8D5F","MFR-BRAND-REVIEWED-EXAMPLE"],"sequence":4,"transformer_id":"ts.manufacturer","confidence_effect":0.2},{"after":"vehicle_manufacturer","field":"manufacturer_role","before":"SAAB V 4","target":"normalized","rule_ids":["MFE-CC8089323A8D5F","MFR-BRAND-REVIEWED-EXAMPLE"],"sequence":5,"transformer_id":"ts.manufacturer","confidence_effect":0.2},{"after":"model_year","field":"production_date_precision","before":{"model_year":1969,"vehicle_year":1969,"registration_date":"19680902"},"target":"normalized","rule_ids":["DATE-REGISTRATION-V1","DATE-PRODUCTION-YEAR-V1"],"sequence":6,"transformer_id":"ts.dates","confidence_effect":0.1},{"after":1969,"field":"production_year","before":{"model_year":1969,"vehicle_year":1969,"registration_date":"19680902"},"target":"normalized","rule_ids":["DATE-REGISTRATION-V1","DATE-PRODUCTION-YEAR-V1"],"sequence":7,"transformer_id":"ts.dates","confidence_effect":0.1},{"after":"1968-09-02","field":"registration_date","before":{"model_year":1969,"vehicle_year":1969,"registration_date":"19680902"},"target":"normalized","rule_ids":["DATE-REGISTRATION-V1","DATE-PRODUCTION-YEAR-V1"],"sequence":8,"transformer_id":"ts.dates","confidence_effect":0.1},{"after":48,"field":"power_kw","before":48,"target":"normalized","rule_ids":["UNIT-POWER-KW-V1"],"sequence":9,"transformer_id":"ts.engine-measurements","confidence_effect":0.1},{"after":"kw","field":"power_source_unit","before":48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2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" s="38" t="str">
        <x:v>{"candidates":{},"confidence":0.95,"normalized":{"market":["SE"],"power_kw":48,"manufacturer":"Saab","bodywork_form":"covered_body","energy_sources":["petrol"],"production_year":1969,"manufacturer_role":"vehicle_manufacturer","power_source_unit":"kw","registration_date":"1968-09-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 4","target":"normalized","rule_ids":["MFE-CC8089323A8D5F","MFR-BRAND-REVIEWED-EXAMPLE"],"sequence":3,"transformer_id":"ts.manufacturer","confidence_effect":0.2},{"after":"Saab","field":"manufacturer","before":"SAAB V 4","target":"normalized","rule_ids":["MFE-CC8089323A8D5F","MFR-BRAND-REVIEWED-EXAMPLE"],"sequence":4,"transformer_id":"ts.manufacturer","confidence_effect":0.2},{"after":"vehicle_manufacturer","field":"manufacturer_role","before":"SAAB V 4","target":"normalized","rule_ids":["MFE-CC8089323A8D5F","MFR-BRAND-REVIEWED-EXAMPLE"],"sequence":5,"transformer_id":"ts.manufacturer","confidence_effect":0.2},{"after":"model_year","field":"production_date_precision","before":{"model_year":1969,"vehicle_year":1969,"registration_date":"19680902"},"target":"normalized","rule_ids":["DATE-REGISTRATION-V1","DATE-PRODUCTION-YEAR-V1"],"sequence":6,"transformer_id":"ts.dates","confidence_effect":0.1},{"after":1969,"field":"production_year","before":{"model_year":1969,"vehicle_year":1969,"registration_date":"19680902"},"target":"normalized","rule_ids":["DATE-REGISTRATION-V1","DATE-PRODUCTION-YEAR-V1"],"sequence":7,"transformer_id":"ts.dates","confidence_effect":0.1},{"after":"1968-09-02","field":"registration_date","before":{"model_year":1969,"vehicle_year":1969,"registration_date":"19680902"},"target":"normalized","rule_ids":["DATE-REGISTRATION-V1","DATE-PRODUCTION-YEAR-V1"],"sequence":8,"transformer_id":"ts.dates","confidence_effect":0.1},{"after":48,"field":"power_kw","before":48,"target":"normalized","rule_ids":["UNIT-POWER-KW-V1"],"sequence":9,"transformer_id":"ts.engine-measurements","confidence_effect":0.1},{"after":"kw","field":"power_source_unit","before":48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22" s="36" t="n">
        <x:v>46239.78067015046</x:v>
      </x:c>
      <x:c r="AA22" s="36" t="n">
        <x:v>46239.78067015046</x:v>
      </x:c>
    </x:row>
    <x:row r="23" ht="18" customHeight="1">
      <x:c r="A23" s="36" t="n">
        <x:v>2625</x:v>
      </x:c>
      <x:c r="B23" s="36" t="str">
        <x:v>35b6bbcf-4db2-5e55-89f9-1b58b3166535</x:v>
      </x:c>
      <x:c r="C23" s="36" t="str">
        <x:v>Transportstyrelsen</x:v>
      </x:c>
      <x:c r="D23" s="36" t="str">
        <x:v>normalization-review-passenger-250-v1-rules-20260805T184409855703Z</x:v>
      </x:c>
      <x:c r="E23" s="36" t="str">
        <x:v>staging.transportstyrelsen_raw</x:v>
      </x:c>
      <x:c r="F23" s="36" t="n">
        <x:v>2743</x:v>
      </x:c>
      <x:c r="G23" s="36" t="str">
        <x:v>ts-mapping-v1</x:v>
      </x:c>
      <x:c r="H23" s="36" t="str">
        <x:v>ts-review-20260805T184254528647Z</x:v>
      </x:c>
      <x:c r="I23" s="36" t="str">
        <x:v>normalization-pipeline-v4</x:v>
      </x:c>
      <x:c r="J23" s="36" t="str">
        <x:v>provisional</x:v>
      </x:c>
      <x:c r="K23" s="39" t="n">
        <x:v>0.8</x:v>
      </x:c>
      <x:c r="L23" s="36" t="str">
        <x:v>Hyundai</x:v>
      </x:c>
      <x:c r="M23" s="36" t="str">
        <x:v>IX20</x:v>
      </x:c>
      <x:c r="N23" s="36" t="str">
        <x:v>multi_purpose_vehicle</x:v>
      </x:c>
      <x:c r="O23" s="38" t="str">
        <x:v>["petrol"]</x:v>
      </x:c>
      <x:c r="P23" s="36" t="str">
        <x:v>manual</x:v>
      </x:c>
      <x:c r="Q23" s="36" t="n">
        <x:v>2014</x:v>
      </x:c>
      <x:c r="R23" s="38" t="str">
        <x:v>["DATE-REGISTRATION-V1","DATE-PRODUCTION-MONTH-V1","UNIT-POWER-KW-V1","UNIT-DISPLACEMENT-CCM-V1","TRN-001","BDY-113","FUEL-001"]</x:v>
      </x:c>
      <x:c r="S23" s="38" t="str">
        <x:v>["MFR-BRAND-PREFIX-FALLBACK"]</x:v>
      </x:c>
      <x:c r="T23" s="38" t="str">
        <x:v>[]</x:v>
      </x:c>
      <x:c r="U23" s="38" t="str">
        <x:v>{"market":["SE"],"power_kw":91,"manufacturer":"Hyundai","bodywork_form":"multi_purpose_vehicle","energy_sources":["petrol"],"displacement_cc":1591,"production_date":"2014-03","production_year":2014,"manufacturer_role":"vehicle_manufacturer","power_source_unit":"kw","registration_date":"2014-04-16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3" s="38" t="str">
        <x:v>{"model_family":"IX20","manufacturer_confirmation":{"source_fields":["brand"],"canonical_name":"Hyundai"}}</x:v>
      </x:c>
      <x:c r="W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JC","target":"normalized","rule_ids":["MFR-CLASSIFY-V1"],"sequence":3,"transformer_id":"ts.manufacturer","confidence_effect":0.2},{"after":"Hyundai","field":"manufacturer","before":"HYUNDAI JC","target":"normalized","rule_ids":["MFR-CLASSIFY-V1"],"sequence":4,"transformer_id":"ts.manufacturer","confidence_effect":0.2},{"after":"vehicle_manufacturer","field":"manufacturer_role","before":"HYUNDAI JC","target":"normalized","rule_ids":["MFR-CLASSIFY-V1"],"sequence":5,"transformer_id":"ts.manufacturer","confidence_effect":0.2},{"after":{"source_fields":["brand"],"canonical_name":"Hyundai"},"field":"manufacturer_confirmation","before":"HYUNDAI JC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2014-03","field":"production_date","before":{"build_month":"201403","vehicle_year":2014,"registration_date":"20140416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20140416"},"target":"normalized","rule_ids":["DATE-REGISTRATION-V1","DATE-PRODUCTION-MONTH-V1"],"sequence":10,"transformer_id":"ts.dates","confidence_effect":0.1},{"after":2014,"field":"production_year","before":{"build_month":"201403","vehicle_year":2014,"registration_date":"20140416"},"target":"normalized","rule_ids":["DATE-REGISTRATION-V1","DATE-PRODUCTION-MONTH-V1"],"sequence":11,"transformer_id":"ts.dates","confidence_effect":0.1},{"after":"2014-04-16","field":"registration_date","before":{"build_month":"201403","vehicle_year":2014,"registration_date":"20140416"},"target":"normalized","rule_ids":["DATE-REGISTRATION-V1","DATE-PRODUCTION-MONTH-V1"],"sequence":12,"transformer_id":"ts.dates","confidence_effect":0.1},{"after":1591,"field":"displacement_cc","before":{"kw":91,"ccm":1591},"target":"normalized","rule_ids":["UNIT-POWER-KW-V1","UNIT-DISPLACEMENT-CCM-V1"],"sequence":13,"transformer_id":"ts.engine-measurements","confidence_effect":0.1},{"after":"ccm","field":"displacement_source_unit","before":{"kw":91,"ccm":1591},"target":"normalized","rule_ids":["UNIT-POWER-KW-V1","UNIT-DISPLACEMENT-CCM-V1"],"sequence":14,"transformer_id":"ts.engine-measurements","confidence_effect":0.1},{"after":91,"field":"power_kw","before":{"kw":91,"ccm":1591},"target":"normalized","rule_ids":["UNIT-POWER-KW-V1","UNIT-DISPLACEMENT-CCM-V1"],"sequence":15,"transformer_id":"ts.engine-measurements","confidence_effect":0.1},{"after":"kw","field":"power_source_unit","before":{"kw":91,"ccm":1591},"target":"normalized","rule_ids":["UNIT-POWER-KW-V1","UNIT-DISPLACEMENT-CCM-V1"],"sequence":16,"transformer_id":"ts.engine-measurements","confidence_effect":0.1},{"after":"manual","field":"transmission_type","before":{"model":"IX20","gearbox":"M","variant":"F5P31","version":"M61AZ1"},"target":"normalized","rule_ids":["TRN-001"],"sequence":17,"transformer_id":"ts.transmission","confidence_effect":0.1},{"after":"multi_purpose_vehicle","field":"bodywork_form","before":{"model":"IX20","variant":"F5P31","version":"M61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P31","version":"M61AZ1","body_code":"AF","eu_category":"M1","vehicle_type":"PB"},"target":"normalized","rule_ids":["BDY-113"],"sequence":19,"transformer_id":"ts.bodywork","confidence_effect":0.1},{"after":["petrol"],"field":"energy_sources","before":{"fuel1":"1","fuel2":"0","fuel3":"0","model":"IX20","variant":"F5P31","version":"M61AZ1"},"target":"normalized","rule_ids":["FUEL-001"],"sequence":20,"transformer_id":"ts.fuel","confidence_effect":0.0}]</x:v>
      </x:c>
      <x:c r="X2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" s="38" t="str">
        <x:v>{"candidates":{"model_family":"IX20","manufacturer_confirmation":{"source_fields":["brand"],"canonical_name":"Hyundai"}},"confidence":0.8,"normalized":{"market":["SE"],"power_kw":91,"manufacturer":"Hyundai","bodywork_form":"multi_purpose_vehicle","energy_sources":["petrol"],"displacement_cc":1591,"production_date":"2014-03","production_year":2014,"manufacturer_role":"vehicle_manufacturer","power_source_unit":"kw","registration_date":"2014-04-16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JC","target":"normalized","rule_ids":["MFR-CLASSIFY-V1"],"sequence":3,"transformer_id":"ts.manufacturer","confidence_effect":0.2},{"after":"Hyundai","field":"manufacturer","before":"HYUNDAI JC","target":"normalized","rule_ids":["MFR-CLASSIFY-V1"],"sequence":4,"transformer_id":"ts.manufacturer","confidence_effect":0.2},{"after":"vehicle_manufacturer","field":"manufacturer_role","before":"HYUNDAI JC","target":"normalized","rule_ids":["MFR-CLASSIFY-V1"],"sequence":5,"transformer_id":"ts.manufacturer","confidence_effect":0.2},{"after":{"source_fields":["brand"],"canonical_name":"Hyundai"},"field":"manufacturer_confirmation","before":"HYUNDAI JC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2014-03","field":"production_date","before":{"build_month":"201403","vehicle_year":2014,"registration_date":"20140416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20140416"},"target":"normalized","rule_ids":["DATE-REGISTRATION-V1","DATE-PRODUCTION-MONTH-V1"],"sequence":10,"transformer_id":"ts.dates","confidence_effect":0.1},{"after":2014,"field":"production_year","before":{"build_month":"201403","vehicle_year":2014,"registration_date":"20140416"},"target":"normalized","rule_ids":["DATE-REGISTRATION-V1","DATE-PRODUCTION-MONTH-V1"],"sequence":11,"transformer_id":"ts.dates","confidence_effect":0.1},{"after":"2014-04-16","field":"registration_date","before":{"build_month":"201403","vehicle_year":2014,"registration_date":"20140416"},"target":"normalized","rule_ids":["DATE-REGISTRATION-V1","DATE-PRODUCTION-MONTH-V1"],"sequence":12,"transformer_id":"ts.dates","confidence_effect":0.1},{"after":1591,"field":"displacement_cc","before":{"kw":91,"ccm":1591},"target":"normalized","rule_ids":["UNIT-POWER-KW-V1","UNIT-DISPLACEMENT-CCM-V1"],"sequence":13,"transformer_id":"ts.engine-measurements","confidence_effect":0.1},{"after":"ccm","field":"displacement_source_unit","before":{"kw":91,"ccm":1591},"target":"normalized","rule_ids":["UNIT-POWER-KW-V1","UNIT-DISPLACEMENT-CCM-V1"],"sequence":14,"transformer_id":"ts.engine-measurements","confidence_effect":0.1},{"after":91,"field":"power_kw","before":{"kw":91,"ccm":1591},"target":"normalized","rule_ids":["UNIT-POWER-KW-V1","UNIT-DISPLACEMENT-CCM-V1"],"sequence":15,"transformer_id":"ts.engine-measurements","confidence_effect":0.1},{"after":"kw","field":"power_source_unit","before":{"kw":91,"ccm":1591},"target":"normalized","rule_ids":["UNIT-POWER-KW-V1","UNIT-DISPLACEMENT-CCM-V1"],"sequence":16,"transformer_id":"ts.engine-measurements","confidence_effect":0.1},{"after":"manual","field":"transmission_type","before":{"model":"IX20","gearbox":"M","variant":"F5P31","version":"M61AZ1"},"target":"normalized","rule_ids":["TRN-001"],"sequence":17,"transformer_id":"ts.transmission","confidence_effect":0.1},{"after":"multi_purpose_vehicle","field":"bodywork_form","before":{"model":"IX20","variant":"F5P31","version":"M61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P31","version":"M61AZ1","body_code":"AF","eu_category":"M1","vehicle_type":"PB"},"target":"normalized","rule_ids":["BDY-113"],"sequence":19,"transformer_id":"ts.bodywork","confidence_effect":0.1},{"after":["petrol"],"field":"energy_sources","before":{"fuel1":"1","fuel2":"0","fuel3":"0","model":"IX20","variant":"F5P31","version":"M61AZ1"},"target":"normalized","rule_ids":["FUEL-001"],"sequence":20,"transformer_id":"ts.fuel","confidence_effect":0.0}],"pipeline_version":"normalization-pipeline-v4","candidate_rule_ids":["MFR-BRAND-PREFIX-FALLBACK"]}</x:v>
      </x:c>
      <x:c r="Z23" s="36" t="n">
        <x:v>46239.78067015046</x:v>
      </x:c>
      <x:c r="AA23" s="36" t="n">
        <x:v>46239.78067015046</x:v>
      </x:c>
    </x:row>
    <x:row r="24" ht="18" customHeight="1">
      <x:c r="A24" s="36" t="n">
        <x:v>2626</x:v>
      </x:c>
      <x:c r="B24" s="36" t="str">
        <x:v>22eb0ac3-52c0-586a-9934-66ac6abc5f69</x:v>
      </x:c>
      <x:c r="C24" s="36" t="str">
        <x:v>Transportstyrelsen</x:v>
      </x:c>
      <x:c r="D24" s="36" t="str">
        <x:v>normalization-review-passenger-250-v1-rules-20260805T184409855703Z</x:v>
      </x:c>
      <x:c r="E24" s="36" t="str">
        <x:v>staging.transportstyrelsen_raw</x:v>
      </x:c>
      <x:c r="F24" s="36" t="n">
        <x:v>2744</x:v>
      </x:c>
      <x:c r="G24" s="36" t="str">
        <x:v>ts-mapping-v1</x:v>
      </x:c>
      <x:c r="H24" s="36" t="str">
        <x:v>ts-review-20260805T184254528647Z</x:v>
      </x:c>
      <x:c r="I24" s="36" t="str">
        <x:v>normalization-pipeline-v4</x:v>
      </x:c>
      <x:c r="J24" s="36" t="str">
        <x:v>provisional</x:v>
      </x:c>
      <x:c r="K24" s="39" t="n">
        <x:v>0.8</x:v>
      </x:c>
      <x:c r="L24" s="36" t="str">
        <x:v>Peugeot</x:v>
      </x:c>
      <x:c r="M24" s="36" t="str">
        <x:v>2008</x:v>
      </x:c>
      <x:c r="N24" s="36" t="str">
        <x:v>multi_purpose_vehicle</x:v>
      </x:c>
      <x:c r="O24" s="38" t="str">
        <x:v>["petrol"]</x:v>
      </x:c>
      <x:c r="P24" s="36" t="str">
        <x:v>manual</x:v>
      </x:c>
      <x:c r="Q24" s="36" t="n">
        <x:v>2022</x:v>
      </x:c>
      <x:c r="R24" s="38" t="str">
        <x:v>["MFR-PARENT-MARKETED","MFR-BRAND-MODEL","DATE-REGISTRATION-V1","DATE-PRODUCTION-DAY-V1","UNIT-POWER-KW-V1","UNIT-DISPLACEMENT-CCM-V1","TRN-001","BDY-113","FUEL-001"]</x:v>
      </x:c>
      <x:c r="S24" s="38" t="str">
        <x:v>[]</x:v>
      </x:c>
      <x:c r="T24" s="38" t="str">
        <x:v>[]</x:v>
      </x:c>
      <x:c r="U24" s="38" t="str">
        <x:v>{"market":["SE"],"power_kw":96,"manufacturer":"Peugeot","bodywork_form":"multi_purpose_vehicle","energy_sources":["petrol"],"displacement_cc":1199,"production_date":"2022-09-22","production_year":2022,"manufacturer_role":"vehicle_manufacturer","power_source_unit":"kw","registration_date":"2022-11-11","transmission_type":"manual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24" s="38" t="str">
        <x:v>{"model_family":"2008"}</x:v>
      </x:c>
      <x:c r="W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2022-09-22","field":"production_date","before":{"build_date":"20220922","build_month":"202209","vehicle_year":2022,"registration_date":"20221111"},"target":"normalized","rule_ids":["DATE-REGISTRATION-V1","DATE-PRODUCTION-DAY-V1"],"sequence":8,"transformer_id":"ts.dates","confidence_effect":0.1},{"after":"day","field":"production_date_precision","before":{"build_date":"20220922","build_month":"202209","vehicle_year":2022,"registration_date":"20221111"},"target":"normalized","rule_ids":["DATE-REGISTRATION-V1","DATE-PRODUCTION-DAY-V1"],"sequence":9,"transformer_id":"ts.dates","confidence_effect":0.1},{"after":2022,"field":"production_year","before":{"build_date":"20220922","build_month":"202209","vehicle_year":2022,"registration_date":"20221111"},"target":"normalized","rule_ids":["DATE-REGISTRATION-V1","DATE-PRODUCTION-DAY-V1"],"sequence":10,"transformer_id":"ts.dates","confidence_effect":0.1},{"after":"2022-11-11","field":"registration_date","before":{"build_date":"20220922","build_month":"202209","vehicle_year":2022,"registration_date":"20221111"},"target":"normalized","rule_ids":["DATE-REGISTRATION-V1",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manual","field":"transmission_type","before":{"model":"2008","gearbox":"M","variant":"S","version":"HNSK-R1B500"},"target":"normalized","rule_ids":["TRN-001"],"sequence":16,"transformer_id":"ts.transmission","confidence_effect":0.1},{"after":"multi_purpose_vehicle","field":"bodywork_form","before":{"model":"2008","variant":"S","version":"HNSK-R1B500","body_code":"AF","eu_category":"M1","vehicle_type":"PB"},"target":"normalized","rule_ids":["BDY-113"],"sequence":17,"transformer_id":"ts.bodywork","confidence_effect":0.1},{"after":"Fordon avsett för flera ändamål","field":"bodywork_registry_label_sv","before":{"model":"2008","variant":"S","version":"HNSK-R1B500","body_code":"AF","eu_category":"M1","vehicle_type":"PB"},"target":"normalized","rule_ids":["BDY-113"],"sequence":18,"transformer_id":"ts.bodywork","confidence_effect":0.1},{"after":["petrol"],"field":"energy_sources","before":{"fuel1":"1","fuel2":"0","fuel3":"0","model":"2008","variant":"S","version":"HNSK-R1B500"},"target":"normalized","rule_ids":["FUEL-001"],"sequence":19,"transformer_id":"ts.fuel","confidence_effect":0.0}]</x:v>
      </x:c>
      <x:c r="X2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" s="38" t="str">
        <x:v>{"candidates":{"model_family":"2008"},"confidence":0.8,"normalized":{"market":["SE"],"power_kw":96,"manufacturer":"Peugeot","bodywork_form":"multi_purpose_vehicle","energy_sources":["petrol"],"displacement_cc":1199,"production_date":"2022-09-22","production_year":2022,"manufacturer_role":"vehicle_manufacturer","power_source_unit":"kw","registration_date":"2022-11-11","transmission_type":"manual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2022-09-22","field":"production_date","before":{"build_date":"20220922","build_month":"202209","vehicle_year":2022,"registration_date":"20221111"},"target":"normalized","rule_ids":["DATE-REGISTRATION-V1","DATE-PRODUCTION-DAY-V1"],"sequence":8,"transformer_id":"ts.dates","confidence_effect":0.1},{"after":"day","field":"production_date_precision","before":{"build_date":"20220922","build_month":"202209","vehicle_year":2022,"registration_date":"20221111"},"target":"normalized","rule_ids":["DATE-REGISTRATION-V1","DATE-PRODUCTION-DAY-V1"],"sequence":9,"transformer_id":"ts.dates","confidence_effect":0.1},{"after":2022,"field":"production_year","before":{"build_date":"20220922","build_month":"202209","vehicle_year":2022,"registration_date":"20221111"},"target":"normalized","rule_ids":["DATE-REGISTRATION-V1","DATE-PRODUCTION-DAY-V1"],"sequence":10,"transformer_id":"ts.dates","confidence_effect":0.1},{"after":"2022-11-11","field":"registration_date","before":{"build_date":"20220922","build_month":"202209","vehicle_year":2022,"registration_date":"20221111"},"target":"normalized","rule_ids":["DATE-REGISTRATION-V1",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manual","field":"transmission_type","before":{"model":"2008","gearbox":"M","variant":"S","version":"HNSK-R1B500"},"target":"normalized","rule_ids":["TRN-001"],"sequence":16,"transformer_id":"ts.transmission","confidence_effect":0.1},{"after":"multi_purpose_vehicle","field":"bodywork_form","before":{"model":"2008","variant":"S","version":"HNSK-R1B500","body_code":"AF","eu_category":"M1","vehicle_type":"PB"},"target":"normalized","rule_ids":["BDY-113"],"sequence":17,"transformer_id":"ts.bodywork","confidence_effect":0.1},{"after":"Fordon avsett för flera ändamål","field":"bodywork_registry_label_sv","before":{"model":"2008","variant":"S","version":"HNSK-R1B500","body_code":"AF","eu_category":"M1","vehicle_type":"PB"},"target":"normalized","rule_ids":["BDY-113"],"sequence":18,"transformer_id":"ts.bodywork","confidence_effect":0.1},{"after":["petrol"],"field":"energy_sources","before":{"fuel1":"1","fuel2":"0","fuel3":"0","model":"2008","variant":"S","version":"HNSK-R1B500"},"target":"normalized","rule_ids":["FUEL-001"],"sequence":19,"transformer_id":"ts.fuel","confidence_effect":0.0}],"pipeline_version":"normalization-pipeline-v4","candidate_rule_ids":[]}</x:v>
      </x:c>
      <x:c r="Z24" s="36" t="n">
        <x:v>46239.78067015046</x:v>
      </x:c>
      <x:c r="AA24" s="36" t="n">
        <x:v>46239.78067015046</x:v>
      </x:c>
    </x:row>
    <x:row r="25" ht="18" customHeight="1">
      <x:c r="A25" s="36" t="n">
        <x:v>2627</x:v>
      </x:c>
      <x:c r="B25" s="36" t="str">
        <x:v>e8a2ab6b-6d88-5897-bd33-1732a6ff1260</x:v>
      </x:c>
      <x:c r="C25" s="36" t="str">
        <x:v>Transportstyrelsen</x:v>
      </x:c>
      <x:c r="D25" s="36" t="str">
        <x:v>normalization-review-passenger-250-v1-rules-20260805T184409855703Z</x:v>
      </x:c>
      <x:c r="E25" s="36" t="str">
        <x:v>staging.transportstyrelsen_raw</x:v>
      </x:c>
      <x:c r="F25" s="36" t="n">
        <x:v>2745</x:v>
      </x:c>
      <x:c r="G25" s="36" t="str">
        <x:v>ts-mapping-v1</x:v>
      </x:c>
      <x:c r="H25" s="36" t="str">
        <x:v>ts-review-20260805T184254528647Z</x:v>
      </x:c>
      <x:c r="I25" s="36" t="str">
        <x:v>normalization-pipeline-v4</x:v>
      </x:c>
      <x:c r="J25" s="36" t="str">
        <x:v>provisional</x:v>
      </x:c>
      <x:c r="K25" s="39" t="n">
        <x:v>0.8</x:v>
      </x:c>
      <x:c r="L25" s="36" t="str">
        <x:v>Volvo</x:v>
      </x:c>
      <x:c r="M25" s="36"/>
      <x:c r="N25" s="36" t="str">
        <x:v>covered_body</x:v>
      </x:c>
      <x:c r="O25" s="38" t="str">
        <x:v>["petrol"]</x:v>
      </x:c>
      <x:c r="P25" s="36" t="str">
        <x:v>manual</x:v>
      </x:c>
      <x:c r="Q25" s="36" t="n">
        <x:v>1973</x:v>
      </x:c>
      <x:c r="R25" s="38" t="str">
        <x:v>["DATE-REGISTRATION-V1","DATE-PRODUCTION-YEAR-V1","UNIT-POWER-KW-V1","TRN-001","BDY-102","FUEL-001"]</x:v>
      </x:c>
      <x:c r="S25" s="38" t="str">
        <x:v>["MFR-BRAND-PREFIX-FALLBACK"]</x:v>
      </x:c>
      <x:c r="T25" s="38" t="str">
        <x:v>[]</x:v>
      </x:c>
      <x:c r="U25" s="38" t="str">
        <x:v>{"market":["SE"],"power_kw":60,"manufacturer":"Volvo","bodywork_form":"covered_body","energy_sources":["petrol"],"production_year":1973,"manufacturer_role":"vehicle_manufacturer","power_source_unit":"kw","registration_date":"1973-07-17","transmission_type":"manual","alias_types_present":["plate","vin"],"builder_converter_names":[],"production_date_precision":"model_year","bodywork_registry_label_sv":"Täckt"}</x:v>
      </x:c>
      <x:c r="V25" s="38" t="str">
        <x:v>{"manufacturer_confirmation":{"source_fields":["brand"],"canonical_name":"Volvo"}}</x:v>
      </x:c>
      <x:c r="W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Y","target":"normalized","rule_ids":["MFR-CLASSIFY-V1"],"sequence":3,"transformer_id":"ts.manufacturer","confidence_effect":0.2},{"after":"Volvo","field":"manufacturer","before":"VOLVO 1421341 Y","target":"normalized","rule_ids":["MFR-CLASSIFY-V1"],"sequence":4,"transformer_id":"ts.manufacturer","confidence_effect":0.2},{"after":"vehicle_manufacturer","field":"manufacturer_role","before":"VOLVO 1421341 Y","target":"normalized","rule_ids":["MFR-CLASSIFY-V1"],"sequence":5,"transformer_id":"ts.manufacturer","confidence_effect":0.2},{"after":{"source_fields":["brand"],"canonical_name":"Volvo"},"field":"manufacturer_confirmation","before":"VOLVO 1421341 Y","target":"candidate","rule_ids":["MFR-BRAND-PREFIX-FALLBACK"],"sequence":6,"transformer_id":"ts.manufacturer","confidence_effect":0.05},{"after":"model_year","field":"production_date_precision","before":{"model_year":1973,"vehicle_year":1973,"registration_date":"19730717"},"target":"normalized","rule_ids":["DATE-REGISTRATION-V1","DATE-PRODUCTION-YEAR-V1"],"sequence":7,"transformer_id":"ts.dates","confidence_effect":0.1},{"after":1973,"field":"production_year","before":{"model_year":1973,"vehicle_year":1973,"registration_date":"19730717"},"target":"normalized","rule_ids":["DATE-REGISTRATION-V1","DATE-PRODUCTION-YEAR-V1"],"sequence":8,"transformer_id":"ts.dates","confidence_effect":0.1},{"after":"1973-07-17","field":"registration_date","before":{"model_year":1973,"vehicle_year":1973,"registration_date":"19730717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1973,"manufacturer_role":"vehicle_manufacturer","power_source_unit":"kw","registration_date":"1973-07-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Y","target":"normalized","rule_ids":["MFR-CLASSIFY-V1"],"sequence":3,"transformer_id":"ts.manufacturer","confidence_effect":0.2},{"after":"Volvo","field":"manufacturer","before":"VOLVO 1421341 Y","target":"normalized","rule_ids":["MFR-CLASSIFY-V1"],"sequence":4,"transformer_id":"ts.manufacturer","confidence_effect":0.2},{"after":"vehicle_manufacturer","field":"manufacturer_role","before":"VOLVO 1421341 Y","target":"normalized","rule_ids":["MFR-CLASSIFY-V1"],"sequence":5,"transformer_id":"ts.manufacturer","confidence_effect":0.2},{"after":{"source_fields":["brand"],"canonical_name":"Volvo"},"field":"manufacturer_confirmation","before":"VOLVO 1421341 Y","target":"candidate","rule_ids":["MFR-BRAND-PREFIX-FALLBACK"],"sequence":6,"transformer_id":"ts.manufacturer","confidence_effect":0.05},{"after":"model_year","field":"production_date_precision","before":{"model_year":1973,"vehicle_year":1973,"registration_date":"19730717"},"target":"normalized","rule_ids":["DATE-REGISTRATION-V1","DATE-PRODUCTION-YEAR-V1"],"sequence":7,"transformer_id":"ts.dates","confidence_effect":0.1},{"after":1973,"field":"production_year","before":{"model_year":1973,"vehicle_year":1973,"registration_date":"19730717"},"target":"normalized","rule_ids":["DATE-REGISTRATION-V1","DATE-PRODUCTION-YEAR-V1"],"sequence":8,"transformer_id":"ts.dates","confidence_effect":0.1},{"after":"1973-07-17","field":"registration_date","before":{"model_year":1973,"vehicle_year":1973,"registration_date":"19730717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5" s="36" t="n">
        <x:v>46239.78067015046</x:v>
      </x:c>
      <x:c r="AA25" s="36" t="n">
        <x:v>46239.78067015046</x:v>
      </x:c>
    </x:row>
    <x:row r="26" ht="18" customHeight="1">
      <x:c r="A26" s="36" t="n">
        <x:v>2628</x:v>
      </x:c>
      <x:c r="B26" s="36" t="str">
        <x:v>1ac1efab-0cb7-5142-9724-25a4883be896</x:v>
      </x:c>
      <x:c r="C26" s="36" t="str">
        <x:v>Transportstyrelsen</x:v>
      </x:c>
      <x:c r="D26" s="36" t="str">
        <x:v>normalization-review-passenger-250-v1-rules-20260805T184409855703Z</x:v>
      </x:c>
      <x:c r="E26" s="36" t="str">
        <x:v>staging.transportstyrelsen_raw</x:v>
      </x:c>
      <x:c r="F26" s="36" t="n">
        <x:v>2746</x:v>
      </x:c>
      <x:c r="G26" s="36" t="str">
        <x:v>ts-mapping-v1</x:v>
      </x:c>
      <x:c r="H26" s="36" t="str">
        <x:v>ts-review-20260805T184254528647Z</x:v>
      </x:c>
      <x:c r="I26" s="36" t="str">
        <x:v>normalization-pipeline-v4</x:v>
      </x:c>
      <x:c r="J26" s="36" t="str">
        <x:v>provisional</x:v>
      </x:c>
      <x:c r="K26" s="39" t="n">
        <x:v>0.8</x:v>
      </x:c>
      <x:c r="L26" s="36" t="str">
        <x:v>Audi</x:v>
      </x:c>
      <x:c r="M26" s="36" t="str">
        <x:v>A3 SPORTBACK</x:v>
      </x:c>
      <x:c r="N26" s="36" t="str">
        <x:v>hatchback</x:v>
      </x:c>
      <x:c r="O26" s="38" t="str">
        <x:v>["petrol"]</x:v>
      </x:c>
      <x:c r="P26" s="36" t="str">
        <x:v>manual</x:v>
      </x:c>
      <x:c r="Q26" s="36" t="n">
        <x:v>2020</x:v>
      </x:c>
      <x:c r="R26" s="38" t="str">
        <x:v>["MFR-102","DATE-REGISTRATION-V1","DATE-PRODUCTION-MONTH-V1","UNIT-POWER-KW-V1","UNIT-DISPLACEMENT-CCM-V1","TRN-001","BDY-109","FUEL-001"]</x:v>
      </x:c>
      <x:c r="S26" s="38" t="str">
        <x:v>[]</x:v>
      </x:c>
      <x:c r="T26" s="38" t="str">
        <x:v>[]</x:v>
      </x:c>
      <x:c r="U26" s="38" t="str">
        <x:v>{"market":["SE"],"power_kw":110,"manufacturer":"Audi","bodywork_form":"hatchback","energy_sources":["petrol"],"displacement_cc":1498,"production_date":"2020-06","production_year":2020,"manufacturer_role":"vehicle_manufacturer","power_source_unit":"kw","registration_date":"2020-08-21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6" s="38" t="str">
        <x:v>{"model_family":"A3 SPORTBACK"}</x:v>
      </x:c>
      <x:c r="W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2020-06","field":"production_date","before":{"build_month":"202006","vehicle_year":2020,"registration_date":"20200821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20200821"},"target":"normalized","rule_ids":["DATE-REGISTRATION-V1","DATE-PRODUCTION-MONTH-V1"],"sequence":9,"transformer_id":"ts.dates","confidence_effect":0.1},{"after":2020,"field":"production_year","before":{"build_month":"202006","vehicle_year":2020,"registration_date":"20200821"},"target":"normalized","rule_ids":["DATE-REGISTRATION-V1","DATE-PRODUCTION-MONTH-V1"],"sequence":10,"transformer_id":"ts.dates","confidence_effect":0.1},{"after":"2020-08-21","field":"registration_date","before":{"build_month":"202006","vehicle_year":2020,"registration_date":"20200821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A3 SPORTBACK","gearbox":"M","variant":"SDPCAF1","version":"FM6FM6C9003RT011B174BFAEM1MLN1B0"},"target":"normalized","rule_ids":["TRN-001"],"sequence":16,"transformer_id":"ts.transmission","confidence_effect":0.1},{"after":"hatchback","field":"bodywork_form","before":{"model":"A3 SPORTBACK","variant":"SDPCAF1","version":"FM6FM6C9003RT011B174BFAEM1MLN1B0","body_code":"AB","eu_category":"M1","vehicle_type":"PB"},"target":"normalized","rule_ids":["BDY-109"],"sequence":17,"transformer_id":"ts.bodywork","confidence_effect":0.1},{"after":"Halvkombi","field":"bodywork_registry_label_sv","before":{"model":"A3 SPORTBACK","variant":"SDPCAF1","version":"FM6FM6C9003RT011B174BFAEM1MLN1B0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SPORTBACK","variant":"SDPCAF1","version":"FM6FM6C9003RT011B174BFAEM1MLN1B0"},"target":"normalized","rule_ids":["FUEL-001"],"sequence":19,"transformer_id":"ts.fuel","confidence_effect":0.0}]</x:v>
      </x:c>
      <x:c r="X2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" s="38" t="str">
        <x:v>{"candidates":{"model_family":"A3 SPORTBACK"},"confidence":0.8,"normalized":{"market":["SE"],"power_kw":110,"manufacturer":"Audi","bodywork_form":"hatchback","energy_sources":["petrol"],"displacement_cc":1498,"production_date":"2020-06","production_year":2020,"manufacturer_role":"vehicle_manufacturer","power_source_unit":"kw","registration_date":"2020-08-21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2020-06","field":"production_date","before":{"build_month":"202006","vehicle_year":2020,"registration_date":"20200821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20200821"},"target":"normalized","rule_ids":["DATE-REGISTRATION-V1","DATE-PRODUCTION-MONTH-V1"],"sequence":9,"transformer_id":"ts.dates","confidence_effect":0.1},{"after":2020,"field":"production_year","before":{"build_month":"202006","vehicle_year":2020,"registration_date":"20200821"},"target":"normalized","rule_ids":["DATE-REGISTRATION-V1","DATE-PRODUCTION-MONTH-V1"],"sequence":10,"transformer_id":"ts.dates","confidence_effect":0.1},{"after":"2020-08-21","field":"registration_date","before":{"build_month":"202006","vehicle_year":2020,"registration_date":"20200821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A3 SPORTBACK","gearbox":"M","variant":"SDPCAF1","version":"FM6FM6C9003RT011B174BFAEM1MLN1B0"},"target":"normalized","rule_ids":["TRN-001"],"sequence":16,"transformer_id":"ts.transmission","confidence_effect":0.1},{"after":"hatchback","field":"bodywork_form","before":{"model":"A3 SPORTBACK","variant":"SDPCAF1","version":"FM6FM6C9003RT011B174BFAEM1MLN1B0","body_code":"AB","eu_category":"M1","vehicle_type":"PB"},"target":"normalized","rule_ids":["BDY-109"],"sequence":17,"transformer_id":"ts.bodywork","confidence_effect":0.1},{"after":"Halvkombi","field":"bodywork_registry_label_sv","before":{"model":"A3 SPORTBACK","variant":"SDPCAF1","version":"FM6FM6C9003RT011B174BFAEM1MLN1B0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SPORTBACK","variant":"SDPCAF1","version":"FM6FM6C9003RT011B174BFAEM1MLN1B0"},"target":"normalized","rule_ids":["FUEL-001"],"sequence":19,"transformer_id":"ts.fuel","confidence_effect":0.0}],"pipeline_version":"normalization-pipeline-v4","candidate_rule_ids":[]}</x:v>
      </x:c>
      <x:c r="Z26" s="36" t="n">
        <x:v>46239.78067015046</x:v>
      </x:c>
      <x:c r="AA26" s="36" t="n">
        <x:v>46239.78067015046</x:v>
      </x:c>
    </x:row>
    <x:row r="27" ht="18" customHeight="1">
      <x:c r="A27" s="36" t="n">
        <x:v>2629</x:v>
      </x:c>
      <x:c r="B27" s="36" t="str">
        <x:v>b4316671-c486-5d58-b883-aeca7dcc62a5</x:v>
      </x:c>
      <x:c r="C27" s="36" t="str">
        <x:v>Transportstyrelsen</x:v>
      </x:c>
      <x:c r="D27" s="36" t="str">
        <x:v>normalization-review-passenger-250-v1-rules-20260805T184409855703Z</x:v>
      </x:c>
      <x:c r="E27" s="36" t="str">
        <x:v>staging.transportstyrelsen_raw</x:v>
      </x:c>
      <x:c r="F27" s="36" t="n">
        <x:v>2747</x:v>
      </x:c>
      <x:c r="G27" s="36" t="str">
        <x:v>ts-mapping-v1</x:v>
      </x:c>
      <x:c r="H27" s="36" t="str">
        <x:v>ts-review-20260805T184254528647Z</x:v>
      </x:c>
      <x:c r="I27" s="36" t="str">
        <x:v>normalization-pipeline-v4</x:v>
      </x:c>
      <x:c r="J27" s="36" t="str">
        <x:v>provisional</x:v>
      </x:c>
      <x:c r="K27" s="39" t="n">
        <x:v>0.8</x:v>
      </x:c>
      <x:c r="L27" s="36" t="str">
        <x:v>Volvo</x:v>
      </x:c>
      <x:c r="M27" s="36"/>
      <x:c r="N27" s="36" t="str">
        <x:v>covered_body</x:v>
      </x:c>
      <x:c r="O27" s="38" t="str">
        <x:v>["petrol"]</x:v>
      </x:c>
      <x:c r="P27" s="36" t="str">
        <x:v>manual</x:v>
      </x:c>
      <x:c r="Q27" s="36" t="n">
        <x:v>1998</x:v>
      </x:c>
      <x:c r="R27" s="38" t="str">
        <x:v>["DATE-REGISTRATION-V1","DATE-PRODUCTION-YEAR-V1","UNIT-POWER-KW-V1","TRN-001","BDY-102","FUEL-001"]</x:v>
      </x:c>
      <x:c r="S27" s="38" t="str">
        <x:v>["MFR-BRAND-PREFIX-FALLBACK"]</x:v>
      </x:c>
      <x:c r="T27" s="38" t="str">
        <x:v>[]</x:v>
      </x:c>
      <x:c r="U27" s="38" t="str">
        <x:v>{"market":["SE"],"power_kw":99,"manufacturer":"Volvo","bodywork_form":"covered_body","energy_sources":["petrol"],"production_year":1998,"manufacturer_role":"vehicle_manufacturer","power_source_unit":"kw","registration_date":"1997-09-17","transmission_type":"manual","alias_types_present":["plate","vin"],"builder_converter_names":[],"production_date_precision":"model_year","bodywork_registry_label_sv":"Täckt"}</x:v>
      </x:c>
      <x:c r="V27" s="38" t="str">
        <x:v>{"manufacturer_confirmation":{"source_fields":["brand"],"canonical_name":"Volvo"}}</x:v>
      </x:c>
      <x:c r="W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19970917"},"target":"normalized","rule_ids":["DATE-REGISTRATION-V1","DATE-PRODUCTION-YEAR-V1"],"sequence":7,"transformer_id":"ts.dates","confidence_effect":0.1},{"after":1998,"field":"production_year","before":{"model_year":1998,"vehicle_year":1998,"registration_date":"19970917"},"target":"normalized","rule_ids":["DATE-REGISTRATION-V1","DATE-PRODUCTION-YEAR-V1"],"sequence":8,"transformer_id":"ts.dates","confidence_effect":0.1},{"after":"1997-09-17","field":"registration_date","before":{"model_year":1998,"vehicle_year":1998,"registration_date":"19970917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</x:v>
      </x:c>
      <x:c r="X2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1998,"manufacturer_role":"vehicle_manufacturer","power_source_unit":"kw","registration_date":"1997-09-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19970917"},"target":"normalized","rule_ids":["DATE-REGISTRATION-V1","DATE-PRODUCTION-YEAR-V1"],"sequence":7,"transformer_id":"ts.dates","confidence_effect":0.1},{"after":1998,"field":"production_year","before":{"model_year":1998,"vehicle_year":1998,"registration_date":"19970917"},"target":"normalized","rule_ids":["DATE-REGISTRATION-V1","DATE-PRODUCTION-YEAR-V1"],"sequence":8,"transformer_id":"ts.dates","confidence_effect":0.1},{"after":"1997-09-17","field":"registration_date","before":{"model_year":1998,"vehicle_year":1998,"registration_date":"19970917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,"pipeline_version":"normalization-pipeline-v4","candidate_rule_ids":["MFR-BRAND-PREFIX-FALLBACK"]}</x:v>
      </x:c>
      <x:c r="Z27" s="36" t="n">
        <x:v>46239.78067015046</x:v>
      </x:c>
      <x:c r="AA27" s="36" t="n">
        <x:v>46239.78067015046</x:v>
      </x:c>
    </x:row>
    <x:row r="28" ht="18" customHeight="1">
      <x:c r="A28" s="36" t="n">
        <x:v>2630</x:v>
      </x:c>
      <x:c r="B28" s="36" t="str">
        <x:v>41e96b09-7ed5-5d55-aeaa-603c000e7093</x:v>
      </x:c>
      <x:c r="C28" s="36" t="str">
        <x:v>Transportstyrelsen</x:v>
      </x:c>
      <x:c r="D28" s="36" t="str">
        <x:v>normalization-review-passenger-250-v1-rules-20260805T184409855703Z</x:v>
      </x:c>
      <x:c r="E28" s="36" t="str">
        <x:v>staging.transportstyrelsen_raw</x:v>
      </x:c>
      <x:c r="F28" s="36" t="n">
        <x:v>2748</x:v>
      </x:c>
      <x:c r="G28" s="36" t="str">
        <x:v>ts-mapping-v1</x:v>
      </x:c>
      <x:c r="H28" s="36" t="str">
        <x:v>ts-review-20260805T184254528647Z</x:v>
      </x:c>
      <x:c r="I28" s="36" t="str">
        <x:v>normalization-pipeline-v4</x:v>
      </x:c>
      <x:c r="J28" s="36" t="str">
        <x:v>provisional</x:v>
      </x:c>
      <x:c r="K28" s="39" t="n">
        <x:v>0.8</x:v>
      </x:c>
      <x:c r="L28" s="36" t="str">
        <x:v>Ford</x:v>
      </x:c>
      <x:c r="M28" s="36" t="str">
        <x:v>FORD FOCUS</x:v>
      </x:c>
      <x:c r="N28" s="36" t="str">
        <x:v>estate</x:v>
      </x:c>
      <x:c r="O28" s="38" t="str">
        <x:v>["petrol","ethanol"]</x:v>
      </x:c>
      <x:c r="P28" s="36" t="str">
        <x:v>manual</x:v>
      </x:c>
      <x:c r="Q28" s="36" t="n">
        <x:v>2009</x:v>
      </x:c>
      <x:c r="R28" s="38" t="str">
        <x:v>["MFR-BRAND-CONFIRMED","MFR-BRAND-MODEL","MFR-BRAND-VIN-WMI","DATE-REGISTRATION-V1","DATE-PRODUCTION-MONTH-V1","UNIT-POWER-KW-V1","UNIT-DISPLACEMENT-CCM-V1","TRN-001","BDY-110","FUEL-001","FUEL-007"]</x:v>
      </x:c>
      <x:c r="S28" s="38" t="str">
        <x:v>[]</x:v>
      </x:c>
      <x:c r="T28" s="38" t="str">
        <x:v>[]</x:v>
      </x:c>
      <x:c r="U28" s="38" t="str">
        <x:v>{"market":["SE"],"power_kw":92,"manufacturer":"Ford","bodywork_form":"estate","energy_sources":["petrol","ethanol"],"displacement_cc":1798,"production_date":"2009-06","production_year":2009,"manufacturer_role":"vehicle_manufacturer","power_source_unit":"kw","registration_date":"2009-09-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8" s="38" t="str">
        <x:v>{"model_family":"FORD FOCUS"}</x:v>
      </x:c>
      <x:c r="W28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FOCUS","target":"normalized","rule_ids":["MFR-BRAND-CONFIRMED","MFR-BRAND-MODEL","MFR-BRAND-VIN-WMI"],"sequence":4,"transformer_id":"ts.manufacturer","confidence_effect":0.2},{"after":"Ford","field":"manufacturer","before":"FORD DA3 FOCUS","target":"normalized","rule_ids":["MFR-BRAND-CONFIRMED","MFR-BRAND-MODEL","MFR-BRAND-VIN-WMI"],"sequence":5,"transformer_id":"ts.manufacturer","confidence_effect":0.2},{"after":"vehicle_manufacturer","field":"manufacturer_role","before":"FORD DA3 FOCUS","target":"normalized","rule_ids":["MFR-BRAND-CONFIRMED","MFR-BRAND-MODEL","MFR-BRAND-VIN-WMI"],"sequence":6,"transformer_id":"ts.manufacturer","confidence_effect":0.2},{"after":true,"field":"model_family_candidate","before":"FORD FOCUS","target":"normalized","rule_ids":["MODEL-CANDIDATE-V1"],"sequence":7,"transformer_id":"ts.model-family","confidence_effect":0.0},{"after":"FORD FOCUS","field":"model_family","before":"FORD FOCUS","target":"candidate","rule_ids":["MODEL-CANDIDATE-V1"],"sequence":8,"transformer_id":"ts.model-family","confidence_effect":0.05},{"after":"2009-06","field":"production_date","before":{"build_month":"200906","vehicle_year":2009,"registration_date":"20090904"},"target":"normalized","rule_ids":["DATE-REGISTRATION-V1","DATE-PRODUCTION-MONTH-V1"],"sequence":9,"transformer_id":"ts.dates","confidence_effect":0.1},{"after":"month","field":"production_date_precision","before":{"build_month":"200906","vehicle_year":2009,"registration_date":"20090904"},"target":"normalized","rule_ids":["DATE-REGISTRATION-V1","DATE-PRODUCTION-MONTH-V1"],"sequence":10,"transformer_id":"ts.dates","confidence_effect":0.1},{"after":2009,"field":"production_year","before":{"build_month":"200906","vehicle_year":2009,"registration_date":"20090904"},"target":"normalized","rule_ids":["DATE-REGISTRATION-V1","DATE-PRODUCTION-MONTH-V1"],"sequence":11,"transformer_id":"ts.dates","confidence_effect":0.1},{"after":"2009-09-04","field":"registration_date","before":{"build_month":"200906","vehicle_year":2009,"registration_date":"20090904"},"target":"normalized","rule_ids":["DATE-REGISTRATION-V1","DATE-PRODUCTION-MONTH-V1"],"sequence":12,"transformer_id":"ts.dates","confidence_effect":0.1},{"after":1798,"field":"displacement_cc","before":{"kw":92,"ccm":1798},"target":"normalized","rule_ids":["UNIT-POWER-KW-V1","UNIT-DISPLACEMENT-CCM-V1"],"sequence":13,"transformer_id":"ts.engine-measurements","confidence_effect":0.1},{"after":"ccm","field":"displacement_source_unit","before":{"kw":92,"ccm":1798},"target":"normalized","rule_ids":["UNIT-POWER-KW-V1","UNIT-DISPLACEMENT-CCM-V1"],"sequence":14,"transformer_id":"ts.engine-measurements","confidence_effect":0.1},{"after":92,"field":"power_kw","before":{"kw":92,"ccm":1798},"target":"normalized","rule_ids":["UNIT-POWER-KW-V1","UNIT-DISPLACEMENT-CCM-V1"],"sequence":15,"transformer_id":"ts.engine-measurements","confidence_effect":0.1},{"after":"kw","field":"power_source_unit","before":{"kw":92,"ccm":1798},"target":"normalized","rule_ids":["UNIT-POWER-KW-V1","UNIT-DISPLACEMENT-CCM-V1"],"sequence":16,"transformer_id":"ts.engine-measurements","confidence_effect":0.1},{"after":"manual","field":"transmission_type","before":{"model":"FORD FOCUS","gearbox":"M","variant":"Q7DA1S","version":"5ABAMS"},"target":"normalized","rule_ids":["TRN-001"],"sequence":17,"transformer_id":"ts.transmission","confidence_effect":0.1},{"after":"estate","field":"bodywork_form","before":{"model":"FORD FOCUS","variant":"Q7DA1S","version":"5ABAMS","body_code":"AC","eu_category":"M1","vehicle_type":"PB"},"target":"normalized","rule_ids":["BDY-110"],"sequence":18,"transformer_id":"ts.bodywork","confidence_effect":0.1},{"after":"Stationsvagn (kombivagn)","field":"bodywork_registry_label_sv","before":{"model":"FORD FOCUS","variant":"Q7DA1S","version":"5ABAMS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FORD FOCUS","variant":"Q7DA1S","version":"5ABAMS"},"target":"normalized","rule_ids":["FUEL-001","FUEL-007"],"sequence":20,"transformer_id":"ts.fuel","confidence_effect":0.0}]</x:v>
      </x:c>
      <x:c r="X2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8" s="38" t="str">
        <x:v>{"candidates":{"model_family":"FORD FOCUS"},"confidence":0.8,"normalized":{"market":["SE"],"power_kw":92,"manufacturer":"Ford","bodywork_form":"estate","energy_sources":["petrol","ethanol"],"displacement_cc":1798,"production_date":"2009-06","production_year":2009,"manufacturer_role":"vehicle_manufacturer","power_source_unit":"kw","registration_date":"2009-09-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FOCUS","target":"normalized","rule_ids":["MFR-BRAND-CONFIRMED","MFR-BRAND-MODEL","MFR-BRAND-VIN-WMI"],"sequence":4,"transformer_id":"ts.manufacturer","confidence_effect":0.2},{"after":"Ford","field":"manufacturer","before":"FORD DA3 FOCUS","target":"normalized","rule_ids":["MFR-BRAND-CONFIRMED","MFR-BRAND-MODEL","MFR-BRAND-VIN-WMI"],"sequence":5,"transformer_id":"ts.manufacturer","confidence_effect":0.2},{"after":"vehicle_manufacturer","field":"manufacturer_role","before":"FORD DA3 FOCUS","target":"normalized","rule_ids":["MFR-BRAND-CONFIRMED","MFR-BRAND-MODEL","MFR-BRAND-VIN-WMI"],"sequence":6,"transformer_id":"ts.manufacturer","confidence_effect":0.2},{"after":true,"field":"model_family_candidate","before":"FORD FOCUS","target":"normalized","rule_ids":["MODEL-CANDIDATE-V1"],"sequence":7,"transformer_id":"ts.model-family","confidence_effect":0.0},{"after":"FORD FOCUS","field":"model_family","before":"FORD FOCUS","target":"candidate","rule_ids":["MODEL-CANDIDATE-V1"],"sequence":8,"transformer_id":"ts.model-family","confidence_effect":0.05},{"after":"2009-06","field":"production_date","before":{"build_month":"200906","vehicle_year":2009,"registration_date":"20090904"},"target":"normalized","rule_ids":["DATE-REGISTRATION-V1","DATE-PRODUCTION-MONTH-V1"],"sequence":9,"transformer_id":"ts.dates","confidence_effect":0.1},{"after":"month","field":"production_date_precision","before":{"build_month":"200906","vehicle_year":2009,"registration_date":"20090904"},"target":"normalized","rule_ids":["DATE-REGISTRATION-V1","DATE-PRODUCTION-MONTH-V1"],"sequence":10,"transformer_id":"ts.dates","confidence_effect":0.1},{"after":2009,"field":"production_year","before":{"build_month":"200906","vehicle_year":2009,"registration_date":"20090904"},"target":"normalized","rule_ids":["DATE-REGISTRATION-V1","DATE-PRODUCTION-MONTH-V1"],"sequence":11,"transformer_id":"ts.dates","confidence_effect":0.1},{"after":"2009-09-04","field":"registration_date","before":{"build_month":"200906","vehicle_year":2009,"registration_date":"20090904"},"target":"normalized","rule_ids":["DATE-REGISTRATION-V1","DATE-PRODUCTION-MONTH-V1"],"sequence":12,"transformer_id":"ts.dates","confidence_effect":0.1},{"after":1798,"field":"displacement_cc","before":{"kw":92,"ccm":1798},"target":"normalized","rule_ids":["UNIT-POWER-KW-V1","UNIT-DISPLACEMENT-CCM-V1"],"sequence":13,"transformer_id":"ts.engine-measurements","confidence_effect":0.1},{"after":"ccm","field":"displacement_source_unit","before":{"kw":92,"ccm":1798},"target":"normalized","rule_ids":["UNIT-POWER-KW-V1","UNIT-DISPLACEMENT-CCM-V1"],"sequence":14,"transformer_id":"ts.engine-measurements","confidence_effect":0.1},{"after":92,"field":"power_kw","before":{"kw":92,"ccm":1798},"target":"normalized","rule_ids":["UNIT-POWER-KW-V1","UNIT-DISPLACEMENT-CCM-V1"],"sequence":15,"transformer_id":"ts.engine-measurements","confidence_effect":0.1},{"after":"kw","field":"power_source_unit","before":{"kw":92,"ccm":1798},"target":"normalized","rule_ids":["UNIT-POWER-KW-V1","UNIT-DISPLACEMENT-CCM-V1"],"sequence":16,"transformer_id":"ts.engine-measurements","confidence_effect":0.1},{"after":"manual","field":"transmission_type","before":{"model":"FORD FOCUS","gearbox":"M","variant":"Q7DA1S","version":"5ABAMS"},"target":"normalized","rule_ids":["TRN-001"],"sequence":17,"transformer_id":"ts.transmission","confidence_effect":0.1},{"after":"estate","field":"bodywork_form","before":{"model":"FORD FOCUS","variant":"Q7DA1S","version":"5ABAMS","body_code":"AC","eu_category":"M1","vehicle_type":"PB"},"target":"normalized","rule_ids":["BDY-110"],"sequence":18,"transformer_id":"ts.bodywork","confidence_effect":0.1},{"after":"Stationsvagn (kombivagn)","field":"bodywork_registry_label_sv","before":{"model":"FORD FOCUS","variant":"Q7DA1S","version":"5ABAMS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FORD FOCUS","variant":"Q7DA1S","version":"5ABAMS"},"target":"normalized","rule_ids":["FUEL-001","FUEL-007"],"sequence":20,"transformer_id":"ts.fuel","confidence_effect":0.0}],"pipeline_version":"normalization-pipeline-v4","candidate_rule_ids":[]}</x:v>
      </x:c>
      <x:c r="Z28" s="36" t="n">
        <x:v>46239.78067015046</x:v>
      </x:c>
      <x:c r="AA28" s="36" t="n">
        <x:v>46239.78067015046</x:v>
      </x:c>
    </x:row>
    <x:row r="29" ht="18" customHeight="1">
      <x:c r="A29" s="36" t="n">
        <x:v>2631</x:v>
      </x:c>
      <x:c r="B29" s="36" t="str">
        <x:v>02833892-25f0-5dec-aba8-34144851e427</x:v>
      </x:c>
      <x:c r="C29" s="36" t="str">
        <x:v>Transportstyrelsen</x:v>
      </x:c>
      <x:c r="D29" s="36" t="str">
        <x:v>normalization-review-passenger-250-v1-rules-20260805T184409855703Z</x:v>
      </x:c>
      <x:c r="E29" s="36" t="str">
        <x:v>staging.transportstyrelsen_raw</x:v>
      </x:c>
      <x:c r="F29" s="36" t="n">
        <x:v>2749</x:v>
      </x:c>
      <x:c r="G29" s="36" t="str">
        <x:v>ts-mapping-v1</x:v>
      </x:c>
      <x:c r="H29" s="36" t="str">
        <x:v>ts-review-20260805T184254528647Z</x:v>
      </x:c>
      <x:c r="I29" s="36" t="str">
        <x:v>normalization-pipeline-v4</x:v>
      </x:c>
      <x:c r="J29" s="36" t="str">
        <x:v>provisional</x:v>
      </x:c>
      <x:c r="K29" s="39" t="n">
        <x:v>0.8</x:v>
      </x:c>
      <x:c r="L29" s="36" t="str">
        <x:v>Audi</x:v>
      </x:c>
      <x:c r="M29" s="36" t="str">
        <x:v>S6 AVANT</x:v>
      </x:c>
      <x:c r="N29" s="36" t="str">
        <x:v>estate</x:v>
      </x:c>
      <x:c r="O29" s="38" t="str">
        <x:v>["diesel","electricity"]</x:v>
      </x:c>
      <x:c r="P29" s="36" t="str">
        <x:v>automatic</x:v>
      </x:c>
      <x:c r="Q29" s="36" t="n">
        <x:v>2021</x:v>
      </x:c>
      <x:c r="R29" s="38" t="str">
        <x:v>["MFR-102","DATE-REGISTRATION-V1","DATE-PRODUCTION-DAY-V1","UNIT-POWER-KW-V1","UNIT-DISPLACEMENT-CCM-V1","TRN-002","BDY-110","BDY-002","FUEL-002","ELEC-002"]</x:v>
      </x:c>
      <x:c r="S29" s="38" t="str">
        <x:v>["DRV-008"]</x:v>
      </x:c>
      <x:c r="T29" s="38" t="str">
        <x:v>[]</x:v>
      </x:c>
      <x:c r="U29" s="38" t="str">
        <x:v>{"market":["SE"],"power_kw":253,"manufacturer":"Audi","bodywork_form":"estate","energy_sources":["diesel","electricity"],"displacement_cc":2967,"production_date":"2021-12-09","production_year":2021,"manufacturer_role":"vehicle_manufacturer","power_source_unit":"kw","registration_date":"2022-02-28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29" s="38" t="str">
        <x:v>{"drive_type":"awd","model_family":"S6 AVANT"}</x:v>
      </x:c>
      <x:c r="W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AG"},"target":"normalized","rule_ids":["MFR-102"],"sequence":5,"transformer_id":"ts.manufacturer","confidence_effect":0.2},{"after":true,"field":"model_family_candidate","before":"S6 AVANT","target":"normalized","rule_ids":["MODEL-CANDIDATE-V1"],"sequence":6,"transformer_id":"ts.model-family","confidence_effect":0.0},{"after":"S6 AVANT","field":"model_family","before":"S6 AVANT","target":"candidate","rule_ids":["MODEL-CANDIDATE-V1"],"sequence":7,"transformer_id":"ts.model-family","confidence_effect":0.05},{"after":"2021-12-09","field":"production_date","before":{"build_date":"20211209","build_month":"202112","vehicle_year":2021,"registration_date":"20220228"},"target":"normalized","rule_ids":["DATE-REGISTRATION-V1","DATE-PRODUCTION-DAY-V1"],"sequence":8,"transformer_id":"ts.dates","confidence_effect":0.1},{"after":"day","field":"production_date_precision","before":{"build_date":"20211209","build_month":"202112","vehicle_year":2021,"registration_date":"20220228"},"target":"normalized","rule_ids":["DATE-REGISTRATION-V1","DATE-PRODUCTION-DAY-V1"],"sequence":9,"transformer_id":"ts.dates","confidence_effect":0.1},{"after":2021,"field":"production_year","before":{"build_date":"20211209","build_month":"202112","vehicle_year":2021,"registration_date":"20220228"},"target":"normalized","rule_ids":["DATE-REGISTRATION-V1","DATE-PRODUCTION-DAY-V1"],"sequence":10,"transformer_id":"ts.dates","confidence_effect":0.1},{"after":"2022-02-28","field":"registration_date","before":{"build_date":"20211209","build_month":"202112","vehicle_year":2021,"registration_date":"20220228"},"target":"normalized","rule_ids":["DATE-REGISTRATION-V1","DATE-PRODUCTION-DAY-V1"],"sequence":11,"transformer_id":"ts.dates","confidence_effect":0.1},{"after":2967,"field":"displacement_cc","before":{"kw":253,"ccm":2967},"target":"normalized","rule_ids":["UNIT-POWER-KW-V1","UNIT-DISPLACEMENT-CCM-V1"],"sequence":12,"transformer_id":"ts.engine-measurements","confidence_effect":0.1},{"after":"ccm","field":"displacement_source_unit","before":{"kw":253,"ccm":2967},"target":"normalized","rule_ids":["UNIT-POWER-KW-V1","UNIT-DISPLACEMENT-CCM-V1"],"sequence":13,"transformer_id":"ts.engine-measurements","confidence_effect":0.1},{"after":253,"field":"power_kw","before":{"kw":253,"ccm":2967},"target":"normalized","rule_ids":["UNIT-POWER-KW-V1","UNIT-DISPLACEMENT-CCM-V1"],"sequence":14,"transformer_id":"ts.engine-measurements","confidence_effect":0.1},{"after":"kw","field":"power_source_unit","before":{"kw":253,"ccm":2967},"target":"normalized","rule_ids":["UNIT-POWER-KW-V1","UNIT-DISPLACEMENT-CCM-V1"],"sequence":15,"transformer_id":"ts.engine-measurements","confidence_effect":0.1},{"after":"automatic","field":"transmission_type","before":{"model":"S6 AVANT","gearbox":"A","variant":"ADMKDQ1","version":"QA8QA8D5024051C20S54BIBEM1H66FSD2"},"target":"normalized","rule_ids":["TRN-002"],"sequence":16,"transformer_id":"ts.transmission","confidence_effect":0.1},{"after":"estate","field":"bodywork_form","before":{"model":"S6 AVANT","variant":"ADMKDQ1","version":"QA8QA8D5024051C20S54BIBEM1H66FSD2","body_code":"AC","eu_category":"M1","vehicle_type":"PB"},"target":"normalized","rule_ids":["BDY-110","BDY-002"],"sequence":17,"transformer_id":"ts.bodywork","confidence_effect":0.1},{"after":"Stationsvagn (kombivagn)","field":"bodywork_registry_label_sv","before":{"model":"S6 AVANT","variant":"ADMKDQ1","version":"QA8QA8D5024051C20S54BIBEM1H66FSD2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S6 AVANT","variant":"ADMKDQ1","version":"QA8QA8D5024051C20S54BIBEM1H66FSD2","ev_config":"ELHYBRID"},"target":"normalized","rule_ids":["FUEL-002","ELEC-002"],"sequence":20,"transformer_id":"ts.fuel","confidence_effect":0.0},{"after":["diesel","electricity"],"field":"energy_sources","before":{"fuel1":"2","fuel2":"0","fuel3":"0","model":"S6 AVANT","variant":"ADMKDQ1","version":"QA8QA8D5024051C20S54BIBEM1H66FSD2","ev_config":"ELHYBRID"},"target":"normalized","rule_ids":["FUEL-002","ELEC-002"],"sequence":21,"transformer_id":"ts.fuel","confidence_effect":0.0}]</x:v>
      </x:c>
      <x:c r="X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9" s="38" t="str">
        <x:v>{"candidates":{"drive_type":"awd","model_family":"S6 AVANT"},"confidence":0.8,"normalized":{"market":["SE"],"power_kw":253,"manufacturer":"Audi","bodywork_form":"estate","energy_sources":["diesel","electricity"],"displacement_cc":2967,"production_date":"2021-12-09","production_year":2021,"manufacturer_role":"vehicle_manufacturer","power_source_unit":"kw","registration_date":"2022-02-28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AG"},"target":"normalized","rule_ids":["MFR-102"],"sequence":5,"transformer_id":"ts.manufacturer","confidence_effect":0.2},{"after":true,"field":"model_family_candidate","before":"S6 AVANT","target":"normalized","rule_ids":["MODEL-CANDIDATE-V1"],"sequence":6,"transformer_id":"ts.model-family","confidence_effect":0.0},{"after":"S6 AVANT","field":"model_family","before":"S6 AVANT","target":"candidate","rule_ids":["MODEL-CANDIDATE-V1"],"sequence":7,"transformer_id":"ts.model-family","confidence_effect":0.05},{"after":"2021-12-09","field":"production_date","before":{"build_date":"20211209","build_month":"202112","vehicle_year":2021,"registration_date":"20220228"},"target":"normalized","rule_ids":["DATE-REGISTRATION-V1","DATE-PRODUCTION-DAY-V1"],"sequence":8,"transformer_id":"ts.dates","confidence_effect":0.1},{"after":"day","field":"production_date_precision","before":{"build_date":"20211209","build_month":"202112","vehicle_year":2021,"registration_date":"20220228"},"target":"normalized","rule_ids":["DATE-REGISTRATION-V1","DATE-PRODUCTION-DAY-V1"],"sequence":9,"transformer_id":"ts.dates","confidence_effect":0.1},{"after":2021,"field":"production_year","before":{"build_date":"20211209","build_month":"202112","vehicle_year":2021,"registration_date":"20220228"},"target":"normalized","rule_ids":["DATE-REGISTRATION-V1","DATE-PRODUCTION-DAY-V1"],"sequence":10,"transformer_id":"ts.dates","confidence_effect":0.1},{"after":"2022-02-28","field":"registration_date","before":{"build_date":"20211209","build_month":"202112","vehicle_year":2021,"registration_date":"20220228"},"target":"normalized","rule_ids":["DATE-REGISTRATION-V1","DATE-PRODUCTION-DAY-V1"],"sequence":11,"transformer_id":"ts.dates","confidence_effect":0.1},{"after":2967,"field":"displacement_cc","before":{"kw":253,"ccm":2967},"target":"normalized","rule_ids":["UNIT-POWER-KW-V1","UNIT-DISPLACEMENT-CCM-V1"],"sequence":12,"transformer_id":"ts.engine-measurements","confidence_effect":0.1},{"after":"ccm","field":"displacement_source_unit","before":{"kw":253,"ccm":2967},"target":"normalized","rule_ids":["UNIT-POWER-KW-V1","UNIT-DISPLACEMENT-CCM-V1"],"sequence":13,"transformer_id":"ts.engine-measurements","confidence_effect":0.1},{"after":253,"field":"power_kw","before":{"kw":253,"ccm":2967},"target":"normalized","rule_ids":["UNIT-POWER-KW-V1","UNIT-DISPLACEMENT-CCM-V1"],"sequence":14,"transformer_id":"ts.engine-measurements","confidence_effect":0.1},{"after":"kw","field":"power_source_unit","before":{"kw":253,"ccm":2967},"target":"normalized","rule_ids":["UNIT-POWER-KW-V1","UNIT-DISPLACEMENT-CCM-V1"],"sequence":15,"transformer_id":"ts.engine-measurements","confidence_effect":0.1},{"after":"automatic","field":"transmission_type","before":{"model":"S6 AVANT","gearbox":"A","variant":"ADMKDQ1","version":"QA8QA8D5024051C20S54BIBEM1H66FSD2"},"target":"normalized","rule_ids":["TRN-002"],"sequence":16,"transformer_id":"ts.transmission","confidence_effect":0.1},{"after":"estate","field":"bodywork_form","before":{"model":"S6 AVANT","variant":"ADMKDQ1","version":"QA8QA8D5024051C20S54BIBEM1H66FSD2","body_code":"AC","eu_category":"M1","vehicle_type":"PB"},"target":"normalized","rule_ids":["BDY-110","BDY-002"],"sequence":17,"transformer_id":"ts.bodywork","confidence_effect":0.1},{"after":"Stationsvagn (kombivagn)","field":"bodywork_registry_label_sv","before":{"model":"S6 AVANT","variant":"ADMKDQ1","version":"QA8QA8D5024051C20S54BIBEM1H66FSD2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S6 AVANT","variant":"ADMKDQ1","version":"QA8QA8D5024051C20S54BIBEM1H66FSD2","ev_config":"ELHYBRID"},"target":"normalized","rule_ids":["FUEL-002","ELEC-002"],"sequence":20,"transformer_id":"ts.fuel","confidence_effect":0.0},{"after":["diesel","electricity"],"field":"energy_sources","before":{"fuel1":"2","fuel2":"0","fuel3":"0","model":"S6 AVANT","variant":"ADMKDQ1","version":"QA8QA8D5024051C20S54BIBEM1H66FSD2","ev_config":"ELHYBRID"},"target":"normalized","rule_ids":["FUEL-002","ELEC-002"],"sequence":21,"transformer_id":"ts.fuel","confidence_effect":0.0}],"pipeline_version":"normalization-pipeline-v4","candidate_rule_ids":["DRV-008"]}</x:v>
      </x:c>
      <x:c r="Z29" s="36" t="n">
        <x:v>46239.78067015046</x:v>
      </x:c>
      <x:c r="AA29" s="36" t="n">
        <x:v>46239.78067015046</x:v>
      </x:c>
    </x:row>
    <x:row r="30" ht="18" customHeight="1">
      <x:c r="A30" s="36" t="n">
        <x:v>2632</x:v>
      </x:c>
      <x:c r="B30" s="36" t="str">
        <x:v>e964c410-f735-5c87-a6df-79a4667d45e4</x:v>
      </x:c>
      <x:c r="C30" s="36" t="str">
        <x:v>Transportstyrelsen</x:v>
      </x:c>
      <x:c r="D30" s="36" t="str">
        <x:v>normalization-review-passenger-250-v1-rules-20260805T184409855703Z</x:v>
      </x:c>
      <x:c r="E30" s="36" t="str">
        <x:v>staging.transportstyrelsen_raw</x:v>
      </x:c>
      <x:c r="F30" s="36" t="n">
        <x:v>2750</x:v>
      </x:c>
      <x:c r="G30" s="36" t="str">
        <x:v>ts-mapping-v1</x:v>
      </x:c>
      <x:c r="H30" s="36" t="str">
        <x:v>ts-review-20260805T184254528647Z</x:v>
      </x:c>
      <x:c r="I30" s="36" t="str">
        <x:v>normalization-pipeline-v4</x:v>
      </x:c>
      <x:c r="J30" s="36" t="str">
        <x:v>provisional</x:v>
      </x:c>
      <x:c r="K30" s="39" t="n">
        <x:v>0.8</x:v>
      </x:c>
      <x:c r="L30" s="36" t="str">
        <x:v>Fiat</x:v>
      </x:c>
      <x:c r="M30" s="36"/>
      <x:c r="N30" s="36" t="str">
        <x:v>covered_body</x:v>
      </x:c>
      <x:c r="O30" s="38" t="str">
        <x:v>["petrol"]</x:v>
      </x:c>
      <x:c r="P30" s="36" t="str">
        <x:v>manual</x:v>
      </x:c>
      <x:c r="Q30" s="36" t="n">
        <x:v>1970</x:v>
      </x:c>
      <x:c r="R30" s="38" t="str">
        <x:v>["DATE-REGISTRATION-V1","DATE-PRODUCTION-YEAR-V1","UNIT-POWER-KW-V1","TRN-001","BDY-102","FUEL-001"]</x:v>
      </x:c>
      <x:c r="S30" s="38" t="str">
        <x:v>["MFR-BRAND-PREFIX-FALLBACK"]</x:v>
      </x:c>
      <x:c r="T30" s="38" t="str">
        <x:v>[]</x:v>
      </x:c>
      <x:c r="U30" s="38" t="str">
        <x:v>{"market":["SE"],"power_kw":38,"manufacturer":"Fiat","bodywork_form":"covered_body","energy_sources":["petrol"],"production_year":1970,"manufacturer_role":"vehicle_manufacturer","power_source_unit":"kw","registration_date":"1970-04-22","transmission_type":"manual","alias_types_present":["plate","vin"],"builder_converter_names":[],"production_date_precision":"model_year","bodywork_registry_label_sv":"Täckt"}</x:v>
      </x:c>
      <x:c r="V30" s="38" t="str">
        <x:v>{"manufacturer_confirmation":{"source_fields":["brand"],"canonical_name":"Fiat"}}</x:v>
      </x:c>
      <x:c r="W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850 SPORT COUPÉ 100","target":"normalized","rule_ids":["MFR-CLASSIFY-V1"],"sequence":3,"transformer_id":"ts.manufacturer","confidence_effect":0.2},{"after":"Fiat","field":"manufacturer","before":"FIAT 850 SPORT COUPÉ 100","target":"normalized","rule_ids":["MFR-CLASSIFY-V1"],"sequence":4,"transformer_id":"ts.manufacturer","confidence_effect":0.2},{"after":"vehicle_manufacturer","field":"manufacturer_role","before":"FIAT 850 SPORT COUPÉ 100","target":"normalized","rule_ids":["MFR-CLASSIFY-V1"],"sequence":5,"transformer_id":"ts.manufacturer","confidence_effect":0.2},{"after":{"source_fields":["brand"],"canonical_name":"Fiat"},"field":"manufacturer_confirmation","before":"FIAT 850 SPORT COUPÉ 100","target":"candidate","rule_ids":["MFR-BRAND-PREFIX-FALLBACK"],"sequence":6,"transformer_id":"ts.manufacturer","confidence_effect":0.05},{"after":"model_year","field":"production_date_precision","before":{"model_year":1970,"vehicle_year":1970,"registration_date":"19700422"},"target":"normalized","rule_ids":["DATE-REGISTRATION-V1","DATE-PRODUCTION-YEAR-V1"],"sequence":7,"transformer_id":"ts.dates","confidence_effect":0.1},{"after":1970,"field":"production_year","before":{"model_year":1970,"vehicle_year":1970,"registration_date":"19700422"},"target":"normalized","rule_ids":["DATE-REGISTRATION-V1","DATE-PRODUCTION-YEAR-V1"],"sequence":8,"transformer_id":"ts.dates","confidence_effect":0.1},{"after":"1970-04-22","field":"registration_date","before":{"model_year":1970,"vehicle_year":1970,"registration_date":"19700422"},"target":"normalized","rule_ids":["DATE-REGISTRATION-V1","DATE-PRODUCTION-YEAR-V1"],"sequence":9,"transformer_id":"ts.dates","confidence_effect":0.1},{"after":38,"field":"power_kw","before":38,"target":"normalized","rule_ids":["UNIT-POWER-KW-V1"],"sequence":10,"transformer_id":"ts.engine-measurements","confidence_effect":0.1},{"after":"kw","field":"power_source_unit","before":38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" s="38" t="str">
        <x:v>{"candidates":{"manufacturer_confirmation":{"source_fields":["brand"],"canonical_name":"Fiat"}},"confidence":0.8,"normalized":{"market":["SE"],"power_kw":38,"manufacturer":"Fiat","bodywork_form":"covered_body","energy_sources":["petrol"],"production_year":1970,"manufacturer_role":"vehicle_manufacturer","power_source_unit":"kw","registration_date":"1970-04-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850 SPORT COUPÉ 100","target":"normalized","rule_ids":["MFR-CLASSIFY-V1"],"sequence":3,"transformer_id":"ts.manufacturer","confidence_effect":0.2},{"after":"Fiat","field":"manufacturer","before":"FIAT 850 SPORT COUPÉ 100","target":"normalized","rule_ids":["MFR-CLASSIFY-V1"],"sequence":4,"transformer_id":"ts.manufacturer","confidence_effect":0.2},{"after":"vehicle_manufacturer","field":"manufacturer_role","before":"FIAT 850 SPORT COUPÉ 100","target":"normalized","rule_ids":["MFR-CLASSIFY-V1"],"sequence":5,"transformer_id":"ts.manufacturer","confidence_effect":0.2},{"after":{"source_fields":["brand"],"canonical_name":"Fiat"},"field":"manufacturer_confirmation","before":"FIAT 850 SPORT COUPÉ 100","target":"candidate","rule_ids":["MFR-BRAND-PREFIX-FALLBACK"],"sequence":6,"transformer_id":"ts.manufacturer","confidence_effect":0.05},{"after":"model_year","field":"production_date_precision","before":{"model_year":1970,"vehicle_year":1970,"registration_date":"19700422"},"target":"normalized","rule_ids":["DATE-REGISTRATION-V1","DATE-PRODUCTION-YEAR-V1"],"sequence":7,"transformer_id":"ts.dates","confidence_effect":0.1},{"after":1970,"field":"production_year","before":{"model_year":1970,"vehicle_year":1970,"registration_date":"19700422"},"target":"normalized","rule_ids":["DATE-REGISTRATION-V1","DATE-PRODUCTION-YEAR-V1"],"sequence":8,"transformer_id":"ts.dates","confidence_effect":0.1},{"after":"1970-04-22","field":"registration_date","before":{"model_year":1970,"vehicle_year":1970,"registration_date":"19700422"},"target":"normalized","rule_ids":["DATE-REGISTRATION-V1","DATE-PRODUCTION-YEAR-V1"],"sequence":9,"transformer_id":"ts.dates","confidence_effect":0.1},{"after":38,"field":"power_kw","before":38,"target":"normalized","rule_ids":["UNIT-POWER-KW-V1"],"sequence":10,"transformer_id":"ts.engine-measurements","confidence_effect":0.1},{"after":"kw","field":"power_source_unit","before":38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0" s="36" t="n">
        <x:v>46239.78067015046</x:v>
      </x:c>
      <x:c r="AA30" s="36" t="n">
        <x:v>46239.78067015046</x:v>
      </x:c>
    </x:row>
    <x:row r="31" ht="18" customHeight="1">
      <x:c r="A31" s="36" t="n">
        <x:v>2633</x:v>
      </x:c>
      <x:c r="B31" s="36" t="str">
        <x:v>a1d49ecc-4f40-58ae-b8a4-d05500f3f61c</x:v>
      </x:c>
      <x:c r="C31" s="36" t="str">
        <x:v>Transportstyrelsen</x:v>
      </x:c>
      <x:c r="D31" s="36" t="str">
        <x:v>normalization-review-passenger-250-v1-rules-20260805T184409855703Z</x:v>
      </x:c>
      <x:c r="E31" s="36" t="str">
        <x:v>staging.transportstyrelsen_raw</x:v>
      </x:c>
      <x:c r="F31" s="36" t="n">
        <x:v>2751</x:v>
      </x:c>
      <x:c r="G31" s="36" t="str">
        <x:v>ts-mapping-v1</x:v>
      </x:c>
      <x:c r="H31" s="36" t="str">
        <x:v>ts-review-20260805T184254528647Z</x:v>
      </x:c>
      <x:c r="I31" s="36" t="str">
        <x:v>normalization-pipeline-v4</x:v>
      </x:c>
      <x:c r="J31" s="36" t="str">
        <x:v>provisional</x:v>
      </x:c>
      <x:c r="K31" s="39" t="n">
        <x:v>0.8</x:v>
      </x:c>
      <x:c r="L31" s="36" t="str">
        <x:v>Alfa Romeo</x:v>
      </x:c>
      <x:c r="M31" s="36" t="str">
        <x:v>ALFA GIULIETTA</x:v>
      </x:c>
      <x:c r="N31" s="36" t="str">
        <x:v>multi_purpose_vehicle</x:v>
      </x:c>
      <x:c r="O31" s="38" t="str">
        <x:v>["diesel"]</x:v>
      </x:c>
      <x:c r="P31" s="36" t="str">
        <x:v>manual</x:v>
      </x:c>
      <x:c r="Q31" s="36" t="n">
        <x:v>2011</x:v>
      </x:c>
      <x:c r="R31" s="38" t="str">
        <x:v>["MFR-BRAND-LEGACY-EXACT","DATE-REGISTRATION-V1","DATE-PRODUCTION-MONTH-V1","UNIT-POWER-KW-V1","UNIT-DISPLACEMENT-CCM-V1","TRN-001","BDY-113","FUEL-002"]</x:v>
      </x:c>
      <x:c r="S31" s="38" t="str">
        <x:v>[]</x:v>
      </x:c>
      <x:c r="T31" s="38" t="str">
        <x:v>[]</x:v>
      </x:c>
      <x:c r="U31" s="38" t="str">
        <x:v>{"market":["SE"],"power_kw":103,"manufacturer":"Alfa Romeo","bodywork_form":"multi_purpose_vehicle","energy_sources":["diesel"],"displacement_cc":1956,"production_date":"2011-01","production_year":2011,"manufacturer_role":"vehicle_manufacturer","power_source_unit":"kw","registration_date":"2011-04-01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1" s="38" t="str">
        <x:v>{"model_family":"ALFA GIULIETTA"}</x:v>
      </x:c>
      <x:c r="W31" s="38" t="str">
        <x:v>[{"after":"ALFA ROMEO 940","field":"brand","before":"ALFA ROMEO     940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LFA ROMEO 940","target":"normalized","rule_ids":["MFR-BRAND-LEGACY-EXACT"],"sequence":4,"transformer_id":"ts.manufacturer","confidence_effect":0.2},{"after":"Alfa Romeo","field":"manufacturer","before":"ALFA ROMEO 940","target":"normalized","rule_ids":["MFR-BRAND-LEGACY-EXACT"],"sequence":5,"transformer_id":"ts.manufacturer","confidence_effect":0.2},{"after":"vehicle_manufacturer","field":"manufacturer_role","before":"ALFA ROMEO 940","target":"normalized","rule_ids":["MFR-BRAND-LEGACY-EXACT"],"sequence":6,"transformer_id":"ts.manufacturer","confidence_effect":0.2},{"after":true,"field":"model_family_candidate","before":"ALFA GIULIETTA","target":"normalized","rule_ids":["MODEL-CANDIDATE-V1"],"sequence":7,"transformer_id":"ts.model-family","confidence_effect":0.0},{"after":"ALFA GIULIETTA","field":"model_family","before":"ALFA GIULIETTA","target":"candidate","rule_ids":["MODEL-CANDIDATE-V1"],"sequence":8,"transformer_id":"ts.model-family","confidence_effect":0.05},{"after":"2011-01","field":"production_date","before":{"build_month":"201101","vehicle_year":2011,"registration_date":"20110401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20110401"},"target":"normalized","rule_ids":["DATE-REGISTRATION-V1","DATE-PRODUCTION-MONTH-V1"],"sequence":10,"transformer_id":"ts.dates","confidence_effect":0.1},{"after":2011,"field":"production_year","before":{"build_month":"201101","vehicle_year":2011,"registration_date":"20110401"},"target":"normalized","rule_ids":["DATE-REGISTRATION-V1","DATE-PRODUCTION-MONTH-V1"],"sequence":11,"transformer_id":"ts.dates","confidence_effect":0.1},{"after":"2011-04-01","field":"registration_date","before":{"build_month":"201101","vehicle_year":2011,"registration_date":"20110401"},"target":"normalized","rule_ids":["DATE-REGISTRATION-V1","DATE-PRODUCTION-MONTH-V1"],"sequence":12,"transformer_id":"ts.dates","confidence_effect":0.1},{"after":1956,"field":"displacement_cc","before":{"kw":103,"ccm":1956},"target":"normalized","rule_ids":["UNIT-POWER-KW-V1","UNIT-DISPLACEMENT-CCM-V1"],"sequence":13,"transformer_id":"ts.engine-measurements","confidence_effect":0.1},{"after":"ccm","field":"displacement_source_unit","before":{"kw":103,"ccm":1956},"target":"normalized","rule_ids":["UNIT-POWER-KW-V1","UNIT-DISPLACEMENT-CCM-V1"],"sequence":14,"transformer_id":"ts.engine-measurements","confidence_effect":0.1},{"after":103,"field":"power_kw","before":{"kw":103,"ccm":1956},"target":"normalized","rule_ids":["UNIT-POWER-KW-V1","UNIT-DISPLACEMENT-CCM-V1"],"sequence":15,"transformer_id":"ts.engine-measurements","confidence_effect":0.1},{"after":"kw","field":"power_source_unit","before":{"kw":103,"ccm":1956},"target":"normalized","rule_ids":["UNIT-POWER-KW-V1","UNIT-DISPLACEMENT-CCM-V1"],"sequence":16,"transformer_id":"ts.engine-measurements","confidence_effect":0.1},{"after":"manual","field":"transmission_type","before":{"model":"ALFA GIULIETTA","gearbox":"M","variant":"FXL1A","version":"08"},"target":"normalized","rule_ids":["TRN-001"],"sequence":17,"transformer_id":"ts.transmission","confidence_effect":0.1},{"after":"multi_purpose_vehicle","field":"bodywork_form","before":{"model":"ALFA GIULIETTA","variant":"FXL1A","version":"08","body_code":"AF","eu_category":"M1","vehicle_type":"PB"},"target":"normalized","rule_ids":["BDY-113"],"sequence":18,"transformer_id":"ts.bodywork","confidence_effect":0.1},{"after":"Fordon avsett för flera ändamål","field":"bodywork_registry_label_sv","before":{"model":"ALFA GIULIETTA","variant":"FXL1A","version":"08","body_code":"AF","eu_category":"M1","vehicle_type":"PB"},"target":"normalized","rule_ids":["BDY-113"],"sequence":19,"transformer_id":"ts.bodywork","confidence_effect":0.1},{"after":["diesel"],"field":"energy_sources","before":{"fuel1":"2","fuel2":"0","fuel3":"0","model":"ALFA GIULIETTA","variant":"FXL1A","version":"08"},"target":"normalized","rule_ids":["FUEL-002"],"sequence":20,"transformer_id":"ts.fuel","confidence_effect":0.0}]</x:v>
      </x:c>
      <x:c r="X3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" s="38" t="str">
        <x:v>{"candidates":{"model_family":"ALFA GIULIETTA"},"confidence":0.8,"normalized":{"market":["SE"],"power_kw":103,"manufacturer":"Alfa Romeo","bodywork_form":"multi_purpose_vehicle","energy_sources":["diesel"],"displacement_cc":1956,"production_date":"2011-01","production_year":2011,"manufacturer_role":"vehicle_manufacturer","power_source_unit":"kw","registration_date":"2011-04-01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LFA ROMEO 940","field":"brand","before":"ALFA ROMEO     940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LFA ROMEO 940","target":"normalized","rule_ids":["MFR-BRAND-LEGACY-EXACT"],"sequence":4,"transformer_id":"ts.manufacturer","confidence_effect":0.2},{"after":"Alfa Romeo","field":"manufacturer","before":"ALFA ROMEO 940","target":"normalized","rule_ids":["MFR-BRAND-LEGACY-EXACT"],"sequence":5,"transformer_id":"ts.manufacturer","confidence_effect":0.2},{"after":"vehicle_manufacturer","field":"manufacturer_role","before":"ALFA ROMEO 940","target":"normalized","rule_ids":["MFR-BRAND-LEGACY-EXACT"],"sequence":6,"transformer_id":"ts.manufacturer","confidence_effect":0.2},{"after":true,"field":"model_family_candidate","before":"ALFA GIULIETTA","target":"normalized","rule_ids":["MODEL-CANDIDATE-V1"],"sequence":7,"transformer_id":"ts.model-family","confidence_effect":0.0},{"after":"ALFA GIULIETTA","field":"model_family","before":"ALFA GIULIETTA","target":"candidate","rule_ids":["MODEL-CANDIDATE-V1"],"sequence":8,"transformer_id":"ts.model-family","confidence_effect":0.05},{"after":"2011-01","field":"production_date","before":{"build_month":"201101","vehicle_year":2011,"registration_date":"20110401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20110401"},"target":"normalized","rule_ids":["DATE-REGISTRATION-V1","DATE-PRODUCTION-MONTH-V1"],"sequence":10,"transformer_id":"ts.dates","confidence_effect":0.1},{"after":2011,"field":"production_year","before":{"build_month":"201101","vehicle_year":2011,"registration_date":"20110401"},"target":"normalized","rule_ids":["DATE-REGISTRATION-V1","DATE-PRODUCTION-MONTH-V1"],"sequence":11,"transformer_id":"ts.dates","confidence_effect":0.1},{"after":"2011-04-01","field":"registration_date","before":{"build_month":"201101","vehicle_year":2011,"registration_date":"20110401"},"target":"normalized","rule_ids":["DATE-REGISTRATION-V1","DATE-PRODUCTION-MONTH-V1"],"sequence":12,"transformer_id":"ts.dates","confidence_effect":0.1},{"after":1956,"field":"displacement_cc","before":{"kw":103,"ccm":1956},"target":"normalized","rule_ids":["UNIT-POWER-KW-V1","UNIT-DISPLACEMENT-CCM-V1"],"sequence":13,"transformer_id":"ts.engine-measurements","confidence_effect":0.1},{"after":"ccm","field":"displacement_source_unit","before":{"kw":103,"ccm":1956},"target":"normalized","rule_ids":["UNIT-POWER-KW-V1","UNIT-DISPLACEMENT-CCM-V1"],"sequence":14,"transformer_id":"ts.engine-measurements","confidence_effect":0.1},{"after":103,"field":"power_kw","before":{"kw":103,"ccm":1956},"target":"normalized","rule_ids":["UNIT-POWER-KW-V1","UNIT-DISPLACEMENT-CCM-V1"],"sequence":15,"transformer_id":"ts.engine-measurements","confidence_effect":0.1},{"after":"kw","field":"power_source_unit","before":{"kw":103,"ccm":1956},"target":"normalized","rule_ids":["UNIT-POWER-KW-V1","UNIT-DISPLACEMENT-CCM-V1"],"sequence":16,"transformer_id":"ts.engine-measurements","confidence_effect":0.1},{"after":"manual","field":"transmission_type","before":{"model":"ALFA GIULIETTA","gearbox":"M","variant":"FXL1A","version":"08"},"target":"normalized","rule_ids":["TRN-001"],"sequence":17,"transformer_id":"ts.transmission","confidence_effect":0.1},{"after":"multi_purpose_vehicle","field":"bodywork_form","before":{"model":"ALFA GIULIETTA","variant":"FXL1A","version":"08","body_code":"AF","eu_category":"M1","vehicle_type":"PB"},"target":"normalized","rule_ids":["BDY-113"],"sequence":18,"transformer_id":"ts.bodywork","confidence_effect":0.1},{"after":"Fordon avsett för flera ändamål","field":"bodywork_registry_label_sv","before":{"model":"ALFA GIULIETTA","variant":"FXL1A","version":"08","body_code":"AF","eu_category":"M1","vehicle_type":"PB"},"target":"normalized","rule_ids":["BDY-113"],"sequence":19,"transformer_id":"ts.bodywork","confidence_effect":0.1},{"after":["diesel"],"field":"energy_sources","before":{"fuel1":"2","fuel2":"0","fuel3":"0","model":"ALFA GIULIETTA","variant":"FXL1A","version":"08"},"target":"normalized","rule_ids":["FUEL-002"],"sequence":20,"transformer_id":"ts.fuel","confidence_effect":0.0}],"pipeline_version":"normalization-pipeline-v4","candidate_rule_ids":[]}</x:v>
      </x:c>
      <x:c r="Z31" s="36" t="n">
        <x:v>46239.78067015046</x:v>
      </x:c>
      <x:c r="AA31" s="36" t="n">
        <x:v>46239.78067015046</x:v>
      </x:c>
    </x:row>
    <x:row r="32" ht="18" customHeight="1">
      <x:c r="A32" s="36" t="n">
        <x:v>2634</x:v>
      </x:c>
      <x:c r="B32" s="36" t="str">
        <x:v>1d4a674c-838b-5dcc-95ed-c6d2ce062784</x:v>
      </x:c>
      <x:c r="C32" s="36" t="str">
        <x:v>Transportstyrelsen</x:v>
      </x:c>
      <x:c r="D32" s="36" t="str">
        <x:v>normalization-review-passenger-250-v1-rules-20260805T184409855703Z</x:v>
      </x:c>
      <x:c r="E32" s="36" t="str">
        <x:v>staging.transportstyrelsen_raw</x:v>
      </x:c>
      <x:c r="F32" s="36" t="n">
        <x:v>2752</x:v>
      </x:c>
      <x:c r="G32" s="36" t="str">
        <x:v>ts-mapping-v1</x:v>
      </x:c>
      <x:c r="H32" s="36" t="str">
        <x:v>ts-review-20260805T184254528647Z</x:v>
      </x:c>
      <x:c r="I32" s="36" t="str">
        <x:v>normalization-pipeline-v4</x:v>
      </x:c>
      <x:c r="J32" s="36" t="str">
        <x:v>provisional</x:v>
      </x:c>
      <x:c r="K32" s="39" t="n">
        <x:v>0.8</x:v>
      </x:c>
      <x:c r="L32" s="36" t="str">
        <x:v>Volkswagen</x:v>
      </x:c>
      <x:c r="M32" s="36" t="str">
        <x:v>PASSAT CC</x:v>
      </x:c>
      <x:c r="N32" s="36" t="str">
        <x:v>sedan</x:v>
      </x:c>
      <x:c r="O32" s="38" t="str">
        <x:v>["diesel"]</x:v>
      </x:c>
      <x:c r="P32" s="36" t="str">
        <x:v>automatic</x:v>
      </x:c>
      <x:c r="Q32" s="36" t="n">
        <x:v>2011</x:v>
      </x:c>
      <x:c r="R32" s="38" t="str">
        <x:v>["MFR-BRAND-CONFIRMED","MFR-BRAND-MODEL","MFR-BRAND-VIN-WMI","DATE-REGISTRATION-V1","DATE-PRODUCTION-MONTH-V1","UNIT-POWER-KW-V1","UNIT-DISPLACEMENT-CCM-V1","TRN-002","BDY-101","FUEL-002"]</x:v>
      </x:c>
      <x:c r="S32" s="38" t="str">
        <x:v>["DRV-008"]</x:v>
      </x:c>
      <x:c r="T32" s="38" t="str">
        <x:v>[]</x:v>
      </x:c>
      <x:c r="U32" s="38" t="str">
        <x:v>{"market":["SE"],"power_kw":125,"manufacturer":"Volkswagen","bodywork_form":"sedan","energy_sources":["diesel"],"displacement_cc":1968,"production_date":"2011-02","production_year":2011,"manufacturer_role":"vehicle_manufacturer","power_source_unit":"kw","registration_date":"2011-03-07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32" s="38" t="str">
        <x:v>{"drive_type":"awd","model_family":"PASSAT CC"}</x:v>
      </x:c>
      <x:c r="W32" s="38" t="str">
        <x:v>[{"after":"VOLKSWAGEN, VW 3CC","field":"brand","before":"VOLKSWAGEN, VW  3C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3CC","target":"normalized","rule_ids":["MFR-BRAND-CONFIRMED","MFR-BRAND-MODEL","MFR-BRAND-VIN-WMI"],"sequence":4,"transformer_id":"ts.manufacturer","confidence_effect":0.2},{"after":"Volkswagen","field":"manufacturer","before":"VOLKSWAGEN, VW 3CC","target":"normalized","rule_ids":["MFR-BRAND-CONFIRMED","MFR-BRAND-MODEL","MFR-BRAND-VIN-WMI"],"sequence":5,"transformer_id":"ts.manufacturer","confidence_effect":0.2},{"after":"vehicle_manufacturer","field":"manufacturer_role","before":"VOLKSWAGEN, VW 3CC","target":"normalized","rule_ids":["MFR-BRAND-CONFIRMED","MFR-BRAND-MODEL","MFR-BRAND-VIN-WMI"],"sequence":6,"transformer_id":"ts.manufacturer","confidence_effect":0.2},{"after":true,"field":"model_family_candidate","before":"PASSAT CC","target":"normalized","rule_ids":["MODEL-CANDIDATE-V1"],"sequence":7,"transformer_id":"ts.model-family","confidence_effect":0.0},{"after":"PASSAT CC","field":"model_family","before":"PASSAT CC","target":"candidate","rule_ids":["MODEL-CANDIDATE-V1"],"sequence":8,"transformer_id":"ts.model-family","confidence_effect":0.05},{"after":"2011-02","field":"production_date","before":{"build_month":"201102","vehicle_year":2011,"registration_date":"20110307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20110307"},"target":"normalized","rule_ids":["DATE-REGISTRATION-V1","DATE-PRODUCTION-MONTH-V1"],"sequence":10,"transformer_id":"ts.dates","confidence_effect":0.1},{"after":2011,"field":"production_year","before":{"build_month":"201102","vehicle_year":2011,"registration_date":"20110307"},"target":"normalized","rule_ids":["DATE-REGISTRATION-V1","DATE-PRODUCTION-MONTH-V1"],"sequence":11,"transformer_id":"ts.dates","confidence_effect":0.1},{"after":"2011-03-07","field":"registration_date","before":{"build_month":"201102","vehicle_year":2011,"registration_date":"20110307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 CC","gearbox":"A","variant":"AACFGBX1","version":"AD6AD62E083ST7MGVR25"},"target":"normalized","rule_ids":["TRN-002"],"sequence":17,"transformer_id":"ts.transmission","confidence_effect":0.1},{"after":"sedan","field":"bodywork_form","before":{"model":"PASSAT CC","variant":"AACFGBX1","version":"AD6AD62E083ST7MGVR25","body_code":"AA","eu_category":"M1","vehicle_type":"PB"},"target":"normalized","rule_ids":["BDY-101"],"sequence":18,"transformer_id":"ts.bodywork","confidence_effect":0.1},{"after":"Sedan","field":"bodywork_registry_label_sv","before":{"model":"PASSAT CC","variant":"AACFGBX1","version":"AD6AD62E083ST7MGVR25","body_code":"AA","eu_category":"M1","vehicle_type":"PB"},"target":"normalized","rule_ids":["BDY-101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 CC","variant":"AACFGBX1","version":"AD6AD62E083ST7MGVR25"},"target":"normalized","rule_ids":["FUEL-002"],"sequence":21,"transformer_id":"ts.fuel","confidence_effect":0.0}]</x:v>
      </x:c>
      <x:c r="X3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2" s="38" t="str">
        <x:v>{"candidates":{"drive_type":"awd","model_family":"PASSAT CC"},"confidence":0.8,"normalized":{"market":["SE"],"power_kw":125,"manufacturer":"Volkswagen","bodywork_form":"sedan","energy_sources":["diesel"],"displacement_cc":1968,"production_date":"2011-02","production_year":2011,"manufacturer_role":"vehicle_manufacturer","power_source_unit":"kw","registration_date":"2011-03-07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3CC","field":"brand","before":"VOLKSWAGEN, VW  3C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3CC","target":"normalized","rule_ids":["MFR-BRAND-CONFIRMED","MFR-BRAND-MODEL","MFR-BRAND-VIN-WMI"],"sequence":4,"transformer_id":"ts.manufacturer","confidence_effect":0.2},{"after":"Volkswagen","field":"manufacturer","before":"VOLKSWAGEN, VW 3CC","target":"normalized","rule_ids":["MFR-BRAND-CONFIRMED","MFR-BRAND-MODEL","MFR-BRAND-VIN-WMI"],"sequence":5,"transformer_id":"ts.manufacturer","confidence_effect":0.2},{"after":"vehicle_manufacturer","field":"manufacturer_role","before":"VOLKSWAGEN, VW 3CC","target":"normalized","rule_ids":["MFR-BRAND-CONFIRMED","MFR-BRAND-MODEL","MFR-BRAND-VIN-WMI"],"sequence":6,"transformer_id":"ts.manufacturer","confidence_effect":0.2},{"after":true,"field":"model_family_candidate","before":"PASSAT CC","target":"normalized","rule_ids":["MODEL-CANDIDATE-V1"],"sequence":7,"transformer_id":"ts.model-family","confidence_effect":0.0},{"after":"PASSAT CC","field":"model_family","before":"PASSAT CC","target":"candidate","rule_ids":["MODEL-CANDIDATE-V1"],"sequence":8,"transformer_id":"ts.model-family","confidence_effect":0.05},{"after":"2011-02","field":"production_date","before":{"build_month":"201102","vehicle_year":2011,"registration_date":"20110307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20110307"},"target":"normalized","rule_ids":["DATE-REGISTRATION-V1","DATE-PRODUCTION-MONTH-V1"],"sequence":10,"transformer_id":"ts.dates","confidence_effect":0.1},{"after":2011,"field":"production_year","before":{"build_month":"201102","vehicle_year":2011,"registration_date":"20110307"},"target":"normalized","rule_ids":["DATE-REGISTRATION-V1","DATE-PRODUCTION-MONTH-V1"],"sequence":11,"transformer_id":"ts.dates","confidence_effect":0.1},{"after":"2011-03-07","field":"registration_date","before":{"build_month":"201102","vehicle_year":2011,"registration_date":"20110307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 CC","gearbox":"A","variant":"AACFGBX1","version":"AD6AD62E083ST7MGVR25"},"target":"normalized","rule_ids":["TRN-002"],"sequence":17,"transformer_id":"ts.transmission","confidence_effect":0.1},{"after":"sedan","field":"bodywork_form","before":{"model":"PASSAT CC","variant":"AACFGBX1","version":"AD6AD62E083ST7MGVR25","body_code":"AA","eu_category":"M1","vehicle_type":"PB"},"target":"normalized","rule_ids":["BDY-101"],"sequence":18,"transformer_id":"ts.bodywork","confidence_effect":0.1},{"after":"Sedan","field":"bodywork_registry_label_sv","before":{"model":"PASSAT CC","variant":"AACFGBX1","version":"AD6AD62E083ST7MGVR25","body_code":"AA","eu_category":"M1","vehicle_type":"PB"},"target":"normalized","rule_ids":["BDY-101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 CC","variant":"AACFGBX1","version":"AD6AD62E083ST7MGVR25"},"target":"normalized","rule_ids":["FUEL-002"],"sequence":21,"transformer_id":"ts.fuel","confidence_effect":0.0}],"pipeline_version":"normalization-pipeline-v4","candidate_rule_ids":["DRV-008"]}</x:v>
      </x:c>
      <x:c r="Z32" s="36" t="n">
        <x:v>46239.78067015046</x:v>
      </x:c>
      <x:c r="AA32" s="36" t="n">
        <x:v>46239.78067015046</x:v>
      </x:c>
    </x:row>
    <x:row r="33" ht="18" customHeight="1">
      <x:c r="A33" s="36" t="n">
        <x:v>2635</x:v>
      </x:c>
      <x:c r="B33" s="36" t="str">
        <x:v>eb826188-696a-52d4-bac9-c10b7d2fd891</x:v>
      </x:c>
      <x:c r="C33" s="36" t="str">
        <x:v>Transportstyrelsen</x:v>
      </x:c>
      <x:c r="D33" s="36" t="str">
        <x:v>normalization-review-passenger-250-v1-rules-20260805T184409855703Z</x:v>
      </x:c>
      <x:c r="E33" s="36" t="str">
        <x:v>staging.transportstyrelsen_raw</x:v>
      </x:c>
      <x:c r="F33" s="36" t="n">
        <x:v>2753</x:v>
      </x:c>
      <x:c r="G33" s="36" t="str">
        <x:v>ts-mapping-v1</x:v>
      </x:c>
      <x:c r="H33" s="36" t="str">
        <x:v>ts-review-20260805T184254528647Z</x:v>
      </x:c>
      <x:c r="I33" s="36" t="str">
        <x:v>normalization-pipeline-v4</x:v>
      </x:c>
      <x:c r="J33" s="36" t="str">
        <x:v>provisional</x:v>
      </x:c>
      <x:c r="K33" s="39" t="n">
        <x:v>0.8</x:v>
      </x:c>
      <x:c r="L33" s="36" t="str">
        <x:v>Volkswagen</x:v>
      </x:c>
      <x:c r="M33" s="36" t="str">
        <x:v>TIGUAN</x:v>
      </x:c>
      <x:c r="N33" s="36" t="str">
        <x:v>estate</x:v>
      </x:c>
      <x:c r="O33" s="38" t="str">
        <x:v>["diesel"]</x:v>
      </x:c>
      <x:c r="P33" s="36" t="str">
        <x:v>automatic</x:v>
      </x:c>
      <x:c r="Q33" s="36" t="n">
        <x:v>2014</x:v>
      </x:c>
      <x:c r="R33" s="38" t="str">
        <x:v>["MFR-BRAND-CONFIRMED","MFR-BRAND-MODEL","MFR-BRAND-VIN-WMI","DATE-REGISTRATION-V1","DATE-PRODUCTION-MONTH-V1","UNIT-POWER-KW-V1","UNIT-DISPLACEMENT-CCM-V1","TRN-002","BDY-110","FUEL-002"]</x:v>
      </x:c>
      <x:c r="S33" s="38" t="str">
        <x:v>["DRV-008"]</x:v>
      </x:c>
      <x:c r="T33" s="38" t="str">
        <x:v>[]</x:v>
      </x:c>
      <x:c r="U33" s="38" t="str">
        <x:v>{"market":["SE"],"power_kw":130,"manufacturer":"Volkswagen","bodywork_form":"estate","energy_sources":["diesel"],"displacement_cc":1968,"production_date":"2014-03","production_year":2014,"manufacturer_role":"vehicle_manufacturer","power_source_unit":"kw","registration_date":"2014-05-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3" s="38" t="str">
        <x:v>{"drive_type":"awd","model_family":"TIGUAN"}</x:v>
      </x:c>
      <x:c r="W33" s="38" t="str">
        <x:v>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2014-03","field":"production_date","before":{"build_month":"201403","vehicle_year":2014,"registration_date":"20140516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20140516"},"target":"normalized","rule_ids":["DATE-REGISTRATION-V1","DATE-PRODUCTION-MONTH-V1"],"sequence":10,"transformer_id":"ts.dates","confidence_effect":0.1},{"after":2014,"field":"production_year","before":{"build_month":"201403","vehicle_year":2014,"registration_date":"20140516"},"target":"normalized","rule_ids":["DATE-REGISTRATION-V1","DATE-PRODUCTION-MONTH-V1"],"sequence":11,"transformer_id":"ts.dates","confidence_effect":0.1},{"after":"2014-05-16","field":"registration_date","before":{"build_month":"201403","vehicle_year":2014,"registration_date":"20140516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TIGUAN","gearbox":"A","variant":"ACCFGCX1","version":"AD7AD7BH003NDVIVR27MJO"},"target":"normalized","rule_ids":["TRN-002"],"sequence":17,"transformer_id":"ts.transmission","confidence_effect":0.1},{"after":"estate","field":"bodywork_form","before":{"model":"TIGUAN","variant":"ACCFGCX1","version":"AD7AD7BH003NDVIVR27MJ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FGCX1","version":"AD7AD7BH003NDVIVR27MJ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IGUAN","variant":"ACCFGCX1","version":"AD7AD7BH003NDVIVR27MJO"},"target":"normalized","rule_ids":["FUEL-002"],"sequence":21,"transformer_id":"ts.fuel","confidence_effect":0.0}]</x:v>
      </x:c>
      <x:c r="X3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" s="38" t="str">
        <x:v>{"candidates":{"drive_type":"awd","model_family":"TIGUAN"},"confidence":0.8,"normalized":{"market":["SE"],"power_kw":130,"manufacturer":"Volkswagen","bodywork_form":"estate","energy_sources":["diesel"],"displacement_cc":1968,"production_date":"2014-03","production_year":2014,"manufacturer_role":"vehicle_manufacturer","power_source_unit":"kw","registration_date":"2014-05-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2014-03","field":"production_date","before":{"build_month":"201403","vehicle_year":2014,"registration_date":"20140516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20140516"},"target":"normalized","rule_ids":["DATE-REGISTRATION-V1","DATE-PRODUCTION-MONTH-V1"],"sequence":10,"transformer_id":"ts.dates","confidence_effect":0.1},{"after":2014,"field":"production_year","before":{"build_month":"201403","vehicle_year":2014,"registration_date":"20140516"},"target":"normalized","rule_ids":["DATE-REGISTRATION-V1","DATE-PRODUCTION-MONTH-V1"],"sequence":11,"transformer_id":"ts.dates","confidence_effect":0.1},{"after":"2014-05-16","field":"registration_date","before":{"build_month":"201403","vehicle_year":2014,"registration_date":"20140516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TIGUAN","gearbox":"A","variant":"ACCFGCX1","version":"AD7AD7BH003NDVIVR27MJO"},"target":"normalized","rule_ids":["TRN-002"],"sequence":17,"transformer_id":"ts.transmission","confidence_effect":0.1},{"after":"estate","field":"bodywork_form","before":{"model":"TIGUAN","variant":"ACCFGCX1","version":"AD7AD7BH003NDVIVR27MJ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FGCX1","version":"AD7AD7BH003NDVIVR27MJ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IGUAN","variant":"ACCFGCX1","version":"AD7AD7BH003NDVIVR27MJO"},"target":"normalized","rule_ids":["FUEL-002"],"sequence":21,"transformer_id":"ts.fuel","confidence_effect":0.0}],"pipeline_version":"normalization-pipeline-v4","candidate_rule_ids":["DRV-008"]}</x:v>
      </x:c>
      <x:c r="Z33" s="36" t="n">
        <x:v>46239.78067015046</x:v>
      </x:c>
      <x:c r="AA33" s="36" t="n">
        <x:v>46239.78067015046</x:v>
      </x:c>
    </x:row>
    <x:row r="34" ht="18" customHeight="1">
      <x:c r="A34" s="36" t="n">
        <x:v>2636</x:v>
      </x:c>
      <x:c r="B34" s="36" t="str">
        <x:v>ab2a7de1-eb8f-5d0a-bfbd-b5a1919ebf1d</x:v>
      </x:c>
      <x:c r="C34" s="36" t="str">
        <x:v>Transportstyrelsen</x:v>
      </x:c>
      <x:c r="D34" s="36" t="str">
        <x:v>normalization-review-passenger-250-v1-rules-20260805T184409855703Z</x:v>
      </x:c>
      <x:c r="E34" s="36" t="str">
        <x:v>staging.transportstyrelsen_raw</x:v>
      </x:c>
      <x:c r="F34" s="36" t="n">
        <x:v>2754</x:v>
      </x:c>
      <x:c r="G34" s="36" t="str">
        <x:v>ts-mapping-v1</x:v>
      </x:c>
      <x:c r="H34" s="36" t="str">
        <x:v>ts-review-20260805T184254528647Z</x:v>
      </x:c>
      <x:c r="I34" s="36" t="str">
        <x:v>normalization-pipeline-v4</x:v>
      </x:c>
      <x:c r="J34" s="36" t="str">
        <x:v>provisional</x:v>
      </x:c>
      <x:c r="K34" s="39" t="n">
        <x:v>0.8</x:v>
      </x:c>
      <x:c r="L34" s="36" t="str">
        <x:v>Tesla</x:v>
      </x:c>
      <x:c r="M34" s="36" t="str">
        <x:v>MODEL 3</x:v>
      </x:c>
      <x:c r="N34" s="36" t="str">
        <x:v>sedan</x:v>
      </x:c>
      <x:c r="O34" s="38" t="str">
        <x:v>["electricity"]</x:v>
      </x:c>
      <x:c r="P34" s="36"/>
      <x:c r="Q34" s="36" t="n">
        <x:v>2022</x:v>
      </x:c>
      <x:c r="R34" s="38" t="str">
        <x:v>["MFR-102","DATE-REGISTRATION-V1","DATE-PRODUCTION-DAY-V1","BDY-101","FUEL-003","ELEC-001"]</x:v>
      </x:c>
      <x:c r="S34" s="38" t="str">
        <x:v>[]</x:v>
      </x:c>
      <x:c r="T34" s="38" t="str">
        <x:v>[]</x:v>
      </x:c>
      <x:c r="U34" s="38" t="str">
        <x:v>{"market":["SE"],"manufacturer":"Tesla","bodywork_form":"sedan","energy_sources":["electricity"],"production_date":"2022-01-12","production_year":2022,"manufacturer_role":"vehicle_manufacturer","registration_date":"2022-03-02","alias_types_present":["plate","vin","model_name"],"electrification_type":"battery_electric","model_family_candidate":true,"builder_converter_names":[],"production_date_precision":"day","bodywork_registry_label_sv":"Sedan"}</x:v>
      </x:c>
      <x:c r="V34" s="38" t="str">
        <x:v>{"model_family":"MODEL 3"}</x:v>
      </x:c>
      <x:c r="W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2022-01-12","field":"production_date","before":{"build_date":"20220112","build_month":"202201","vehicle_year":2022,"registration_date":"20220302"},"target":"normalized","rule_ids":["DATE-REGISTRATION-V1","DATE-PRODUCTION-DAY-V1"],"sequence":8,"transformer_id":"ts.dates","confidence_effect":0.1},{"after":"day","field":"production_date_precision","before":{"build_date":"20220112","build_month":"202201","vehicle_year":2022,"registration_date":"20220302"},"target":"normalized","rule_ids":["DATE-REGISTRATION-V1","DATE-PRODUCTION-DAY-V1"],"sequence":9,"transformer_id":"ts.dates","confidence_effect":0.1},{"after":2022,"field":"production_year","before":{"build_date":"20220112","build_month":"202201","vehicle_year":2022,"registration_date":"20220302"},"target":"normalized","rule_ids":["DATE-REGISTRATION-V1","DATE-PRODUCTION-DAY-V1"],"sequence":10,"transformer_id":"ts.dates","confidence_effect":0.1},{"after":"2022-03-02","field":"registration_date","before":{"build_date":"20220112","build_month":"202201","vehicle_year":2022,"registration_date":"20220302"},"target":"normalized","rule_ids":["DATE-REGISTRATION-V1","DATE-PRODUCTION-DAY-V1"],"sequence":11,"transformer_id":"ts.dates","confidence_effect":0.1},{"after":"sedan","field":"bodywork_form","before":{"model":"MODEL 3","variant":"E6LR","version":"BGB1S5N","body_code":"AA","eu_category":"M1","vehicle_type":"PB"},"target":"normalized","rule_ids":["BDY-101"],"sequence":12,"transformer_id":"ts.bodywork","confidence_effect":0.1},{"after":"Sedan","field":"bodywork_registry_label_sv","before":{"model":"MODEL 3","variant":"E6LR","version":"BGB1S5N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MODEL 3","variant":"E6LR","version":"BGB1S5N","ev_config":"EL"},"target":"normalized","rule_ids":["FUEL-003","ELEC-001"],"sequence":14,"transformer_id":"ts.fuel","confidence_effect":0.0},{"after":["electricity"],"field":"energy_sources","before":{"fuel1":"3","fuel2":"0","fuel3":"0","model":"MODEL 3","variant":"E6LR","version":"BGB1S5N","ev_config":"EL"},"target":"normalized","rule_ids":["FUEL-003","ELEC-001"],"sequence":15,"transformer_id":"ts.fuel","confidence_effect":0.0}]</x:v>
      </x:c>
      <x:c r="X34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4" s="38" t="str">
        <x:v>{"candidates":{"model_family":"MODEL 3"},"confidence":0.8,"normalized":{"market":["SE"],"manufacturer":"Tesla","bodywork_form":"sedan","energy_sources":["electricity"],"production_date":"2022-01-12","production_year":2022,"manufacturer_role":"vehicle_manufacturer","registration_date":"2022-03-02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2022-01-12","field":"production_date","before":{"build_date":"20220112","build_month":"202201","vehicle_year":2022,"registration_date":"20220302"},"target":"normalized","rule_ids":["DATE-REGISTRATION-V1","DATE-PRODUCTION-DAY-V1"],"sequence":8,"transformer_id":"ts.dates","confidence_effect":0.1},{"after":"day","field":"production_date_precision","before":{"build_date":"20220112","build_month":"202201","vehicle_year":2022,"registration_date":"20220302"},"target":"normalized","rule_ids":["DATE-REGISTRATION-V1","DATE-PRODUCTION-DAY-V1"],"sequence":9,"transformer_id":"ts.dates","confidence_effect":0.1},{"after":2022,"field":"production_year","before":{"build_date":"20220112","build_month":"202201","vehicle_year":2022,"registration_date":"20220302"},"target":"normalized","rule_ids":["DATE-REGISTRATION-V1","DATE-PRODUCTION-DAY-V1"],"sequence":10,"transformer_id":"ts.dates","confidence_effect":0.1},{"after":"2022-03-02","field":"registration_date","before":{"build_date":"20220112","build_month":"202201","vehicle_year":2022,"registration_date":"20220302"},"target":"normalized","rule_ids":["DATE-REGISTRATION-V1","DATE-PRODUCTION-DAY-V1"],"sequence":11,"transformer_id":"ts.dates","confidence_effect":0.1},{"after":"sedan","field":"bodywork_form","before":{"model":"MODEL 3","variant":"E6LR","version":"BGB1S5N","body_code":"AA","eu_category":"M1","vehicle_type":"PB"},"target":"normalized","rule_ids":["BDY-101"],"sequence":12,"transformer_id":"ts.bodywork","confidence_effect":0.1},{"after":"Sedan","field":"bodywork_registry_label_sv","before":{"model":"MODEL 3","variant":"E6LR","version":"BGB1S5N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MODEL 3","variant":"E6LR","version":"BGB1S5N","ev_config":"EL"},"target":"normalized","rule_ids":["FUEL-003","ELEC-001"],"sequence":14,"transformer_id":"ts.fuel","confidence_effect":0.0},{"after":["electricity"],"field":"energy_sources","before":{"fuel1":"3","fuel2":"0","fuel3":"0","model":"MODEL 3","variant":"E6LR","version":"BGB1S5N","ev_config":"EL"},"target":"normalized","rule_ids":["FUEL-003","ELEC-001"],"sequence":15,"transformer_id":"ts.fuel","confidence_effect":0.0}],"pipeline_version":"normalization-pipeline-v4","candidate_rule_ids":[]}</x:v>
      </x:c>
      <x:c r="Z34" s="36" t="n">
        <x:v>46239.78067015046</x:v>
      </x:c>
      <x:c r="AA34" s="36" t="n">
        <x:v>46239.78067015046</x:v>
      </x:c>
    </x:row>
    <x:row r="35" ht="18" customHeight="1">
      <x:c r="A35" s="36" t="n">
        <x:v>2637</x:v>
      </x:c>
      <x:c r="B35" s="36" t="str">
        <x:v>e5694a21-2eb2-52d7-9632-2c3be13bd125</x:v>
      </x:c>
      <x:c r="C35" s="36" t="str">
        <x:v>Transportstyrelsen</x:v>
      </x:c>
      <x:c r="D35" s="36" t="str">
        <x:v>normalization-review-passenger-250-v1-rules-20260805T184409855703Z</x:v>
      </x:c>
      <x:c r="E35" s="36" t="str">
        <x:v>staging.transportstyrelsen_raw</x:v>
      </x:c>
      <x:c r="F35" s="36" t="n">
        <x:v>2755</x:v>
      </x:c>
      <x:c r="G35" s="36" t="str">
        <x:v>ts-mapping-v1</x:v>
      </x:c>
      <x:c r="H35" s="36" t="str">
        <x:v>ts-review-20260805T184254528647Z</x:v>
      </x:c>
      <x:c r="I35" s="36" t="str">
        <x:v>normalization-pipeline-v4</x:v>
      </x:c>
      <x:c r="J35" s="36" t="str">
        <x:v>provisional</x:v>
      </x:c>
      <x:c r="K35" s="39" t="n">
        <x:v>0.8</x:v>
      </x:c>
      <x:c r="L35" s="36" t="str">
        <x:v>Toyota</x:v>
      </x:c>
      <x:c r="M35" s="36" t="str">
        <x:v>TOYOTA COROLLA</x:v>
      </x:c>
      <x:c r="N35" s="36" t="str">
        <x:v>estate</x:v>
      </x:c>
      <x:c r="O35" s="38" t="str">
        <x:v>["petrol","electricity"]</x:v>
      </x:c>
      <x:c r="P35" s="36" t="str">
        <x:v>cvt</x:v>
      </x:c>
      <x:c r="Q35" s="36" t="n">
        <x:v>2019</x:v>
      </x:c>
      <x:c r="R35" s="38" t="str">
        <x:v>["MFR-102","DATE-REGISTRATION-V1","DATE-PRODUCTION-MONTH-V1","UNIT-POWER-KW-V1","UNIT-DISPLACEMENT-CCM-V1","TRN-003","BDY-110","FUEL-001","ELEC-002"]</x:v>
      </x:c>
      <x:c r="S35" s="38" t="str">
        <x:v>[]</x:v>
      </x:c>
      <x:c r="T35" s="38" t="str">
        <x:v>[]</x:v>
      </x:c>
      <x:c r="U35" s="38" t="str">
        <x:v>{"market":["SE"],"power_kw":112,"manufacturer":"Toyota","bodywork_form":"estate","energy_sources":["petrol","electricity"],"displacement_cc":1987,"production_date":"2019-03","production_year":2019,"manufacturer_role":"vehicle_manufacturer","power_source_unit":"kw","registration_date":"2019-07-22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35" s="38" t="str">
        <x:v>{"model_family":"TOYOTA COROLLA"}</x:v>
      </x:c>
      <x:c r="W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2019-03","field":"production_date","before":{"build_month":"201903","vehicle_year":2019,"registration_date":"20190722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20190722"},"target":"normalized","rule_ids":["DATE-REGISTRATION-V1","DATE-PRODUCTION-MONTH-V1"],"sequence":9,"transformer_id":"ts.dates","confidence_effect":0.1},{"after":2019,"field":"production_year","before":{"build_month":"201903","vehicle_year":2019,"registration_date":"20190722"},"target":"normalized","rule_ids":["DATE-REGISTRATION-V1","DATE-PRODUCTION-MONTH-V1"],"sequence":10,"transformer_id":"ts.dates","confidence_effect":0.1},{"after":"2019-07-22","field":"registration_date","before":{"build_month":"201903","vehicle_year":2019,"registration_date":"20190722"},"target":"normalized","rule_ids":["DATE-REGISTRATION-V1","DATE-PRODUCTION-MONTH-V1"],"sequence":11,"transformer_id":"ts.dates","confidence_effect":0.1},{"after":1987,"field":"displacement_cc","before":{"kw":112,"ccm":1987},"target":"normalized","rule_ids":["UNIT-POWER-KW-V1","UNIT-DISPLACEMENT-CCM-V1"],"sequence":12,"transformer_id":"ts.engine-measurements","confidence_effect":0.1},{"after":"ccm","field":"displacement_source_unit","before":{"kw":112,"ccm":1987},"target":"normalized","rule_ids":["UNIT-POWER-KW-V1","UNIT-DISPLACEMENT-CCM-V1"],"sequence":13,"transformer_id":"ts.engine-measurements","confidence_effect":0.1},{"after":112,"field":"power_kw","before":{"kw":112,"ccm":1987},"target":"normalized","rule_ids":["UNIT-POWER-KW-V1","UNIT-DISPLACEMENT-CCM-V1"],"sequence":14,"transformer_id":"ts.engine-measurements","confidence_effect":0.1},{"after":"kw","field":"power_source_unit","before":{"kw":112,"ccm":1987},"target":"normalized","rule_ids":["UNIT-POWER-KW-V1","UNIT-DISPLACEMENT-CCM-V1"],"sequence":15,"transformer_id":"ts.engine-measurements","confidence_effect":0.1},{"after":"Variomatic","field":"transmission_display","before":{"model":"TOYOTA COROLLA","gearbox":"V","variant":"MZEH12(W)","version":"MZEH12L-DWXNBW(1B)"},"target":"normalized","rule_ids":["TRN-003"],"sequence":16,"transformer_id":"ts.transmission","confidence_effect":0.1},{"after":"cvt","field":"transmission_type","before":{"model":"TOYOTA COROLLA","gearbox":"V","variant":"MZEH12(W)","version":"MZEH12L-DWXNBW(1B)"},"target":"normalized","rule_ids":["TRN-003"],"sequence":17,"transformer_id":"ts.transmission","confidence_effect":0.1},{"after":"estate","field":"bodywork_form","before":{"model":"TOYOTA COROLLA","variant":"MZEH12(W)","version":"MZEH12L-DWXNBW(1B)","body_code":"AC","eu_category":"M1","vehicle_type":"PB"},"target":"normalized","rule_ids":["BDY-110"],"sequence":18,"transformer_id":"ts.bodywork","confidence_effect":0.1},{"after":"Stationsvagn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MZEH12(W)","version":"MZEH12L-DWXNBW(1B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MZEH12(W)","version":"MZEH12L-DWXNBW(1B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COROLLA","variant":"MZEH12(W)","version":"MZEH12L-DWXNBW(1B)","ev_config":"ELHYBRID"},"target":"normalized","rule_ids":["FUEL-001","ELEC-002"],"sequence":21,"transformer_id":"ts.fuel","confidence_effect":0.0}]</x:v>
      </x:c>
      <x:c r="X35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5" s="38" t="str">
        <x:v>{"candidates":{"model_family":"TOYOTA COROLLA"},"confidence":0.8,"normalized":{"market":["SE"],"power_kw":112,"manufacturer":"Toyota","bodywork_form":"estate","energy_sources":["petrol","electricity"],"displacement_cc":1987,"production_date":"2019-03","production_year":2019,"manufacturer_role":"vehicle_manufacturer","power_source_unit":"kw","registration_date":"2019-07-22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2019-03","field":"production_date","before":{"build_month":"201903","vehicle_year":2019,"registration_date":"20190722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20190722"},"target":"normalized","rule_ids":["DATE-REGISTRATION-V1","DATE-PRODUCTION-MONTH-V1"],"sequence":9,"transformer_id":"ts.dates","confidence_effect":0.1},{"after":2019,"field":"production_year","before":{"build_month":"201903","vehicle_year":2019,"registration_date":"20190722"},"target":"normalized","rule_ids":["DATE-REGISTRATION-V1","DATE-PRODUCTION-MONTH-V1"],"sequence":10,"transformer_id":"ts.dates","confidence_effect":0.1},{"after":"2019-07-22","field":"registration_date","before":{"build_month":"201903","vehicle_year":2019,"registration_date":"20190722"},"target":"normalized","rule_ids":["DATE-REGISTRATION-V1","DATE-PRODUCTION-MONTH-V1"],"sequence":11,"transformer_id":"ts.dates","confidence_effect":0.1},{"after":1987,"field":"displacement_cc","before":{"kw":112,"ccm":1987},"target":"normalized","rule_ids":["UNIT-POWER-KW-V1","UNIT-DISPLACEMENT-CCM-V1"],"sequence":12,"transformer_id":"ts.engine-measurements","confidence_effect":0.1},{"after":"ccm","field":"displacement_source_unit","before":{"kw":112,"ccm":1987},"target":"normalized","rule_ids":["UNIT-POWER-KW-V1","UNIT-DISPLACEMENT-CCM-V1"],"sequence":13,"transformer_id":"ts.engine-measurements","confidence_effect":0.1},{"after":112,"field":"power_kw","before":{"kw":112,"ccm":1987},"target":"normalized","rule_ids":["UNIT-POWER-KW-V1","UNIT-DISPLACEMENT-CCM-V1"],"sequence":14,"transformer_id":"ts.engine-measurements","confidence_effect":0.1},{"after":"kw","field":"power_source_unit","before":{"kw":112,"ccm":1987},"target":"normalized","rule_ids":["UNIT-POWER-KW-V1","UNIT-DISPLACEMENT-CCM-V1"],"sequence":15,"transformer_id":"ts.engine-measurements","confidence_effect":0.1},{"after":"Variomatic","field":"transmission_display","before":{"model":"TOYOTA COROLLA","gearbox":"V","variant":"MZEH12(W)","version":"MZEH12L-DWXNBW(1B)"},"target":"normalized","rule_ids":["TRN-003"],"sequence":16,"transformer_id":"ts.transmission","confidence_effect":0.1},{"after":"cvt","field":"transmission_type","before":{"model":"TOYOTA COROLLA","gearbox":"V","variant":"MZEH12(W)","version":"MZEH12L-DWXNBW(1B)"},"target":"normalized","rule_ids":["TRN-003"],"sequence":17,"transformer_id":"ts.transmission","confidence_effect":0.1},{"after":"estate","field":"bodywork_form","before":{"model":"TOYOTA COROLLA","variant":"MZEH12(W)","version":"MZEH12L-DWXNBW(1B)","body_code":"AC","eu_category":"M1","vehicle_type":"PB"},"target":"normalized","rule_ids":["BDY-110"],"sequence":18,"transformer_id":"ts.bodywork","confidence_effect":0.1},{"after":"Stationsvagn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MZEH12(W)","version":"MZEH12L-DWXNBW(1B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MZEH12(W)","version":"MZEH12L-DWXNBW(1B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MZEH12(W)","version":"MZEH12L-DWXNBW(1B)","ev_config":"ELHYBRID"},"target":"normalized","rule_ids":["FUEL-001","ELEC-002"],"sequence":21,"transformer_id":"ts.fuel","confidence_effect":0.0}],"pipeline_version":"normalization-pipeline-v4","candidate_rule_ids":[]}</x:v>
      </x:c>
      <x:c r="Z35" s="36" t="n">
        <x:v>46239.78067015046</x:v>
      </x:c>
      <x:c r="AA35" s="36" t="n">
        <x:v>46239.78067015046</x:v>
      </x:c>
    </x:row>
    <x:row r="36" ht="18" customHeight="1">
      <x:c r="A36" s="36" t="n">
        <x:v>2638</x:v>
      </x:c>
      <x:c r="B36" s="36" t="str">
        <x:v>4eb2d126-796d-5875-bcbf-737c721b087b</x:v>
      </x:c>
      <x:c r="C36" s="36" t="str">
        <x:v>Transportstyrelsen</x:v>
      </x:c>
      <x:c r="D36" s="36" t="str">
        <x:v>normalization-review-passenger-250-v1-rules-20260805T184409855703Z</x:v>
      </x:c>
      <x:c r="E36" s="36" t="str">
        <x:v>staging.transportstyrelsen_raw</x:v>
      </x:c>
      <x:c r="F36" s="36" t="n">
        <x:v>2756</x:v>
      </x:c>
      <x:c r="G36" s="36" t="str">
        <x:v>ts-mapping-v1</x:v>
      </x:c>
      <x:c r="H36" s="36" t="str">
        <x:v>ts-review-20260805T184254528647Z</x:v>
      </x:c>
      <x:c r="I36" s="36" t="str">
        <x:v>normalization-pipeline-v4</x:v>
      </x:c>
      <x:c r="J36" s="36" t="str">
        <x:v>provisional</x:v>
      </x:c>
      <x:c r="K36" s="39" t="n">
        <x:v>0.8</x:v>
      </x:c>
      <x:c r="L36" s="36" t="str">
        <x:v>BMW</x:v>
      </x:c>
      <x:c r="M36" s="36" t="str">
        <x:v>530D XDRIVE</x:v>
      </x:c>
      <x:c r="N36" s="36" t="str">
        <x:v>estate</x:v>
      </x:c>
      <x:c r="O36" s="38" t="str">
        <x:v>["diesel"]</x:v>
      </x:c>
      <x:c r="P36" s="36" t="str">
        <x:v>automatic</x:v>
      </x:c>
      <x:c r="Q36" s="36" t="n">
        <x:v>2014</x:v>
      </x:c>
      <x:c r="R36" s="38" t="str">
        <x:v>["MFR-BRAND-CONFIRMED","MFR-BRAND-VIN-WMI","DATE-REGISTRATION-V1","DATE-PRODUCTION-MONTH-V1","UNIT-POWER-KW-V1","UNIT-DISPLACEMENT-CCM-V1","TRN-002","BDY-110","FUEL-002"]</x:v>
      </x:c>
      <x:c r="S36" s="38" t="str">
        <x:v>["DRV-008"]</x:v>
      </x:c>
      <x:c r="T36" s="38" t="str">
        <x:v>[]</x:v>
      </x:c>
      <x:c r="U36" s="38" t="str">
        <x:v>{"market":["SE"],"power_kw":190,"manufacturer":"BMW","bodywork_form":"estate","energy_sources":["diesel"],"displacement_cc":2993,"production_date":"2014-03","production_year":2014,"manufacturer_role":"vehicle_manufacturer","power_source_unit":"kw","registration_date":"2014-04-22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6" s="38" t="str">
        <x:v>{"drive_type":"awd","model_family":"530D XDRIVE"}</x:v>
      </x:c>
      <x:c r="W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5K","target":"normalized","rule_ids":["MFR-BRAND-CONFIRMED","MFR-BRAND-VIN-WMI"],"sequence":3,"transformer_id":"ts.manufacturer","confidence_effect":0.2},{"after":"BMW","field":"manufacturer","before":"BMW 5K","target":"normalized","rule_ids":["MFR-BRAND-CONFIRMED","MFR-BRAND-VIN-WMI"],"sequence":4,"transformer_id":"ts.manufacturer","confidence_effect":0.2},{"after":"vehicle_manufacturer","field":"manufacturer_role","before":"BMW 5K","target":"normalized","rule_ids":["MFR-BRAND-CONFIRMED","MFR-BRAND-VIN-WMI"],"sequence":5,"transformer_id":"ts.manufacturer","confidence_effect":0.2},{"after":true,"field":"model_family_candidate","before":"530D XDRIVE","target":"normalized","rule_ids":["MODEL-CANDIDATE-V1"],"sequence":6,"transformer_id":"ts.model-family","confidence_effect":0.0},{"after":"530D XDRIVE","field":"model_family","before":"530D XDRIVE","target":"candidate","rule_ids":["MODEL-CANDIDATE-V1"],"sequence":7,"transformer_id":"ts.model-family","confidence_effect":0.05},{"after":"2014-03","field":"production_date","before":{"build_month":"201403","vehicle_year":2014,"registration_date":"20140422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20140422"},"target":"normalized","rule_ids":["DATE-REGISTRATION-V1","DATE-PRODUCTION-MONTH-V1"],"sequence":9,"transformer_id":"ts.dates","confidence_effect":0.1},{"after":2014,"field":"production_year","before":{"build_month":"201403","vehicle_year":2014,"registration_date":"20140422"},"target":"normalized","rule_ids":["DATE-REGISTRATION-V1","DATE-PRODUCTION-MONTH-V1"],"sequence":10,"transformer_id":"ts.dates","confidence_effect":0.1},{"after":"2014-04-22","field":"registration_date","before":{"build_month":"201403","vehicle_year":2014,"registration_date":"20140422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automatic","field":"transmission_type","before":{"model":"530D XDRIVE","gearbox":"A","variant":"5K31","version":"6A250000"},"target":"normalized","rule_ids":["TRN-002"],"sequence":16,"transformer_id":"ts.transmission","confidence_effect":0.1},{"after":"estate","field":"bodywork_form","before":{"model":"530D XDRIVE","variant":"5K31","version":"6A250000","body_code":"AC","eu_category":"M1","vehicle_type":"PB"},"target":"normalized","rule_ids":["BDY-110"],"sequence":17,"transformer_id":"ts.bodywork","confidence_effect":0.1},{"after":"Stationsvagn (kombivagn)","field":"bodywork_registry_label_sv","before":{"model":"530D XDRIVE","variant":"5K31","version":"6A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530D XDRIVE","variant":"5K31","version":"6A250000"},"target":"normalized","rule_ids":["FUEL-002"],"sequence":20,"transformer_id":"ts.fuel","confidence_effect":0.0}]</x:v>
      </x:c>
      <x:c r="X3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" s="38" t="str">
        <x:v>{"candidates":{"drive_type":"awd","model_family":"530D XDRIVE"},"confidence":0.8,"normalized":{"market":["SE"],"power_kw":190,"manufacturer":"BMW","bodywork_form":"estate","energy_sources":["diesel"],"displacement_cc":2993,"production_date":"2014-03","production_year":2014,"manufacturer_role":"vehicle_manufacturer","power_source_unit":"kw","registration_date":"2014-04-22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5K","target":"normalized","rule_ids":["MFR-BRAND-CONFIRMED","MFR-BRAND-VIN-WMI"],"sequence":3,"transformer_id":"ts.manufacturer","confidence_effect":0.2},{"after":"BMW","field":"manufacturer","before":"BMW 5K","target":"normalized","rule_ids":["MFR-BRAND-CONFIRMED","MFR-BRAND-VIN-WMI"],"sequence":4,"transformer_id":"ts.manufacturer","confidence_effect":0.2},{"after":"vehicle_manufacturer","field":"manufacturer_role","before":"BMW 5K","target":"normalized","rule_ids":["MFR-BRAND-CONFIRMED","MFR-BRAND-VIN-WMI"],"sequence":5,"transformer_id":"ts.manufacturer","confidence_effect":0.2},{"after":true,"field":"model_family_candidate","before":"530D XDRIVE","target":"normalized","rule_ids":["MODEL-CANDIDATE-V1"],"sequence":6,"transformer_id":"ts.model-family","confidence_effect":0.0},{"after":"530D XDRIVE","field":"model_family","before":"530D XDRIVE","target":"candidate","rule_ids":["MODEL-CANDIDATE-V1"],"sequence":7,"transformer_id":"ts.model-family","confidence_effect":0.05},{"after":"2014-03","field":"production_date","before":{"build_month":"201403","vehicle_year":2014,"registration_date":"20140422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20140422"},"target":"normalized","rule_ids":["DATE-REGISTRATION-V1","DATE-PRODUCTION-MONTH-V1"],"sequence":9,"transformer_id":"ts.dates","confidence_effect":0.1},{"after":2014,"field":"production_year","before":{"build_month":"201403","vehicle_year":2014,"registration_date":"20140422"},"target":"normalized","rule_ids":["DATE-REGISTRATION-V1","DATE-PRODUCTION-MONTH-V1"],"sequence":10,"transformer_id":"ts.dates","confidence_effect":0.1},{"after":"2014-04-22","field":"registration_date","before":{"build_month":"201403","vehicle_year":2014,"registration_date":"20140422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automatic","field":"transmission_type","before":{"model":"530D XDRIVE","gearbox":"A","variant":"5K31","version":"6A250000"},"target":"normalized","rule_ids":["TRN-002"],"sequence":16,"transformer_id":"ts.transmission","confidence_effect":0.1},{"after":"estate","field":"bodywork_form","before":{"model":"530D XDRIVE","variant":"5K31","version":"6A250000","body_code":"AC","eu_category":"M1","vehicle_type":"PB"},"target":"normalized","rule_ids":["BDY-110"],"sequence":17,"transformer_id":"ts.bodywork","confidence_effect":0.1},{"after":"Stationsvagn (kombivagn)","field":"bodywork_registry_label_sv","before":{"model":"530D XDRIVE","variant":"5K31","version":"6A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530D XDRIVE","variant":"5K31","version":"6A250000"},"target":"normalized","rule_ids":["FUEL-002"],"sequence":20,"transformer_id":"ts.fuel","confidence_effect":0.0}],"pipeline_version":"normalization-pipeline-v4","candidate_rule_ids":["DRV-008"]}</x:v>
      </x:c>
      <x:c r="Z36" s="36" t="n">
        <x:v>46239.78067015046</x:v>
      </x:c>
      <x:c r="AA36" s="36" t="n">
        <x:v>46239.78067015046</x:v>
      </x:c>
    </x:row>
    <x:row r="37" ht="18" customHeight="1">
      <x:c r="A37" s="36" t="n">
        <x:v>2639</x:v>
      </x:c>
      <x:c r="B37" s="36" t="str">
        <x:v>1e62d148-33ac-5f73-af97-2719352f9756</x:v>
      </x:c>
      <x:c r="C37" s="36" t="str">
        <x:v>Transportstyrelsen</x:v>
      </x:c>
      <x:c r="D37" s="36" t="str">
        <x:v>normalization-review-passenger-250-v1-rules-20260805T184409855703Z</x:v>
      </x:c>
      <x:c r="E37" s="36" t="str">
        <x:v>staging.transportstyrelsen_raw</x:v>
      </x:c>
      <x:c r="F37" s="36" t="n">
        <x:v>2757</x:v>
      </x:c>
      <x:c r="G37" s="36" t="str">
        <x:v>ts-mapping-v1</x:v>
      </x:c>
      <x:c r="H37" s="36" t="str">
        <x:v>ts-review-20260805T184254528647Z</x:v>
      </x:c>
      <x:c r="I37" s="36" t="str">
        <x:v>normalization-pipeline-v4</x:v>
      </x:c>
      <x:c r="J37" s="36" t="str">
        <x:v>provisional</x:v>
      </x:c>
      <x:c r="K37" s="39" t="n">
        <x:v>0.8</x:v>
      </x:c>
      <x:c r="L37" s="36" t="str">
        <x:v>Ford</x:v>
      </x:c>
      <x:c r="M37" s="36" t="str">
        <x:v>TRANSIT</x:v>
      </x:c>
      <x:c r="N37" s="36" t="str">
        <x:v>multi_purpose_vehicle</x:v>
      </x:c>
      <x:c r="O37" s="38" t="str">
        <x:v>["diesel"]</x:v>
      </x:c>
      <x:c r="P37" s="36" t="str">
        <x:v>manual</x:v>
      </x:c>
      <x:c r="Q37" s="36" t="n">
        <x:v>2020</x:v>
      </x:c>
      <x:c r="R37" s="38" t="str">
        <x:v>["MFR-102","DATE-REGISTRATION-V1","DATE-PRODUCTION-MONTH-V1","UNIT-POWER-KW-V1","UNIT-DISPLACEMENT-CCM-V1","TRN-001","BDY-113","FUEL-002"]</x:v>
      </x:c>
      <x:c r="S37" s="38" t="str">
        <x:v>[]</x:v>
      </x:c>
      <x:c r="T37" s="38" t="str">
        <x:v>[]</x:v>
      </x:c>
      <x:c r="U37" s="38" t="str">
        <x:v>{"market":["SE"],"power_kw":96,"manufacturer":"Ford","bodywork_form":"multi_purpose_vehicle","energy_sources":["diesel"],"displacement_cc":1995,"production_date":"2020-08","production_year":2020,"manufacturer_role":"vehicle_manufacturer","power_source_unit":"kw","registration_date":"2020-10-14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7" s="38" t="str">
        <x:v>{"model_family":"TRANSIT"}</x:v>
      </x:c>
      <x:c r="W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TRANSIT","target":"normalized","rule_ids":["MODEL-CANDIDATE-V1"],"sequence":6,"transformer_id":"ts.model-family","confidence_effect":0.0},{"after":"TRANSIT","field":"model_family","before":"TRANSIT","target":"candidate","rule_ids":["MODEL-CANDIDATE-V1"],"sequence":7,"transformer_id":"ts.model-family","confidence_effect":0.05},{"after":"2020-08","field":"production_date","before":{"build_month":"202008","vehicle_year":2020,"registration_date":"20201014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20201014"},"target":"normalized","rule_ids":["DATE-REGISTRATION-V1","DATE-PRODUCTION-MONTH-V1"],"sequence":9,"transformer_id":"ts.dates","confidence_effect":0.1},{"after":2020,"field":"production_year","before":{"build_month":"202008","vehicle_year":2020,"registration_date":"20201014"},"target":"normalized","rule_ids":["DATE-REGISTRATION-V1","DATE-PRODUCTION-MONTH-V1"],"sequence":10,"transformer_id":"ts.dates","confidence_effect":0.1},{"after":"2020-10-14","field":"registration_date","before":{"build_month":"202008","vehicle_year":2020,"registration_date":"20201014"},"target":"normalized","rule_ids":["DATE-REGISTRATION-V1","DATE-PRODUCTION-MONTH-V1"],"sequence":11,"transformer_id":"ts.dates","confidence_effect":0.1},{"after":1995,"field":"displacement_cc","before":{"kw":96,"ccm":1995},"target":"normalized","rule_ids":["UNIT-POWER-KW-V1","UNIT-DISPLACEMENT-CCM-V1"],"sequence":12,"transformer_id":"ts.engine-measurements","confidence_effect":0.1},{"after":"ccm","field":"displacement_source_unit","before":{"kw":96,"ccm":1995},"target":"normalized","rule_ids":["UNIT-POWER-KW-V1","UNIT-DISPLACEMENT-CCM-V1"],"sequence":13,"transformer_id":"ts.engine-measurements","confidence_effect":0.1},{"after":96,"field":"power_kw","before":{"kw":96,"ccm":1995},"target":"normalized","rule_ids":["UNIT-POWER-KW-V1","UNIT-DISPLACEMENT-CCM-V1"],"sequence":14,"transformer_id":"ts.engine-measurements","confidence_effect":0.1},{"after":"kw","field":"power_source_unit","before":{"kw":96,"ccm":1995},"target":"normalized","rule_ids":["UNIT-POWER-KW-V1","UNIT-DISPLACEMENT-CCM-V1"],"sequence":15,"transformer_id":"ts.engine-measurements","confidence_effect":0.1},{"after":"manual","field":"transmission_type","before":{"model":"TRANSIT","gearbox":"M"},"target":"normalized","rule_ids":["TRN-001"],"sequence":16,"transformer_id":"ts.transmission","confidence_effect":0.1},{"after":"multi_purpose_vehicle","field":"bodywork_form","before":{"model":"TRANSIT","body_code":"AF","eu_category":"M1","vehicle_type":"PB"},"target":"normalized","rule_ids":["BDY-113"],"sequence":17,"transformer_id":"ts.bodywork","confidence_effect":0.1},{"after":"Fordon avsett för flera ändamål","field":"bodywork_registry_label_sv","before":{"model":"TRANSIT","body_code":"AF","eu_category":"M1","vehicle_type":"PB"},"target":"normalized","rule_ids":["BDY-113"],"sequence":18,"transformer_id":"ts.bodywork","confidence_effect":0.1},{"after":["diesel"],"field":"energy_sources","before":{"fuel1":"2","fuel2":"0","fuel3":"0","model":"TRANSIT"},"target":"normalized","rule_ids":["FUEL-002"],"sequence":19,"transformer_id":"ts.fuel","confidence_effect":0.0}]</x:v>
      </x:c>
      <x:c r="X3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" s="38" t="str">
        <x:v>{"candidates":{"model_family":"TRANSIT"},"confidence":0.8,"normalized":{"market":["SE"],"power_kw":96,"manufacturer":"Ford","bodywork_form":"multi_purpose_vehicle","energy_sources":["diesel"],"displacement_cc":1995,"production_date":"2020-08","production_year":2020,"manufacturer_role":"vehicle_manufacturer","power_source_unit":"kw","registration_date":"2020-10-14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TRANSIT","target":"normalized","rule_ids":["MODEL-CANDIDATE-V1"],"sequence":6,"transformer_id":"ts.model-family","confidence_effect":0.0},{"after":"TRANSIT","field":"model_family","before":"TRANSIT","target":"candidate","rule_ids":["MODEL-CANDIDATE-V1"],"sequence":7,"transformer_id":"ts.model-family","confidence_effect":0.05},{"after":"2020-08","field":"production_date","before":{"build_month":"202008","vehicle_year":2020,"registration_date":"20201014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20201014"},"target":"normalized","rule_ids":["DATE-REGISTRATION-V1","DATE-PRODUCTION-MONTH-V1"],"sequence":9,"transformer_id":"ts.dates","confidence_effect":0.1},{"after":2020,"field":"production_year","before":{"build_month":"202008","vehicle_year":2020,"registration_date":"20201014"},"target":"normalized","rule_ids":["DATE-REGISTRATION-V1","DATE-PRODUCTION-MONTH-V1"],"sequence":10,"transformer_id":"ts.dates","confidence_effect":0.1},{"after":"2020-10-14","field":"registration_date","before":{"build_month":"202008","vehicle_year":2020,"registration_date":"20201014"},"target":"normalized","rule_ids":["DATE-REGISTRATION-V1","DATE-PRODUCTION-MONTH-V1"],"sequence":11,"transformer_id":"ts.dates","confidence_effect":0.1},{"after":1995,"field":"displacement_cc","before":{"kw":96,"ccm":1995},"target":"normalized","rule_ids":["UNIT-POWER-KW-V1","UNIT-DISPLACEMENT-CCM-V1"],"sequence":12,"transformer_id":"ts.engine-measurements","confidence_effect":0.1},{"after":"ccm","field":"displacement_source_unit","before":{"kw":96,"ccm":1995},"target":"normalized","rule_ids":["UNIT-POWER-KW-V1","UNIT-DISPLACEMENT-CCM-V1"],"sequence":13,"transformer_id":"ts.engine-measurements","confidence_effect":0.1},{"after":96,"field":"power_kw","before":{"kw":96,"ccm":1995},"target":"normalized","rule_ids":["UNIT-POWER-KW-V1","UNIT-DISPLACEMENT-CCM-V1"],"sequence":14,"transformer_id":"ts.engine-measurements","confidence_effect":0.1},{"after":"kw","field":"power_source_unit","before":{"kw":96,"ccm":1995},"target":"normalized","rule_ids":["UNIT-POWER-KW-V1","UNIT-DISPLACEMENT-CCM-V1"],"sequence":15,"transformer_id":"ts.engine-measurements","confidence_effect":0.1},{"after":"manual","field":"transmission_type","before":{"model":"TRANSIT","gearbox":"M"},"target":"normalized","rule_ids":["TRN-001"],"sequence":16,"transformer_id":"ts.transmission","confidence_effect":0.1},{"after":"multi_purpose_vehicle","field":"bodywork_form","before":{"model":"TRANSIT","body_code":"AF","eu_category":"M1","vehicle_type":"PB"},"target":"normalized","rule_ids":["BDY-113"],"sequence":17,"transformer_id":"ts.bodywork","confidence_effect":0.1},{"after":"Fordon avsett för flera ändamål","field":"bodywork_registry_label_sv","before":{"model":"TRANSIT","body_code":"AF","eu_category":"M1","vehicle_type":"PB"},"target":"normalized","rule_ids":["BDY-113"],"sequence":18,"transformer_id":"ts.bodywork","confidence_effect":0.1},{"after":["diesel"],"field":"energy_sources","before":{"fuel1":"2","fuel2":"0","fuel3":"0","model":"TRANSIT"},"target":"normalized","rule_ids":["FUEL-002"],"sequence":19,"transformer_id":"ts.fuel","confidence_effect":0.0}],"pipeline_version":"normalization-pipeline-v4","candidate_rule_ids":[]}</x:v>
      </x:c>
      <x:c r="Z37" s="36" t="n">
        <x:v>46239.78067015046</x:v>
      </x:c>
      <x:c r="AA37" s="36" t="n">
        <x:v>46239.78067015046</x:v>
      </x:c>
    </x:row>
    <x:row r="38" ht="18" customHeight="1">
      <x:c r="A38" s="36" t="n">
        <x:v>2640</x:v>
      </x:c>
      <x:c r="B38" s="36" t="str">
        <x:v>798a7af3-c793-5e66-937a-063efb531740</x:v>
      </x:c>
      <x:c r="C38" s="36" t="str">
        <x:v>Transportstyrelsen</x:v>
      </x:c>
      <x:c r="D38" s="36" t="str">
        <x:v>normalization-review-passenger-250-v1-rules-20260805T184409855703Z</x:v>
      </x:c>
      <x:c r="E38" s="36" t="str">
        <x:v>staging.transportstyrelsen_raw</x:v>
      </x:c>
      <x:c r="F38" s="36" t="n">
        <x:v>2758</x:v>
      </x:c>
      <x:c r="G38" s="36" t="str">
        <x:v>ts-mapping-v1</x:v>
      </x:c>
      <x:c r="H38" s="36" t="str">
        <x:v>ts-review-20260805T184254528647Z</x:v>
      </x:c>
      <x:c r="I38" s="36" t="str">
        <x:v>normalization-pipeline-v4</x:v>
      </x:c>
      <x:c r="J38" s="36" t="str">
        <x:v>resolved</x:v>
      </x:c>
      <x:c r="K38" s="39" t="n">
        <x:v>0.95</x:v>
      </x:c>
      <x:c r="L38" s="36" t="str">
        <x:v>Oldsmobile</x:v>
      </x:c>
      <x:c r="M38" s="36"/>
      <x:c r="N38" s="36" t="str">
        <x:v>covered_body</x:v>
      </x:c>
      <x:c r="O38" s="38" t="str">
        <x:v>["petrol"]</x:v>
      </x:c>
      <x:c r="P38" s="36" t="str">
        <x:v>automatic</x:v>
      </x:c>
      <x:c r="Q38" s="36" t="n">
        <x:v>1958</x:v>
      </x:c>
      <x:c r="R38" s="38" t="str">
        <x:v>["MFR-BRAND-LEGACY-EXACT","DATE-REGISTRATION-V1","DATE-PRODUCTION-YEAR-V1","UNIT-POWER-KW-V1","TRN-002","BDY-102","FUEL-001"]</x:v>
      </x:c>
      <x:c r="S38" s="38" t="str">
        <x:v>[]</x:v>
      </x:c>
      <x:c r="T38" s="38" t="str">
        <x:v>[]</x:v>
      </x:c>
      <x:c r="U38" s="38" t="str">
        <x:v>{"market":["SE"],"power_kw":225,"manufacturer":"Oldsmobile","bodywork_form":"covered_body","energy_sources":["petrol"],"production_year":1958,"manufacturer_role":"vehicle_manufacturer","power_source_unit":"kw","registration_date":"2009-06-18","transmission_type":"automatic","alias_types_present":["plate","vin"],"builder_converter_names":[],"production_date_precision":"model_year","bodywork_registry_label_sv":"Täckt"}</x:v>
      </x:c>
      <x:c r="V38" s="38" t="str">
        <x:v>{}</x:v>
      </x:c>
      <x:c r="W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LDSMOBILE SUPER 88","target":"normalized","rule_ids":["MFR-BRAND-LEGACY-EXACT"],"sequence":3,"transformer_id":"ts.manufacturer","confidence_effect":0.2},{"after":"Oldsmobile","field":"manufacturer","before":"OLDSMOBILE SUPER 88","target":"normalized","rule_ids":["MFR-BRAND-LEGACY-EXACT"],"sequence":4,"transformer_id":"ts.manufacturer","confidence_effect":0.2},{"after":"vehicle_manufacturer","field":"manufacturer_role","before":"OLDSMOBILE SUPER 88","target":"normalized","rule_ids":["MFR-BRAND-LEGACY-EXACT"],"sequence":5,"transformer_id":"ts.manufacturer","confidence_effect":0.2},{"after":"model_year","field":"production_date_precision","before":{"model_year":1958,"vehicle_year":1958,"registration_date":"20090618"},"target":"normalized","rule_ids":["DATE-REGISTRATION-V1","DATE-PRODUCTION-YEAR-V1"],"sequence":6,"transformer_id":"ts.dates","confidence_effect":0.1},{"after":1958,"field":"production_year","before":{"model_year":1958,"vehicle_year":1958,"registration_date":"20090618"},"target":"normalized","rule_ids":["DATE-REGISTRATION-V1","DATE-PRODUCTION-YEAR-V1"],"sequence":7,"transformer_id":"ts.dates","confidence_effect":0.1},{"after":"2009-06-18","field":"registration_date","before":{"model_year":1958,"vehicle_year":1958,"registration_date":"20090618"},"target":"normalized","rule_ids":["DATE-REGISTRATION-V1","DATE-PRODUCTION-YEAR-V1"],"sequence":8,"transformer_id":"ts.dates","confidence_effect":0.1},{"after":225,"field":"power_kw","before":225,"target":"normalized","rule_ids":["UNIT-POWER-KW-V1"],"sequence":9,"transformer_id":"ts.engine-measurements","confidence_effect":0.1},{"after":"kw","field":"power_source_unit","before":225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38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" s="38" t="str">
        <x:v>{"candidates":{},"confidence":0.95,"normalized":{"market":["SE"],"power_kw":225,"manufacturer":"Oldsmobile","bodywork_form":"covered_body","energy_sources":["petrol"],"production_year":1958,"manufacturer_role":"vehicle_manufacturer","power_source_unit":"kw","registration_date":"2009-06-18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LDSMOBILE SUPER 88","target":"normalized","rule_ids":["MFR-BRAND-LEGACY-EXACT"],"sequence":3,"transformer_id":"ts.manufacturer","confidence_effect":0.2},{"after":"Oldsmobile","field":"manufacturer","before":"OLDSMOBILE SUPER 88","target":"normalized","rule_ids":["MFR-BRAND-LEGACY-EXACT"],"sequence":4,"transformer_id":"ts.manufacturer","confidence_effect":0.2},{"after":"vehicle_manufacturer","field":"manufacturer_role","before":"OLDSMOBILE SUPER 88","target":"normalized","rule_ids":["MFR-BRAND-LEGACY-EXACT"],"sequence":5,"transformer_id":"ts.manufacturer","confidence_effect":0.2},{"after":"model_year","field":"production_date_precision","before":{"model_year":1958,"vehicle_year":1958,"registration_date":"20090618"},"target":"normalized","rule_ids":["DATE-REGISTRATION-V1","DATE-PRODUCTION-YEAR-V1"],"sequence":6,"transformer_id":"ts.dates","confidence_effect":0.1},{"after":1958,"field":"production_year","before":{"model_year":1958,"vehicle_year":1958,"registration_date":"20090618"},"target":"normalized","rule_ids":["DATE-REGISTRATION-V1","DATE-PRODUCTION-YEAR-V1"],"sequence":7,"transformer_id":"ts.dates","confidence_effect":0.1},{"after":"2009-06-18","field":"registration_date","before":{"model_year":1958,"vehicle_year":1958,"registration_date":"20090618"},"target":"normalized","rule_ids":["DATE-REGISTRATION-V1","DATE-PRODUCTION-YEAR-V1"],"sequence":8,"transformer_id":"ts.dates","confidence_effect":0.1},{"after":225,"field":"power_kw","before":225,"target":"normalized","rule_ids":["UNIT-POWER-KW-V1"],"sequence":9,"transformer_id":"ts.engine-measurements","confidence_effect":0.1},{"after":"kw","field":"power_source_unit","before":225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38" s="36" t="n">
        <x:v>46239.78067015046</x:v>
      </x:c>
      <x:c r="AA38" s="36" t="n">
        <x:v>46239.78067015046</x:v>
      </x:c>
    </x:row>
    <x:row r="39" ht="18" customHeight="1">
      <x:c r="A39" s="36" t="n">
        <x:v>2641</x:v>
      </x:c>
      <x:c r="B39" s="36" t="str">
        <x:v>c327cd9d-53b9-5088-8a96-18502fbecac7</x:v>
      </x:c>
      <x:c r="C39" s="36" t="str">
        <x:v>Transportstyrelsen</x:v>
      </x:c>
      <x:c r="D39" s="36" t="str">
        <x:v>normalization-review-passenger-250-v1-rules-20260805T184409855703Z</x:v>
      </x:c>
      <x:c r="E39" s="36" t="str">
        <x:v>staging.transportstyrelsen_raw</x:v>
      </x:c>
      <x:c r="F39" s="36" t="n">
        <x:v>2759</x:v>
      </x:c>
      <x:c r="G39" s="36" t="str">
        <x:v>ts-mapping-v1</x:v>
      </x:c>
      <x:c r="H39" s="36" t="str">
        <x:v>ts-review-20260805T184254528647Z</x:v>
      </x:c>
      <x:c r="I39" s="36" t="str">
        <x:v>normalization-pipeline-v4</x:v>
      </x:c>
      <x:c r="J39" s="36" t="str">
        <x:v>provisional</x:v>
      </x:c>
      <x:c r="K39" s="39" t="n">
        <x:v>0.8</x:v>
      </x:c>
      <x:c r="L39" s="36" t="str">
        <x:v>Mercedes-Benz</x:v>
      </x:c>
      <x:c r="M39" s="36" t="str">
        <x:v>CLA 180</x:v>
      </x:c>
      <x:c r="N39" s="36" t="str">
        <x:v>estate</x:v>
      </x:c>
      <x:c r="O39" s="38" t="str">
        <x:v>["petrol"]</x:v>
      </x:c>
      <x:c r="P39" s="36"/>
      <x:c r="Q39" s="36" t="n">
        <x:v>2019</x:v>
      </x:c>
      <x:c r="R39" s="38" t="str">
        <x:v>["MFR-102","DATE-REGISTRATION-V1","DATE-PRODUCTION-MONTH-V1","UNIT-POWER-KW-V1","UNIT-DISPLACEMENT-CCM-V1","BDY-110","FUEL-001"]</x:v>
      </x:c>
      <x:c r="S39" s="38" t="str">
        <x:v>[]</x:v>
      </x:c>
      <x:c r="T39" s="38" t="str">
        <x:v>[]</x:v>
      </x:c>
      <x:c r="U39" s="38" t="str">
        <x:v>{"market":["SE"],"power_kw":100,"manufacturer":"Mercedes-Benz","bodywork_form":"estate","energy_sources":["petrol"],"displacement_cc":1332,"production_date":"2019-08","production_year":2019,"manufacturer_role":"vehicle_manufacturer","power_source_unit":"kw","registration_date":"2020-04-28","alias_types_present":["plate","vin","model_name"],"model_family_candidate":true,"builder_converter_names":[],"displacement_source_unit":"ccm","production_date_precision":"month","bodywork_registry_label_sv":"Stationsvagn (kombivagn)"}</x:v>
      </x:c>
      <x:c r="V39" s="38" t="str">
        <x:v>{"model_family":"CLA 180"}</x:v>
      </x:c>
      <x:c r="W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STUTTGART"},"target":"normalized","rule_ids":["MFR-102"],"sequence":5,"transformer_id":"ts.manufacturer","confidence_effect":0.2},{"after":true,"field":"model_family_candidate","before":"CLA 180","target":"normalized","rule_ids":["MODEL-CANDIDATE-V1"],"sequence":6,"transformer_id":"ts.model-family","confidence_effect":0.0},{"after":"CLA 180","field":"model_family","before":"CLA 180","target":"candidate","rule_ids":["MODEL-CANDIDATE-V1"],"sequence":7,"transformer_id":"ts.model-family","confidence_effect":0.05},{"after":"2019-08","field":"production_date","before":{"build_month":"201908","vehicle_year":2019,"registration_date":"20200428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20200428"},"target":"normalized","rule_ids":["DATE-REGISTRATION-V1","DATE-PRODUCTION-MONTH-V1"],"sequence":9,"transformer_id":"ts.dates","confidence_effect":0.1},{"after":2019,"field":"production_year","before":{"build_month":"201908","vehicle_year":2019,"registration_date":"20200428"},"target":"normalized","rule_ids":["DATE-REGISTRATION-V1","DATE-PRODUCTION-MONTH-V1"],"sequence":10,"transformer_id":"ts.dates","confidence_effect":0.1},{"after":"2020-04-28","field":"registration_date","before":{"build_month":"201908","vehicle_year":2019,"registration_date":"20200428"},"target":"normalized","rule_ids":["DATE-REGISTRATION-V1","DATE-PRODUCTION-MONTH-V1"],"sequence":11,"transformer_id":"ts.dates","confidence_effect":0.1},{"after":1332,"field":"displacement_cc","before":{"kw":100,"ccm":1332},"target":"normalized","rule_ids":["UNIT-POWER-KW-V1","UNIT-DISPLACEMENT-CCM-V1"],"sequence":12,"transformer_id":"ts.engine-measurements","confidence_effect":0.1},{"after":"ccm","field":"displacement_source_unit","before":{"kw":100,"ccm":1332},"target":"normalized","rule_ids":["UNIT-POWER-KW-V1","UNIT-DISPLACEMENT-CCM-V1"],"sequence":13,"transformer_id":"ts.engine-measurements","confidence_effect":0.1},{"after":100,"field":"power_kw","before":{"kw":100,"ccm":1332},"target":"normalized","rule_ids":["UNIT-POWER-KW-V1","UNIT-DISPLACEMENT-CCM-V1"],"sequence":14,"transformer_id":"ts.engine-measurements","confidence_effect":0.1},{"after":"kw","field":"power_source_unit","before":{"kw":100,"ccm":1332},"target":"normalized","rule_ids":["UNIT-POWER-KW-V1","UNIT-DISPLACEMENT-CCM-V1"],"sequence":15,"transformer_id":"ts.engine-measurements","confidence_effect":0.1},{"after":"estate","field":"bodywork_form","before":{"model":"CLA 180","variant":"32H9T2","version":"FZAA150A","body_code":"AC","eu_category":"M1","vehicle_type":"PB"},"target":"normalized","rule_ids":["BDY-110"],"sequence":16,"transformer_id":"ts.bodywork","confidence_effect":0.1},{"after":"Stationsvagn (kombivagn)","field":"bodywork_registry_label_sv","before":{"model":"CLA 180","variant":"32H9T2","version":"FZAA150A","body_code":"AC","eu_category":"M1","vehicle_type":"PB"},"target":"normalized","rule_ids":["BDY-110"],"sequence":17,"transformer_id":"ts.bodywork","confidence_effect":0.1},{"after":["petrol"],"field":"energy_sources","before":{"fuel1":"1","fuel2":"0","fuel3":"0","model":"CLA 180","variant":"32H9T2","version":"FZAA150A"},"target":"normalized","rule_ids":["FUEL-001"],"sequence":18,"transformer_id":"ts.fuel","confidence_effect":0.0}]</x:v>
      </x:c>
      <x:c r="X39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" s="38" t="str">
        <x:v>{"candidates":{"model_family":"CLA 180"},"confidence":0.8,"normalized":{"market":["SE"],"power_kw":100,"manufacturer":"Mercedes-Benz","bodywork_form":"estate","energy_sources":["petrol"],"displacement_cc":1332,"production_date":"2019-08","production_year":2019,"manufacturer_role":"vehicle_manufacturer","power_source_unit":"kw","registration_date":"2020-04-28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STUTTGART"},"target":"normalized","rule_ids":["MFR-102"],"sequence":5,"transformer_id":"ts.manufacturer","confidence_effect":0.2},{"after":true,"field":"model_family_candidate","before":"CLA 180","target":"normalized","rule_ids":["MODEL-CANDIDATE-V1"],"sequence":6,"transformer_id":"ts.model-family","confidence_effect":0.0},{"after":"CLA 180","field":"model_family","before":"CLA 180","target":"candidate","rule_ids":["MODEL-CANDIDATE-V1"],"sequence":7,"transformer_id":"ts.model-family","confidence_effect":0.05},{"after":"2019-08","field":"production_date","before":{"build_month":"201908","vehicle_year":2019,"registration_date":"20200428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20200428"},"target":"normalized","rule_ids":["DATE-REGISTRATION-V1","DATE-PRODUCTION-MONTH-V1"],"sequence":9,"transformer_id":"ts.dates","confidence_effect":0.1},{"after":2019,"field":"production_year","before":{"build_month":"201908","vehicle_year":2019,"registration_date":"20200428"},"target":"normalized","rule_ids":["DATE-REGISTRATION-V1","DATE-PRODUCTION-MONTH-V1"],"sequence":10,"transformer_id":"ts.dates","confidence_effect":0.1},{"after":"2020-04-28","field":"registration_date","before":{"build_month":"201908","vehicle_year":2019,"registration_date":"20200428"},"target":"normalized","rule_ids":["DATE-REGISTRATION-V1","DATE-PRODUCTION-MONTH-V1"],"sequence":11,"transformer_id":"ts.dates","confidence_effect":0.1},{"after":1332,"field":"displacement_cc","before":{"kw":100,"ccm":1332},"target":"normalized","rule_ids":["UNIT-POWER-KW-V1","UNIT-DISPLACEMENT-CCM-V1"],"sequence":12,"transformer_id":"ts.engine-measurements","confidence_effect":0.1},{"after":"ccm","field":"displacement_source_unit","before":{"kw":100,"ccm":1332},"target":"normalized","rule_ids":["UNIT-POWER-KW-V1","UNIT-DISPLACEMENT-CCM-V1"],"sequence":13,"transformer_id":"ts.engine-measurements","confidence_effect":0.1},{"after":100,"field":"power_kw","before":{"kw":100,"ccm":1332},"target":"normalized","rule_ids":["UNIT-POWER-KW-V1","UNIT-DISPLACEMENT-CCM-V1"],"sequence":14,"transformer_id":"ts.engine-measurements","confidence_effect":0.1},{"after":"kw","field":"power_source_unit","before":{"kw":100,"ccm":1332},"target":"normalized","rule_ids":["UNIT-POWER-KW-V1","UNIT-DISPLACEMENT-CCM-V1"],"sequence":15,"transformer_id":"ts.engine-measurements","confidence_effect":0.1},{"after":"estate","field":"bodywork_form","before":{"model":"CLA 180","variant":"32H9T2","version":"FZAA150A","body_code":"AC","eu_category":"M1","vehicle_type":"PB"},"target":"normalized","rule_ids":["BDY-110"],"sequence":16,"transformer_id":"ts.bodywork","confidence_effect":0.1},{"after":"Stationsvagn (kombivagn)","field":"bodywork_registry_label_sv","before":{"model":"CLA 180","variant":"32H9T2","version":"FZAA150A","body_code":"AC","eu_category":"M1","vehicle_type":"PB"},"target":"normalized","rule_ids":["BDY-110"],"sequence":17,"transformer_id":"ts.bodywork","confidence_effect":0.1},{"after":["petrol"],"field":"energy_sources","before":{"fuel1":"1","fuel2":"0","fuel3":"0","model":"CLA 180","variant":"32H9T2","version":"FZAA150A"},"target":"normalized","rule_ids":["FUEL-001"],"sequence":18,"transformer_id":"ts.fuel","confidence_effect":0.0}],"pipeline_version":"normalization-pipeline-v4","candidate_rule_ids":[]}</x:v>
      </x:c>
      <x:c r="Z39" s="36" t="n">
        <x:v>46239.78067015046</x:v>
      </x:c>
      <x:c r="AA39" s="36" t="n">
        <x:v>46239.78067015046</x:v>
      </x:c>
    </x:row>
    <x:row r="40" ht="18" customHeight="1">
      <x:c r="A40" s="36" t="n">
        <x:v>2642</x:v>
      </x:c>
      <x:c r="B40" s="36" t="str">
        <x:v>7c4e8861-5642-59fd-af54-11c3282f68fd</x:v>
      </x:c>
      <x:c r="C40" s="36" t="str">
        <x:v>Transportstyrelsen</x:v>
      </x:c>
      <x:c r="D40" s="36" t="str">
        <x:v>normalization-review-passenger-250-v1-rules-20260805T184409855703Z</x:v>
      </x:c>
      <x:c r="E40" s="36" t="str">
        <x:v>staging.transportstyrelsen_raw</x:v>
      </x:c>
      <x:c r="F40" s="36" t="n">
        <x:v>2760</x:v>
      </x:c>
      <x:c r="G40" s="36" t="str">
        <x:v>ts-mapping-v1</x:v>
      </x:c>
      <x:c r="H40" s="36" t="str">
        <x:v>ts-review-20260805T184254528647Z</x:v>
      </x:c>
      <x:c r="I40" s="36" t="str">
        <x:v>normalization-pipeline-v4</x:v>
      </x:c>
      <x:c r="J40" s="36" t="str">
        <x:v>provisional</x:v>
      </x:c>
      <x:c r="K40" s="39" t="n">
        <x:v>0.8</x:v>
      </x:c>
      <x:c r="L40" s="36" t="str">
        <x:v>Toyota</x:v>
      </x:c>
      <x:c r="M40" s="36" t="str">
        <x:v>TOYOTA AURIS</x:v>
      </x:c>
      <x:c r="N40" s="36" t="str">
        <x:v>multi_purpose_vehicle</x:v>
      </x:c>
      <x:c r="O40" s="38" t="str">
        <x:v>["petrol"]</x:v>
      </x:c>
      <x:c r="P40" s="36" t="str">
        <x:v>manual</x:v>
      </x:c>
      <x:c r="Q40" s="36" t="n">
        <x:v>2014</x:v>
      </x:c>
      <x:c r="R40" s="38" t="str">
        <x:v>["MFR-BRAND-CONFIRMED","MFR-BRAND-MODEL","DATE-REGISTRATION-V1","DATE-PRODUCTION-MONTH-V1","UNIT-POWER-KW-V1","UNIT-DISPLACEMENT-CCM-V1","TRN-001","BDY-113","FUEL-001"]</x:v>
      </x:c>
      <x:c r="S40" s="38" t="str">
        <x:v>[]</x:v>
      </x:c>
      <x:c r="T40" s="38" t="str">
        <x:v>[]</x:v>
      </x:c>
      <x:c r="U40" s="38" t="str">
        <x:v>{"market":["SE"],"power_kw":97,"manufacturer":"Toyota","bodywork_form":"multi_purpose_vehicle","energy_sources":["petrol"],"displacement_cc":1598,"production_date":"2014-07","production_year":2014,"manufacturer_role":"vehicle_manufacturer","power_source_unit":"kw","registration_date":"2014-10-28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0" s="38" t="str">
        <x:v>{"model_family":"TOYOTA AURIS"}</x:v>
      </x:c>
      <x:c r="W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-07","field":"production_date","before":{"build_month":"201407","vehicle_year":2014,"registration_date":"20141028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20141028"},"target":"normalized","rule_ids":["DATE-REGISTRATION-V1","DATE-PRODUCTION-MONTH-V1"],"sequence":9,"transformer_id":"ts.dates","confidence_effect":0.1},{"after":2014,"field":"production_year","before":{"build_month":"201407","vehicle_year":2014,"registration_date":"20141028"},"target":"normalized","rule_ids":["DATE-REGISTRATION-V1","DATE-PRODUCTION-MONTH-V1"],"sequence":10,"transformer_id":"ts.dates","confidence_effect":0.1},{"after":"2014-10-28","field":"registration_date","before":{"build_month":"201407","vehicle_year":2014,"registration_date":"20141028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AURIS","gearbox":"M","variant":"ZRE185(HF)","version":"ZRE185L-DHFNPW(3S)"},"target":"normalized","rule_ids":["TRN-001"],"sequence":16,"transformer_id":"ts.transmission","confidence_effect":0.1},{"after":"multi_purpose_vehicle","field":"bodywork_form","before":{"model":"TOYOTA AURIS","variant":"ZRE185(HF)","version":"ZRE185L-DHFNPW(3S)","body_code":"AF","eu_category":"M1","vehicle_type":"PB"},"target":"normalized","rule_ids":["BDY-113"],"sequence":17,"transformer_id":"ts.bodywork","confidence_effect":0.1},{"after":"Fordon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AURIS","variant":"ZRE185(HF)","version":"ZRE185L-DHFNPW(3S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AURIS","variant":"ZRE185(HF)","version":"ZRE185L-DHFNPW(3S)"},"target":"normalized","rule_ids":["FUEL-001"],"sequence":19,"transformer_id":"ts.fuel","confidence_effect":0.0}]</x:v>
      </x:c>
      <x:c r="X4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" s="38" t="str">
        <x:v>{"candidates":{"model_family":"TOYOTA AURIS"},"confidence":0.8,"normalized":{"market":["SE"],"power_kw":97,"manufacturer":"Toyota","bodywork_form":"multi_purpose_vehicle","energy_sources":["petrol"],"displacement_cc":1598,"production_date":"2014-07","production_year":2014,"manufacturer_role":"vehicle_manufacturer","power_source_unit":"kw","registration_date":"2014-10-28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-07","field":"production_date","before":{"build_month":"201407","vehicle_year":2014,"registration_date":"20141028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20141028"},"target":"normalized","rule_ids":["DATE-REGISTRATION-V1","DATE-PRODUCTION-MONTH-V1"],"sequence":9,"transformer_id":"ts.dates","confidence_effect":0.1},{"after":2014,"field":"production_year","before":{"build_month":"201407","vehicle_year":2014,"registration_date":"20141028"},"target":"normalized","rule_ids":["DATE-REGISTRATION-V1","DATE-PRODUCTION-MONTH-V1"],"sequence":10,"transformer_id":"ts.dates","confidence_effect":0.1},{"after":"2014-10-28","field":"registration_date","before":{"build_month":"201407","vehicle_year":2014,"registration_date":"20141028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AURIS","gearbox":"M","variant":"ZRE185(HF)","version":"ZRE185L-DHFNPW(3S)"},"target":"normalized","rule_ids":["TRN-001"],"sequence":16,"transformer_id":"ts.transmission","confidence_effect":0.1},{"after":"multi_purpose_vehicle","field":"bodywork_form","before":{"model":"TOYOTA AURIS","variant":"ZRE185(HF)","version":"ZRE185L-DHFNPW(3S)","body_code":"AF","eu_category":"M1","vehicle_type":"PB"},"target":"normalized","rule_ids":["BDY-113"],"sequence":17,"transformer_id":"ts.bodywork","confidence_effect":0.1},{"after":"Fordon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AURIS","variant":"ZRE185(HF)","version":"ZRE185L-DHFNPW(3S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AURIS","variant":"ZRE185(HF)","version":"ZRE185L-DHFNPW(3S)"},"target":"normalized","rule_ids":["FUEL-001"],"sequence":19,"transformer_id":"ts.fuel","confidence_effect":0.0}],"pipeline_version":"normalization-pipeline-v4","candidate_rule_ids":[]}</x:v>
      </x:c>
      <x:c r="Z40" s="36" t="n">
        <x:v>46239.78067015046</x:v>
      </x:c>
      <x:c r="AA40" s="36" t="n">
        <x:v>46239.78067015046</x:v>
      </x:c>
    </x:row>
    <x:row r="41" ht="18" customHeight="1">
      <x:c r="A41" s="36" t="n">
        <x:v>2643</x:v>
      </x:c>
      <x:c r="B41" s="36" t="str">
        <x:v>bab80183-6d9a-55e1-8527-1fbb489b4a05</x:v>
      </x:c>
      <x:c r="C41" s="36" t="str">
        <x:v>Transportstyrelsen</x:v>
      </x:c>
      <x:c r="D41" s="36" t="str">
        <x:v>normalization-review-passenger-250-v1-rules-20260805T184409855703Z</x:v>
      </x:c>
      <x:c r="E41" s="36" t="str">
        <x:v>staging.transportstyrelsen_raw</x:v>
      </x:c>
      <x:c r="F41" s="36" t="n">
        <x:v>2761</x:v>
      </x:c>
      <x:c r="G41" s="36" t="str">
        <x:v>ts-mapping-v1</x:v>
      </x:c>
      <x:c r="H41" s="36" t="str">
        <x:v>ts-review-20260805T184254528647Z</x:v>
      </x:c>
      <x:c r="I41" s="36" t="str">
        <x:v>normalization-pipeline-v4</x:v>
      </x:c>
      <x:c r="J41" s="36" t="str">
        <x:v>provisional</x:v>
      </x:c>
      <x:c r="K41" s="39" t="n">
        <x:v>0.8</x:v>
      </x:c>
      <x:c r="L41" s="36" t="str">
        <x:v>Subaru</x:v>
      </x:c>
      <x:c r="M41" s="36" t="str">
        <x:v>FORESTER</x:v>
      </x:c>
      <x:c r="N41" s="36" t="str">
        <x:v>estate</x:v>
      </x:c>
      <x:c r="O41" s="38" t="str">
        <x:v>["petrol","electricity"]</x:v>
      </x:c>
      <x:c r="P41" s="36"/>
      <x:c r="Q41" s="36" t="n">
        <x:v>2020</x:v>
      </x:c>
      <x:c r="R41" s="38" t="str">
        <x:v>["MFR-102","DATE-REGISTRATION-V1","DATE-PRODUCTION-MONTH-V1","UNIT-POWER-KW-V1","UNIT-DISPLACEMENT-CCM-V1","BDY-110","FUEL-001","ELEC-002"]</x:v>
      </x:c>
      <x:c r="S41" s="38" t="str">
        <x:v>["DRV-008"]</x:v>
      </x:c>
      <x:c r="T41" s="38" t="str">
        <x:v>[]</x:v>
      </x:c>
      <x:c r="U41" s="38" t="str">
        <x:v>{"market":["SE"],"power_kw":110,"manufacturer":"Subaru","bodywork_form":"estate","energy_sources":["petrol","electricity"],"displacement_cc":1995,"production_date":"2020-02","production_year":2020,"manufacturer_role":"vehicle_manufacturer","power_source_unit":"kw","registration_date":"2020-11-03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41" s="38" t="str">
        <x:v>{"drive_type":"awd","model_family":"FORESTER"}</x:v>
      </x:c>
      <x:c r="W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FORESTER","target":"normalized","rule_ids":["MODEL-CANDIDATE-V1"],"sequence":6,"transformer_id":"ts.model-family","confidence_effect":0.0},{"after":"FORESTER","field":"model_family","before":"FORESTER","target":"candidate","rule_ids":["MODEL-CANDIDATE-V1"],"sequence":7,"transformer_id":"ts.model-family","confidence_effect":0.05},{"after":"2020-02","field":"production_date","before":{"build_month":"202002","vehicle_year":2020,"registration_date":"20201103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20201103"},"target":"normalized","rule_ids":["DATE-REGISTRATION-V1","DATE-PRODUCTION-MONTH-V1"],"sequence":9,"transformer_id":"ts.dates","confidence_effect":0.1},{"after":2020,"field":"production_year","before":{"build_month":"202002","vehicle_year":2020,"registration_date":"20201103"},"target":"normalized","rule_ids":["DATE-REGISTRATION-V1","DATE-PRODUCTION-MONTH-V1"],"sequence":10,"transformer_id":"ts.dates","confidence_effect":0.1},{"after":"2020-11-03","field":"registration_date","before":{"build_month":"202002","vehicle_year":2020,"registration_date":"20201103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estate","field":"bodywork_form","before":{"model":"FORESTER","variant":"SKE","version":"C1L","body_code":"AC","eu_category":"M1","vehicle_type":"PB"},"target":"normalized","rule_ids":["BDY-110"],"sequence":16,"transformer_id":"ts.bodywork","confidence_effect":0.1},{"after":"Stationsvagn (kombivagn)","field":"bodywork_registry_label_sv","before":{"model":"FORESTER","variant":"SKE","version":"C1L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1","fuel2":"0","fuel3":"0","model":"FORESTER","variant":"SKE","version":"C1L","ev_config":"ELHYBRID"},"target":"normalized","rule_ids":["FUEL-001","ELEC-002"],"sequence":19,"transformer_id":"ts.fuel","confidence_effect":0.0},{"after":["petrol","electricity"],"field":"energy_sources","before":{"fuel1":"1","fuel2":"0","fuel3":"0","model":"FORESTER","variant":"SKE","version":"C1L","ev_config":"ELHYBRID"},"target":"normalized","rule_ids":["FUEL-001","ELEC-002"],"sequence":20,"transformer_id":"ts.fuel","confidence_effect":0.0}]</x:v>
      </x:c>
      <x:c r="X41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1" s="38" t="str">
        <x:v>{"candidates":{"drive_type":"awd","model_family":"FORESTER"},"confidence":0.8,"normalized":{"market":["SE"],"power_kw":110,"manufacturer":"Subaru","bodywork_form":"estate","energy_sources":["petrol","electricity"],"displacement_cc":1995,"production_date":"2020-02","production_year":2020,"manufacturer_role":"vehicle_manufacturer","power_source_unit":"kw","registration_date":"2020-11-03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FORESTER","target":"normalized","rule_ids":["MODEL-CANDIDATE-V1"],"sequence":6,"transformer_id":"ts.model-family","confidence_effect":0.0},{"after":"FORESTER","field":"model_family","before":"FORESTER","target":"candidate","rule_ids":["MODEL-CANDIDATE-V1"],"sequence":7,"transformer_id":"ts.model-family","confidence_effect":0.05},{"after":"2020-02","field":"production_date","before":{"build_month":"202002","vehicle_year":2020,"registration_date":"20201103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20201103"},"target":"normalized","rule_ids":["DATE-REGISTRATION-V1","DATE-PRODUCTION-MONTH-V1"],"sequence":9,"transformer_id":"ts.dates","confidence_effect":0.1},{"after":2020,"field":"production_year","before":{"build_month":"202002","vehicle_year":2020,"registration_date":"20201103"},"target":"normalized","rule_ids":["DATE-REGISTRATION-V1","DATE-PRODUCTION-MONTH-V1"],"sequence":10,"transformer_id":"ts.dates","confidence_effect":0.1},{"after":"2020-11-03","field":"registration_date","before":{"build_month":"202002","vehicle_year":2020,"registration_date":"20201103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estate","field":"bodywork_form","before":{"model":"FORESTER","variant":"SKE","version":"C1L","body_code":"AC","eu_category":"M1","vehicle_type":"PB"},"target":"normalized","rule_ids":["BDY-110"],"sequence":16,"transformer_id":"ts.bodywork","confidence_effect":0.1},{"after":"Stationsvagn (kombivagn)","field":"bodywork_registry_label_sv","before":{"model":"FORESTER","variant":"SKE","version":"C1L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1","fuel2":"0","fuel3":"0","model":"FORESTER","variant":"SKE","version":"C1L","ev_config":"ELHYBRID"},"target":"normalized","rule_ids":["FUEL-001","ELEC-002"],"sequence":19,"transformer_id":"ts.fuel","confidence_effect":0.0},{"after":["petrol","electricity"],"field":"energy_sources","before":{"fuel1":"1","fuel2":"0","fuel3":"0","model":"FORESTER","variant":"SKE","version":"C1L","ev_config":"ELHYBRID"},"target":"normalized","rule_ids":["FUEL-001","ELEC-002"],"sequence":20,"transformer_id":"ts.fuel","confidence_effect":0.0}],"pipeline_version":"normalization-pipeline-v4","candidate_rule_ids":["DRV-008"]}</x:v>
      </x:c>
      <x:c r="Z41" s="36" t="n">
        <x:v>46239.78067015046</x:v>
      </x:c>
      <x:c r="AA41" s="36" t="n">
        <x:v>46239.78067015046</x:v>
      </x:c>
    </x:row>
    <x:row r="42" ht="18" customHeight="1">
      <x:c r="A42" s="36" t="n">
        <x:v>2644</x:v>
      </x:c>
      <x:c r="B42" s="36" t="str">
        <x:v>8b92f074-37d7-5b15-a050-04618e18472e</x:v>
      </x:c>
      <x:c r="C42" s="36" t="str">
        <x:v>Transportstyrelsen</x:v>
      </x:c>
      <x:c r="D42" s="36" t="str">
        <x:v>normalization-review-passenger-250-v1-rules-20260805T184409855703Z</x:v>
      </x:c>
      <x:c r="E42" s="36" t="str">
        <x:v>staging.transportstyrelsen_raw</x:v>
      </x:c>
      <x:c r="F42" s="36" t="n">
        <x:v>2762</x:v>
      </x:c>
      <x:c r="G42" s="36" t="str">
        <x:v>ts-mapping-v1</x:v>
      </x:c>
      <x:c r="H42" s="36" t="str">
        <x:v>ts-review-20260805T184254528647Z</x:v>
      </x:c>
      <x:c r="I42" s="36" t="str">
        <x:v>normalization-pipeline-v4</x:v>
      </x:c>
      <x:c r="J42" s="36" t="str">
        <x:v>provisional</x:v>
      </x:c>
      <x:c r="K42" s="39" t="n">
        <x:v>0.8</x:v>
      </x:c>
      <x:c r="L42" s="36" t="str">
        <x:v>Mercedes-Benz</x:v>
      </x:c>
      <x:c r="M42" s="36" t="str">
        <x:v>B 180</x:v>
      </x:c>
      <x:c r="N42" s="36" t="str">
        <x:v>estate</x:v>
      </x:c>
      <x:c r="O42" s="38" t="str">
        <x:v>["petrol"]</x:v>
      </x:c>
      <x:c r="P42" s="36"/>
      <x:c r="Q42" s="36" t="n">
        <x:v>2019</x:v>
      </x:c>
      <x:c r="R42" s="38" t="str">
        <x:v>["MFR-102","DATE-REGISTRATION-V1","DATE-PRODUCTION-MONTH-V1","UNIT-POWER-KW-V1","UNIT-DISPLACEMENT-CCM-V1","BDY-110","FUEL-001"]</x:v>
      </x:c>
      <x:c r="S42" s="38" t="str">
        <x:v>[]</x:v>
      </x:c>
      <x:c r="T42" s="38" t="str">
        <x:v>[]</x:v>
      </x:c>
      <x:c r="U42" s="38" t="str">
        <x:v>{"market":["SE"],"power_kw":100,"manufacturer":"Mercedes-Benz","bodywork_form":"estate","energy_sources":["petrol"],"displacement_cc":1332,"production_date":"2019-08","production_year":2019,"manufacturer_role":"vehicle_manufacturer","power_source_unit":"kw","registration_date":"2019-12-06","alias_types_present":["plate","vin","model_name"],"model_family_candidate":true,"builder_converter_names":[],"displacement_source_unit":"ccm","production_date_precision":"month","bodywork_registry_label_sv":"Stationsvagn (kombivagn)"}</x:v>
      </x:c>
      <x:c r="V42" s="38" t="str">
        <x:v>{"model_family":"B 180"}</x:v>
      </x:c>
      <x:c r="W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STUTTGART"},"target":"normalized","rule_ids":["MFR-102"],"sequence":5,"transformer_id":"ts.manufacturer","confidence_effect":0.2},{"after":true,"field":"model_family_candidate","before":"B 180","target":"normalized","rule_ids":["MODEL-CANDIDATE-V1"],"sequence":6,"transformer_id":"ts.model-family","confidence_effect":0.0},{"after":"B 180","field":"model_family","before":"B 180","target":"candidate","rule_ids":["MODEL-CANDIDATE-V1"],"sequence":7,"transformer_id":"ts.model-family","confidence_effect":0.05},{"after":"2019-08","field":"production_date","before":{"build_month":"201908","vehicle_year":2019,"registration_date":"20191206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20191206"},"target":"normalized","rule_ids":["DATE-REGISTRATION-V1","DATE-PRODUCTION-MONTH-V1"],"sequence":9,"transformer_id":"ts.dates","confidence_effect":0.1},{"after":2019,"field":"production_year","before":{"build_month":"201908","vehicle_year":2019,"registration_date":"20191206"},"target":"normalized","rule_ids":["DATE-REGISTRATION-V1","DATE-PRODUCTION-MONTH-V1"],"sequence":10,"transformer_id":"ts.dates","confidence_effect":0.1},{"after":"2019-12-06","field":"registration_date","before":{"build_month":"201908","vehicle_year":2019,"registration_date":"20191206"},"target":"normalized","rule_ids":["DATE-REGISTRATION-V1","DATE-PRODUCTION-MONTH-V1"],"sequence":11,"transformer_id":"ts.dates","confidence_effect":0.1},{"after":1332,"field":"displacement_cc","before":{"kw":100,"ccm":1332},"target":"normalized","rule_ids":["UNIT-POWER-KW-V1","UNIT-DISPLACEMENT-CCM-V1"],"sequence":12,"transformer_id":"ts.engine-measurements","confidence_effect":0.1},{"after":"ccm","field":"displacement_source_unit","before":{"kw":100,"ccm":1332},"target":"normalized","rule_ids":["UNIT-POWER-KW-V1","UNIT-DISPLACEMENT-CCM-V1"],"sequence":13,"transformer_id":"ts.engine-measurements","confidence_effect":0.1},{"after":100,"field":"power_kw","before":{"kw":100,"ccm":1332},"target":"normalized","rule_ids":["UNIT-POWER-KW-V1","UNIT-DISPLACEMENT-CCM-V1"],"sequence":14,"transformer_id":"ts.engine-measurements","confidence_effect":0.1},{"after":"kw","field":"power_source_unit","before":{"kw":100,"ccm":1332},"target":"normalized","rule_ids":["UNIT-POWER-KW-V1","UNIT-DISPLACEMENT-CCM-V1"],"sequence":15,"transformer_id":"ts.engine-measurements","confidence_effect":0.1},{"after":"estate","field":"bodywork_form","before":{"model":"B 180","variant":"O0H9T2","version":"FZAA150A","body_code":"AC","eu_category":"M1","vehicle_type":"PB"},"target":"normalized","rule_ids":["BDY-110"],"sequence":16,"transformer_id":"ts.bodywork","confidence_effect":0.1},{"after":"Stationsvagn (kombivagn)","field":"bodywork_registry_label_sv","before":{"model":"B 180","variant":"O0H9T2","version":"FZAA150A","body_code":"AC","eu_category":"M1","vehicle_type":"PB"},"target":"normalized","rule_ids":["BDY-110"],"sequence":17,"transformer_id":"ts.bodywork","confidence_effect":0.1},{"after":["petrol"],"field":"energy_sources","before":{"fuel1":"1","fuel2":"0","fuel3":"0","model":"B 180","variant":"O0H9T2","version":"FZAA150A"},"target":"normalized","rule_ids":["FUEL-001"],"sequence":18,"transformer_id":"ts.fuel","confidence_effect":0.0}]</x:v>
      </x:c>
      <x:c r="X42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" s="38" t="str">
        <x:v>{"candidates":{"model_family":"B 180"},"confidence":0.8,"normalized":{"market":["SE"],"power_kw":100,"manufacturer":"Mercedes-Benz","bodywork_form":"estate","energy_sources":["petrol"],"displacement_cc":1332,"production_date":"2019-08","production_year":2019,"manufacturer_role":"vehicle_manufacturer","power_source_unit":"kw","registration_date":"2019-12-06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STUTTGART"},"target":"normalized","rule_ids":["MFR-102"],"sequence":5,"transformer_id":"ts.manufacturer","confidence_effect":0.2},{"after":true,"field":"model_family_candidate","before":"B 180","target":"normalized","rule_ids":["MODEL-CANDIDATE-V1"],"sequence":6,"transformer_id":"ts.model-family","confidence_effect":0.0},{"after":"B 180","field":"model_family","before":"B 180","target":"candidate","rule_ids":["MODEL-CANDIDATE-V1"],"sequence":7,"transformer_id":"ts.model-family","confidence_effect":0.05},{"after":"2019-08","field":"production_date","before":{"build_month":"201908","vehicle_year":2019,"registration_date":"20191206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20191206"},"target":"normalized","rule_ids":["DATE-REGISTRATION-V1","DATE-PRODUCTION-MONTH-V1"],"sequence":9,"transformer_id":"ts.dates","confidence_effect":0.1},{"after":2019,"field":"production_year","before":{"build_month":"201908","vehicle_year":2019,"registration_date":"20191206"},"target":"normalized","rule_ids":["DATE-REGISTRATION-V1","DATE-PRODUCTION-MONTH-V1"],"sequence":10,"transformer_id":"ts.dates","confidence_effect":0.1},{"after":"2019-12-06","field":"registration_date","before":{"build_month":"201908","vehicle_year":2019,"registration_date":"20191206"},"target":"normalized","rule_ids":["DATE-REGISTRATION-V1","DATE-PRODUCTION-MONTH-V1"],"sequence":11,"transformer_id":"ts.dates","confidence_effect":0.1},{"after":1332,"field":"displacement_cc","before":{"kw":100,"ccm":1332},"target":"normalized","rule_ids":["UNIT-POWER-KW-V1","UNIT-DISPLACEMENT-CCM-V1"],"sequence":12,"transformer_id":"ts.engine-measurements","confidence_effect":0.1},{"after":"ccm","field":"displacement_source_unit","before":{"kw":100,"ccm":1332},"target":"normalized","rule_ids":["UNIT-POWER-KW-V1","UNIT-DISPLACEMENT-CCM-V1"],"sequence":13,"transformer_id":"ts.engine-measurements","confidence_effect":0.1},{"after":100,"field":"power_kw","before":{"kw":100,"ccm":1332},"target":"normalized","rule_ids":["UNIT-POWER-KW-V1","UNIT-DISPLACEMENT-CCM-V1"],"sequence":14,"transformer_id":"ts.engine-measurements","confidence_effect":0.1},{"after":"kw","field":"power_source_unit","before":{"kw":100,"ccm":1332},"target":"normalized","rule_ids":["UNIT-POWER-KW-V1","UNIT-DISPLACEMENT-CCM-V1"],"sequence":15,"transformer_id":"ts.engine-measurements","confidence_effect":0.1},{"after":"estate","field":"bodywork_form","before":{"model":"B 180","variant":"O0H9T2","version":"FZAA150A","body_code":"AC","eu_category":"M1","vehicle_type":"PB"},"target":"normalized","rule_ids":["BDY-110"],"sequence":16,"transformer_id":"ts.bodywork","confidence_effect":0.1},{"after":"Stationsvagn (kombivagn)","field":"bodywork_registry_label_sv","before":{"model":"B 180","variant":"O0H9T2","version":"FZAA150A","body_code":"AC","eu_category":"M1","vehicle_type":"PB"},"target":"normalized","rule_ids":["BDY-110"],"sequence":17,"transformer_id":"ts.bodywork","confidence_effect":0.1},{"after":["petrol"],"field":"energy_sources","before":{"fuel1":"1","fuel2":"0","fuel3":"0","model":"B 180","variant":"O0H9T2","version":"FZAA150A"},"target":"normalized","rule_ids":["FUEL-001"],"sequence":18,"transformer_id":"ts.fuel","confidence_effect":0.0}],"pipeline_version":"normalization-pipeline-v4","candidate_rule_ids":[]}</x:v>
      </x:c>
      <x:c r="Z42" s="36" t="n">
        <x:v>46239.78067015046</x:v>
      </x:c>
      <x:c r="AA42" s="36" t="n">
        <x:v>46239.78067015046</x:v>
      </x:c>
    </x:row>
    <x:row r="43" ht="18" customHeight="1">
      <x:c r="A43" s="36" t="n">
        <x:v>2645</x:v>
      </x:c>
      <x:c r="B43" s="36" t="str">
        <x:v>e25393da-8e55-5c40-b74a-4acb2f5aa386</x:v>
      </x:c>
      <x:c r="C43" s="36" t="str">
        <x:v>Transportstyrelsen</x:v>
      </x:c>
      <x:c r="D43" s="36" t="str">
        <x:v>normalization-review-passenger-250-v1-rules-20260805T184409855703Z</x:v>
      </x:c>
      <x:c r="E43" s="36" t="str">
        <x:v>staging.transportstyrelsen_raw</x:v>
      </x:c>
      <x:c r="F43" s="36" t="n">
        <x:v>2763</x:v>
      </x:c>
      <x:c r="G43" s="36" t="str">
        <x:v>ts-mapping-v1</x:v>
      </x:c>
      <x:c r="H43" s="36" t="str">
        <x:v>ts-review-20260805T184254528647Z</x:v>
      </x:c>
      <x:c r="I43" s="36" t="str">
        <x:v>normalization-pipeline-v4</x:v>
      </x:c>
      <x:c r="J43" s="36" t="str">
        <x:v>provisional</x:v>
      </x:c>
      <x:c r="K43" s="39" t="n">
        <x:v>0.8</x:v>
      </x:c>
      <x:c r="L43" s="36" t="str">
        <x:v>Renault</x:v>
      </x:c>
      <x:c r="M43" s="36"/>
      <x:c r="N43" s="36" t="str">
        <x:v>hatchback</x:v>
      </x:c>
      <x:c r="O43" s="38" t="str">
        <x:v>["petrol"]</x:v>
      </x:c>
      <x:c r="P43" s="36" t="str">
        <x:v>manual</x:v>
      </x:c>
      <x:c r="Q43" s="36" t="n">
        <x:v>2007</x:v>
      </x:c>
      <x:c r="R43" s="38" t="str">
        <x:v>["DATE-REGISTRATION-V1","DATE-PRODUCTION-MONTH-V1","UNIT-POWER-KW-V1","UNIT-DISPLACEMENT-CCM-V1","TRN-001","BDY-109","FUEL-001"]</x:v>
      </x:c>
      <x:c r="S43" s="38" t="str">
        <x:v>["MFR-BRAND-PREFIX-FALLBACK"]</x:v>
      </x:c>
      <x:c r="T43" s="38" t="str">
        <x:v>[]</x:v>
      </x:c>
      <x:c r="U43" s="38" t="str">
        <x:v>{"market":["SE"],"power_kw":55,"manufacturer":"Renault","bodywork_form":"hatchback","energy_sources":["petrol"],"displacement_cc":1149,"production_date":"2007-04","production_year":2007,"manufacturer_role":"vehicle_manufacturer","power_source_unit":"kw","registration_date":"2007-05-08","transmission_type":"manual","alias_types_present":["plate","vin"],"builder_converter_names":[],"displacement_source_unit":"ccm","production_date_precision":"month","bodywork_registry_label_sv":"Halvkombi"}</x:v>
      </x:c>
      <x:c r="V43" s="38" t="str">
        <x:v>{"manufacturer_confirmation":{"source_fields":["brand"],"canonical_name":"Renault"}}</x:v>
      </x:c>
      <x:c r="W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B CLIO","target":"normalized","rule_ids":["MFR-CLASSIFY-V1"],"sequence":3,"transformer_id":"ts.manufacturer","confidence_effect":0.2},{"after":"Renault","field":"manufacturer","before":"RENAULT B CLIO","target":"normalized","rule_ids":["MFR-CLASSIFY-V1"],"sequence":4,"transformer_id":"ts.manufacturer","confidence_effect":0.2},{"after":"vehicle_manufacturer","field":"manufacturer_role","before":"RENAULT B CLIO","target":"normalized","rule_ids":["MFR-CLASSIFY-V1"],"sequence":5,"transformer_id":"ts.manufacturer","confidence_effect":0.2},{"after":{"source_fields":["brand"],"canonical_name":"Renault"},"field":"manufacturer_confirmation","before":"RENAULT B CLIO","target":"candidate","rule_ids":["MFR-BRAND-PREFIX-FALLBACK"],"sequence":6,"transformer_id":"ts.manufacturer","confidence_effect":0.05},{"after":"2007-04","field":"production_date","before":{"build_month":"200704","vehicle_year":2007,"registration_date":"20070508"},"target":"normalized","rule_ids":["DATE-REGISTRATION-V1","DATE-PRODUCTION-MONTH-V1"],"sequence":7,"transformer_id":"ts.dates","confidence_effect":0.1},{"after":"month","field":"production_date_precision","before":{"build_month":"200704","vehicle_year":2007,"registration_date":"20070508"},"target":"normalized","rule_ids":["DATE-REGISTRATION-V1","DATE-PRODUCTION-MONTH-V1"],"sequence":8,"transformer_id":"ts.dates","confidence_effect":0.1},{"after":2007,"field":"production_year","before":{"build_month":"200704","vehicle_year":2007,"registration_date":"20070508"},"target":"normalized","rule_ids":["DATE-REGISTRATION-V1","DATE-PRODUCTION-MONTH-V1"],"sequence":9,"transformer_id":"ts.dates","confidence_effect":0.1},{"after":"2007-05-08","field":"registration_date","before":{"build_month":"200704","vehicle_year":2007,"registration_date":"20070508"},"target":"normalized","rule_ids":["DATE-REGISTRATION-V1","DATE-PRODUCTION-MONTH-V1"],"sequence":10,"transformer_id":"ts.dates","confidence_effect":0.1},{"after":1149,"field":"displacement_cc","before":{"kw":55,"ccm":1149},"target":"normalized","rule_ids":["UNIT-POWER-KW-V1","UNIT-DISPLACEMENT-CCM-V1"],"sequence":11,"transformer_id":"ts.engine-measurements","confidence_effect":0.1},{"after":"ccm","field":"displacement_source_unit","before":{"kw":55,"ccm":1149},"target":"normalized","rule_ids":["UNIT-POWER-KW-V1","UNIT-DISPLACEMENT-CCM-V1"],"sequence":12,"transformer_id":"ts.engine-measurements","confidence_effect":0.1},{"after":55,"field":"power_kw","before":{"kw":55,"ccm":1149},"target":"normalized","rule_ids":["UNIT-POWER-KW-V1","UNIT-DISPLACEMENT-CCM-V1"],"sequence":13,"transformer_id":"ts.engine-measurements","confidence_effect":0.1},{"after":"kw","field":"power_source_unit","before":{"kw":55,"ccm":1149},"target":"normalized","rule_ids":["UNIT-POWER-KW-V1","UNIT-DISPLACEMENT-CCM-V1"],"sequence":14,"transformer_id":"ts.engine-measurements","confidence_effect":0.1},{"after":"manual","field":"transmission_type","before":{"gearbox":"M","variant":"BBCU","version":"BBCU05"},"target":"normalized","rule_ids":["TRN-001"],"sequence":15,"transformer_id":"ts.transmission","confidence_effect":0.1},{"after":"hatchback","field":"bodywork_form","before":{"variant":"BBCU","version":"BBCU05","body_code":"AB","eu_category":"M1","vehicle_type":"PB"},"target":"normalized","rule_ids":["BDY-109"],"sequence":16,"transformer_id":"ts.bodywork","confidence_effect":0.1},{"after":"Halvkombi","field":"bodywork_registry_label_sv","before":{"variant":"BBCU","version":"BBCU05","body_code":"AB","eu_category":"M1","vehicle_type":"PB"},"target":"normalized","rule_ids":["BDY-109"],"sequence":17,"transformer_id":"ts.bodywork","confidence_effect":0.1},{"after":["petrol"],"field":"energy_sources","before":{"fuel1":"1","fuel2":"0","fuel3":"0","variant":"BBCU","version":"BBCU05"},"target":"normalized","rule_ids":["FUEL-001"],"sequence":18,"transformer_id":"ts.fuel","confidence_effect":0.0}]</x:v>
      </x:c>
      <x:c r="X4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" s="38" t="str">
        <x:v>{"candidates":{"manufacturer_confirmation":{"source_fields":["brand"],"canonical_name":"Renault"}},"confidence":0.8,"normalized":{"market":["SE"],"power_kw":55,"manufacturer":"Renault","bodywork_form":"hatchback","energy_sources":["petrol"],"displacement_cc":1149,"production_date":"2007-04","production_year":2007,"manufacturer_role":"vehicle_manufacturer","power_source_unit":"kw","registration_date":"2007-05-08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B CLIO","target":"normalized","rule_ids":["MFR-CLASSIFY-V1"],"sequence":3,"transformer_id":"ts.manufacturer","confidence_effect":0.2},{"after":"Renault","field":"manufacturer","before":"RENAULT B CLIO","target":"normalized","rule_ids":["MFR-CLASSIFY-V1"],"sequence":4,"transformer_id":"ts.manufacturer","confidence_effect":0.2},{"after":"vehicle_manufacturer","field":"manufacturer_role","before":"RENAULT B CLIO","target":"normalized","rule_ids":["MFR-CLASSIFY-V1"],"sequence":5,"transformer_id":"ts.manufacturer","confidence_effect":0.2},{"after":{"source_fields":["brand"],"canonical_name":"Renault"},"field":"manufacturer_confirmation","before":"RENAULT B CLIO","target":"candidate","rule_ids":["MFR-BRAND-PREFIX-FALLBACK"],"sequence":6,"transformer_id":"ts.manufacturer","confidence_effect":0.05},{"after":"2007-04","field":"production_date","before":{"build_month":"200704","vehicle_year":2007,"registration_date":"20070508"},"target":"normalized","rule_ids":["DATE-REGISTRATION-V1","DATE-PRODUCTION-MONTH-V1"],"sequence":7,"transformer_id":"ts.dates","confidence_effect":0.1},{"after":"month","field":"production_date_precision","before":{"build_month":"200704","vehicle_year":2007,"registration_date":"20070508"},"target":"normalized","rule_ids":["DATE-REGISTRATION-V1","DATE-PRODUCTION-MONTH-V1"],"sequence":8,"transformer_id":"ts.dates","confidence_effect":0.1},{"after":2007,"field":"production_year","before":{"build_month":"200704","vehicle_year":2007,"registration_date":"20070508"},"target":"normalized","rule_ids":["DATE-REGISTRATION-V1","DATE-PRODUCTION-MONTH-V1"],"sequence":9,"transformer_id":"ts.dates","confidence_effect":0.1},{"after":"2007-05-08","field":"registration_date","before":{"build_month":"200704","vehicle_year":2007,"registration_date":"20070508"},"target":"normalized","rule_ids":["DATE-REGISTRATION-V1","DATE-PRODUCTION-MONTH-V1"],"sequence":10,"transformer_id":"ts.dates","confidence_effect":0.1},{"after":1149,"field":"displacement_cc","before":{"kw":55,"ccm":1149},"target":"normalized","rule_ids":["UNIT-POWER-KW-V1","UNIT-DISPLACEMENT-CCM-V1"],"sequence":11,"transformer_id":"ts.engine-measurements","confidence_effect":0.1},{"after":"ccm","field":"displacement_source_unit","before":{"kw":55,"ccm":1149},"target":"normalized","rule_ids":["UNIT-POWER-KW-V1","UNIT-DISPLACEMENT-CCM-V1"],"sequence":12,"transformer_id":"ts.engine-measurements","confidence_effect":0.1},{"after":55,"field":"power_kw","before":{"kw":55,"ccm":1149},"target":"normalized","rule_ids":["UNIT-POWER-KW-V1","UNIT-DISPLACEMENT-CCM-V1"],"sequence":13,"transformer_id":"ts.engine-measurements","confidence_effect":0.1},{"after":"kw","field":"power_source_unit","before":{"kw":55,"ccm":1149},"target":"normalized","rule_ids":["UNIT-POWER-KW-V1","UNIT-DISPLACEMENT-CCM-V1"],"sequence":14,"transformer_id":"ts.engine-measurements","confidence_effect":0.1},{"after":"manual","field":"transmission_type","before":{"gearbox":"M","variant":"BBCU","version":"BBCU05"},"target":"normalized","rule_ids":["TRN-001"],"sequence":15,"transformer_id":"ts.transmission","confidence_effect":0.1},{"after":"hatchback","field":"bodywork_form","before":{"variant":"BBCU","version":"BBCU05","body_code":"AB","eu_category":"M1","vehicle_type":"PB"},"target":"normalized","rule_ids":["BDY-109"],"sequence":16,"transformer_id":"ts.bodywork","confidence_effect":0.1},{"after":"Halvkombi","field":"bodywork_registry_label_sv","before":{"variant":"BBCU","version":"BBCU05","body_code":"AB","eu_category":"M1","vehicle_type":"PB"},"target":"normalized","rule_ids":["BDY-109"],"sequence":17,"transformer_id":"ts.bodywork","confidence_effect":0.1},{"after":["petrol"],"field":"energy_sources","before":{"fuel1":"1","fuel2":"0","fuel3":"0","variant":"BBCU","version":"BBCU05"},"target":"normalized","rule_ids":["FUEL-001"],"sequence":18,"transformer_id":"ts.fuel","confidence_effect":0.0}],"pipeline_version":"normalization-pipeline-v4","candidate_rule_ids":["MFR-BRAND-PREFIX-FALLBACK"]}</x:v>
      </x:c>
      <x:c r="Z43" s="36" t="n">
        <x:v>46239.78067015046</x:v>
      </x:c>
      <x:c r="AA43" s="36" t="n">
        <x:v>46239.78067015046</x:v>
      </x:c>
    </x:row>
    <x:row r="44" ht="18" customHeight="1">
      <x:c r="A44" s="36" t="n">
        <x:v>2646</x:v>
      </x:c>
      <x:c r="B44" s="36" t="str">
        <x:v>d6c522b1-7612-5904-9fba-7e813fa949c2</x:v>
      </x:c>
      <x:c r="C44" s="36" t="str">
        <x:v>Transportstyrelsen</x:v>
      </x:c>
      <x:c r="D44" s="36" t="str">
        <x:v>normalization-review-passenger-250-v1-rules-20260805T184409855703Z</x:v>
      </x:c>
      <x:c r="E44" s="36" t="str">
        <x:v>staging.transportstyrelsen_raw</x:v>
      </x:c>
      <x:c r="F44" s="36" t="n">
        <x:v>2764</x:v>
      </x:c>
      <x:c r="G44" s="36" t="str">
        <x:v>ts-mapping-v1</x:v>
      </x:c>
      <x:c r="H44" s="36" t="str">
        <x:v>ts-review-20260805T184254528647Z</x:v>
      </x:c>
      <x:c r="I44" s="36" t="str">
        <x:v>normalization-pipeline-v4</x:v>
      </x:c>
      <x:c r="J44" s="36" t="str">
        <x:v>provisional</x:v>
      </x:c>
      <x:c r="K44" s="39" t="n">
        <x:v>0.8</x:v>
      </x:c>
      <x:c r="L44" s="36" t="str">
        <x:v>Hyundai</x:v>
      </x:c>
      <x:c r="M44" s="36" t="str">
        <x:v>TUCSON</x:v>
      </x:c>
      <x:c r="N44" s="36" t="str">
        <x:v>multi_purpose_vehicle</x:v>
      </x:c>
      <x:c r="O44" s="38" t="str">
        <x:v>["petrol"]</x:v>
      </x:c>
      <x:c r="P44" s="36" t="str">
        <x:v>automatic</x:v>
      </x:c>
      <x:c r="Q44" s="36" t="n">
        <x:v>2015</x:v>
      </x:c>
      <x:c r="R44" s="38" t="str">
        <x:v>["DATE-REGISTRATION-V1","DATE-PRODUCTION-MONTH-V1","UNIT-POWER-KW-V1","UNIT-DISPLACEMENT-CCM-V1","TRN-002","BDY-113","FUEL-001"]</x:v>
      </x:c>
      <x:c r="S44" s="38" t="str">
        <x:v>["MFR-BRAND-PREFIX-FALLBACK","DRV-008"]</x:v>
      </x:c>
      <x:c r="T44" s="38" t="str">
        <x:v>[]</x:v>
      </x:c>
      <x:c r="U44" s="38" t="str">
        <x:v>{"market":["SE"],"power_kw":130,"manufacturer":"Hyundai","bodywork_form":"multi_purpose_vehicle","energy_sources":["petrol"],"displacement_cc":1591,"production_date":"2015-12","production_year":2015,"manufacturer_role":"vehicle_manufacturer","power_source_unit":"kw","registration_date":"2016-01-26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4" s="38" t="str">
        <x:v>{"drive_type":"awd","model_family":"TUCSON","manufacturer_confirmation":{"source_fields":["brand"],"canonical_name":"Hyundai"}}</x:v>
      </x:c>
      <x:c r="W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2015-12","field":"production_date","before":{"build_month":"201512","vehicle_year":2015,"registration_date":"20160126"},"target":"normalized","rule_ids":["DATE-REGISTRATION-V1","DATE-PRODUCTION-MONTH-V1"],"sequence":9,"transformer_id":"ts.dates","confidence_effect":0.1},{"after":"month","field":"production_date_precision","before":{"build_month":"201512","vehicle_year":2015,"registration_date":"20160126"},"target":"normalized","rule_ids":["DATE-REGISTRATION-V1","DATE-PRODUCTION-MONTH-V1"],"sequence":10,"transformer_id":"ts.dates","confidence_effect":0.1},{"after":2015,"field":"production_year","before":{"build_month":"201512","vehicle_year":2015,"registration_date":"20160126"},"target":"normalized","rule_ids":["DATE-REGISTRATION-V1","DATE-PRODUCTION-MONTH-V1"],"sequence":11,"transformer_id":"ts.dates","confidence_effect":0.1},{"after":"2016-01-26","field":"registration_date","before":{"build_month":"201512","vehicle_year":2015,"registration_date":"20160126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TUCSON","gearbox":"A","variant":"F5P44","version":"D71ZZ1"},"target":"normalized","rule_ids":["TRN-002"],"sequence":17,"transformer_id":"ts.transmission","confidence_effect":0.1},{"after":"multi_purpose_vehicle","field":"bodywork_form","before":{"model":"TUCSON","variant":"F5P44","version":"D71Z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44","version":"D71Z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UCSON","variant":"F5P44","version":"D71ZZ1"},"target":"normalized","rule_ids":["FUEL-001"],"sequence":21,"transformer_id":"ts.fuel","confidence_effect":0.0}]</x:v>
      </x:c>
      <x:c r="X4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" s="38" t="str">
        <x:v>{"candidates":{"drive_type":"awd","model_family":"TUCSON","manufacturer_confirmation":{"source_fields":["brand"],"canonical_name":"Hyundai"}},"confidence":0.8,"normalized":{"market":["SE"],"power_kw":130,"manufacturer":"Hyundai","bodywork_form":"multi_purpose_vehicle","energy_sources":["petrol"],"displacement_cc":1591,"production_date":"2015-12","production_year":2015,"manufacturer_role":"vehicle_manufacturer","power_source_unit":"kw","registration_date":"2016-01-26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2015-12","field":"production_date","before":{"build_month":"201512","vehicle_year":2015,"registration_date":"20160126"},"target":"normalized","rule_ids":["DATE-REGISTRATION-V1","DATE-PRODUCTION-MONTH-V1"],"sequence":9,"transformer_id":"ts.dates","confidence_effect":0.1},{"after":"month","field":"production_date_precision","before":{"build_month":"201512","vehicle_year":2015,"registration_date":"20160126"},"target":"normalized","rule_ids":["DATE-REGISTRATION-V1","DATE-PRODUCTION-MONTH-V1"],"sequence":10,"transformer_id":"ts.dates","confidence_effect":0.1},{"after":2015,"field":"production_year","before":{"build_month":"201512","vehicle_year":2015,"registration_date":"20160126"},"target":"normalized","rule_ids":["DATE-REGISTRATION-V1","DATE-PRODUCTION-MONTH-V1"],"sequence":11,"transformer_id":"ts.dates","confidence_effect":0.1},{"after":"2016-01-26","field":"registration_date","before":{"build_month":"201512","vehicle_year":2015,"registration_date":"20160126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TUCSON","gearbox":"A","variant":"F5P44","version":"D71ZZ1"},"target":"normalized","rule_ids":["TRN-002"],"sequence":17,"transformer_id":"ts.transmission","confidence_effect":0.1},{"after":"multi_purpose_vehicle","field":"bodywork_form","before":{"model":"TUCSON","variant":"F5P44","version":"D71Z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44","version":"D71Z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UCSON","variant":"F5P44","version":"D71ZZ1"},"target":"normalized","rule_ids":["FUEL-001"],"sequence":21,"transformer_id":"ts.fuel","confidence_effect":0.0}],"pipeline_version":"normalization-pipeline-v4","candidate_rule_ids":["MFR-BRAND-PREFIX-FALLBACK","DRV-008"]}</x:v>
      </x:c>
      <x:c r="Z44" s="36" t="n">
        <x:v>46239.78067015046</x:v>
      </x:c>
      <x:c r="AA44" s="36" t="n">
        <x:v>46239.78067015046</x:v>
      </x:c>
    </x:row>
    <x:row r="45" ht="18" customHeight="1">
      <x:c r="A45" s="36" t="n">
        <x:v>2647</x:v>
      </x:c>
      <x:c r="B45" s="36" t="str">
        <x:v>da0e054d-dd40-5b19-88e9-adb117a4609b</x:v>
      </x:c>
      <x:c r="C45" s="36" t="str">
        <x:v>Transportstyrelsen</x:v>
      </x:c>
      <x:c r="D45" s="36" t="str">
        <x:v>normalization-review-passenger-250-v1-rules-20260805T184409855703Z</x:v>
      </x:c>
      <x:c r="E45" s="36" t="str">
        <x:v>staging.transportstyrelsen_raw</x:v>
      </x:c>
      <x:c r="F45" s="36" t="n">
        <x:v>2765</x:v>
      </x:c>
      <x:c r="G45" s="36" t="str">
        <x:v>ts-mapping-v1</x:v>
      </x:c>
      <x:c r="H45" s="36" t="str">
        <x:v>ts-review-20260805T184254528647Z</x:v>
      </x:c>
      <x:c r="I45" s="36" t="str">
        <x:v>normalization-pipeline-v4</x:v>
      </x:c>
      <x:c r="J45" s="36" t="str">
        <x:v>provisional</x:v>
      </x:c>
      <x:c r="K45" s="39" t="n">
        <x:v>0.8</x:v>
      </x:c>
      <x:c r="L45" s="36" t="str">
        <x:v>Volvo</x:v>
      </x:c>
      <x:c r="M45" s="36"/>
      <x:c r="N45" s="36" t="str">
        <x:v>covered_body</x:v>
      </x:c>
      <x:c r="O45" s="38" t="str">
        <x:v>["petrol"]</x:v>
      </x:c>
      <x:c r="P45" s="36" t="str">
        <x:v>manual</x:v>
      </x:c>
      <x:c r="Q45" s="36" t="n">
        <x:v>1960</x:v>
      </x:c>
      <x:c r="R45" s="38" t="str">
        <x:v>["DATE-REGISTRATION-V1","DATE-PRODUCTION-YEAR-V1","UNIT-POWER-KW-V1","TRN-001","BDY-102","FUEL-001"]</x:v>
      </x:c>
      <x:c r="S45" s="38" t="str">
        <x:v>["MFR-BRAND-PREFIX-FALLBACK"]</x:v>
      </x:c>
      <x:c r="T45" s="38" t="str">
        <x:v>[]</x:v>
      </x:c>
      <x:c r="U45" s="38" t="str">
        <x:v>{"market":["SE"],"power_kw":44,"manufacturer":"Volvo","bodywork_form":"covered_body","energy_sources":["petrol"],"production_year":1960,"manufacturer_role":"vehicle_manufacturer","power_source_unit":"kw","registration_date":"1960-01-01","transmission_type":"manual","alias_types_present":["plate","vin"],"builder_converter_names":[],"production_date_precision":"model_year","bodywork_registry_label_sv":"Täckt"}</x:v>
      </x:c>
      <x:c r="V45" s="38" t="str">
        <x:v>{"manufacturer_confirmation":{"source_fields":["brand"],"canonical_name":"Volvo"}}</x:v>
      </x:c>
      <x:c r="W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54404 A","target":"normalized","rule_ids":["MFR-CLASSIFY-V1"],"sequence":3,"transformer_id":"ts.manufacturer","confidence_effect":0.2},{"after":"Volvo","field":"manufacturer","before":"VOLVO P 54404 A","target":"normalized","rule_ids":["MFR-CLASSIFY-V1"],"sequence":4,"transformer_id":"ts.manufacturer","confidence_effect":0.2},{"after":"vehicle_manufacturer","field":"manufacturer_role","before":"VOLVO P 54404 A","target":"normalized","rule_ids":["MFR-CLASSIFY-V1"],"sequence":5,"transformer_id":"ts.manufacturer","confidence_effect":0.2},{"after":{"source_fields":["brand"],"canonical_name":"Volvo"},"field":"manufacturer_confirmation","before":"VOLVO P 54404 A","target":"candidate","rule_ids":["MFR-BRAND-PREFIX-FALLBACK"],"sequence":6,"transformer_id":"ts.manufacturer","confidence_effect":0.05},{"after":"model_year","field":"production_date_precision","before":{"model_year":1960,"vehicle_year":1960,"registration_date":"19600101"},"target":"normalized","rule_ids":["DATE-REGISTRATION-V1","DATE-PRODUCTION-YEAR-V1"],"sequence":7,"transformer_id":"ts.dates","confidence_effect":0.1},{"after":1960,"field":"production_year","before":{"model_year":1960,"vehicle_year":1960,"registration_date":"19600101"},"target":"normalized","rule_ids":["DATE-REGISTRATION-V1","DATE-PRODUCTION-YEAR-V1"],"sequence":8,"transformer_id":"ts.dates","confidence_effect":0.1},{"after":"1960-01-01","field":"registration_date","before":{"model_year":1960,"vehicle_year":1960,"registration_date":"19600101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1960,"manufacturer_role":"vehicle_manufacturer","power_source_unit":"kw","registration_date":"1960-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54404 A","target":"normalized","rule_ids":["MFR-CLASSIFY-V1"],"sequence":3,"transformer_id":"ts.manufacturer","confidence_effect":0.2},{"after":"Volvo","field":"manufacturer","before":"VOLVO P 54404 A","target":"normalized","rule_ids":["MFR-CLASSIFY-V1"],"sequence":4,"transformer_id":"ts.manufacturer","confidence_effect":0.2},{"after":"vehicle_manufacturer","field":"manufacturer_role","before":"VOLVO P 54404 A","target":"normalized","rule_ids":["MFR-CLASSIFY-V1"],"sequence":5,"transformer_id":"ts.manufacturer","confidence_effect":0.2},{"after":{"source_fields":["brand"],"canonical_name":"Volvo"},"field":"manufacturer_confirmation","before":"VOLVO P 54404 A","target":"candidate","rule_ids":["MFR-BRAND-PREFIX-FALLBACK"],"sequence":6,"transformer_id":"ts.manufacturer","confidence_effect":0.05},{"after":"model_year","field":"production_date_precision","before":{"model_year":1960,"vehicle_year":1960,"registration_date":"19600101"},"target":"normalized","rule_ids":["DATE-REGISTRATION-V1","DATE-PRODUCTION-YEAR-V1"],"sequence":7,"transformer_id":"ts.dates","confidence_effect":0.1},{"after":1960,"field":"production_year","before":{"model_year":1960,"vehicle_year":1960,"registration_date":"19600101"},"target":"normalized","rule_ids":["DATE-REGISTRATION-V1","DATE-PRODUCTION-YEAR-V1"],"sequence":8,"transformer_id":"ts.dates","confidence_effect":0.1},{"after":"1960-01-01","field":"registration_date","before":{"model_year":1960,"vehicle_year":1960,"registration_date":"19600101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5" s="36" t="n">
        <x:v>46239.78067015046</x:v>
      </x:c>
      <x:c r="AA45" s="36" t="n">
        <x:v>46239.78067015046</x:v>
      </x:c>
    </x:row>
    <x:row r="46" ht="18" customHeight="1">
      <x:c r="A46" s="36" t="n">
        <x:v>2648</x:v>
      </x:c>
      <x:c r="B46" s="36" t="str">
        <x:v>37f33898-abb4-574e-ada9-b4523bfaa675</x:v>
      </x:c>
      <x:c r="C46" s="36" t="str">
        <x:v>Transportstyrelsen</x:v>
      </x:c>
      <x:c r="D46" s="36" t="str">
        <x:v>normalization-review-passenger-250-v1-rules-20260805T184409855703Z</x:v>
      </x:c>
      <x:c r="E46" s="36" t="str">
        <x:v>staging.transportstyrelsen_raw</x:v>
      </x:c>
      <x:c r="F46" s="36" t="n">
        <x:v>2766</x:v>
      </x:c>
      <x:c r="G46" s="36" t="str">
        <x:v>ts-mapping-v1</x:v>
      </x:c>
      <x:c r="H46" s="36" t="str">
        <x:v>ts-review-20260805T184254528647Z</x:v>
      </x:c>
      <x:c r="I46" s="36" t="str">
        <x:v>normalization-pipeline-v4</x:v>
      </x:c>
      <x:c r="J46" s="36" t="str">
        <x:v>provisional</x:v>
      </x:c>
      <x:c r="K46" s="39" t="n">
        <x:v>0.8</x:v>
      </x:c>
      <x:c r="L46" s="36" t="str">
        <x:v>Volvo</x:v>
      </x:c>
      <x:c r="M46" s="36"/>
      <x:c r="N46" s="36" t="str">
        <x:v>covered_body</x:v>
      </x:c>
      <x:c r="O46" s="38" t="str">
        <x:v>["petrol"]</x:v>
      </x:c>
      <x:c r="P46" s="36" t="str">
        <x:v>manual</x:v>
      </x:c>
      <x:c r="Q46" s="36" t="n">
        <x:v>1997</x:v>
      </x:c>
      <x:c r="R46" s="38" t="str">
        <x:v>["DATE-REGISTRATION-V1","DATE-PRODUCTION-YEAR-V1","UNIT-POWER-KW-V1","TRN-001","BDY-102","FUEL-001"]</x:v>
      </x:c>
      <x:c r="S46" s="38" t="str">
        <x:v>["MFR-BRAND-PREFIX-FALLBACK"]</x:v>
      </x:c>
      <x:c r="T46" s="38" t="str">
        <x:v>[]</x:v>
      </x:c>
      <x:c r="U46" s="38" t="str">
        <x:v>{"market":["SE"],"power_kw":106,"manufacturer":"Volvo","bodywork_form":"covered_body","energy_sources":["petrol"],"production_year":1997,"manufacturer_role":"vehicle_manufacturer","power_source_unit":"kw","registration_date":"1997-07-30","transmission_type":"manual","alias_types_present":["plate","vin"],"builder_converter_names":[],"production_date_precision":"vehicle_year","bodywork_registry_label_sv":"Täckt"}</x:v>
      </x:c>
      <x:c r="V46" s="38" t="str">
        <x:v>{"manufacturer_confirmation":{"source_fields":["brand"],"canonical_name":"Volvo"}}</x:v>
      </x:c>
      <x:c r="W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 1998","target":"normalized","rule_ids":["MFR-CLASSIFY-V1"],"sequence":3,"transformer_id":"ts.manufacturer","confidence_effect":0.2},{"after":"Volvo","field":"manufacturer","before":"VOLVO L + S70 1998","target":"normalized","rule_ids":["MFR-CLASSIFY-V1"],"sequence":4,"transformer_id":"ts.manufacturer","confidence_effect":0.2},{"after":"vehicle_manufacturer","field":"manufacturer_role","before":"VOLVO L + S70 1998","target":"normalized","rule_ids":["MFR-CLASSIFY-V1"],"sequence":5,"transformer_id":"ts.manufacturer","confidence_effect":0.2},{"after":{"source_fields":["brand"],"canonical_name":"Volvo"},"field":"manufacturer_confirmation","before":"VOLVO L + S70 1998","target":"candidate","rule_ids":["MFR-BRAND-PREFIX-FALLBACK"],"sequence":6,"transformer_id":"ts.manufacturer","confidence_effect":0.05},{"after":"vehicle_year","field":"production_date_precision","before":{"vehicle_year":1997,"registration_date":"19970730"},"target":"normalized","rule_ids":["DATE-REGISTRATION-V1","DATE-PRODUCTION-YEAR-V1"],"sequence":7,"transformer_id":"ts.dates","confidence_effect":0.1},{"after":1997,"field":"production_year","before":{"vehicle_year":1997,"registration_date":"19970730"},"target":"normalized","rule_ids":["DATE-REGISTRATION-V1","DATE-PRODUCTION-YEAR-V1"],"sequence":8,"transformer_id":"ts.dates","confidence_effect":0.1},{"after":"1997-07-30","field":"registration_date","before":{"vehicle_year":1997,"registration_date":"19970730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{"gearbox":"M","variant":"LS51","version":"LS5102"},"target":"normalized","rule_ids":["TRN-001"],"sequence":12,"transformer_id":"ts.transmission","confidence_effect":0.1},{"after":"covered_body","field":"bodywork_form","before":{"variant":"LS51","version":"LS5102","body_code":"01","eu_category":"M1","vehicle_type":"PB"},"target":"normalized","rule_ids":["BDY-102"],"sequence":13,"transformer_id":"ts.bodywork","confidence_effect":0.1},{"after":"Täckt","field":"bodywork_registry_label_sv","before":{"variant":"LS51","version":"LS5102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51","version":"LS5102"},"target":"normalized","rule_ids":["FUEL-001"],"sequence":15,"transformer_id":"ts.fuel","confidence_effect":0.0}]</x:v>
      </x:c>
      <x:c r="X4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" s="38" t="str">
        <x:v>{"candidates":{"manufacturer_confirmation":{"source_fields":["brand"],"canonical_name":"Volvo"}},"confidence":0.8,"normalized":{"market":["SE"],"power_kw":106,"manufacturer":"Volvo","bodywork_form":"covered_body","energy_sources":["petrol"],"production_year":1997,"manufacturer_role":"vehicle_manufacturer","power_source_unit":"kw","registration_date":"1997-07-30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 1998","target":"normalized","rule_ids":["MFR-CLASSIFY-V1"],"sequence":3,"transformer_id":"ts.manufacturer","confidence_effect":0.2},{"after":"Volvo","field":"manufacturer","before":"VOLVO L + S70 1998","target":"normalized","rule_ids":["MFR-CLASSIFY-V1"],"sequence":4,"transformer_id":"ts.manufacturer","confidence_effect":0.2},{"after":"vehicle_manufacturer","field":"manufacturer_role","before":"VOLVO L + S70 1998","target":"normalized","rule_ids":["MFR-CLASSIFY-V1"],"sequence":5,"transformer_id":"ts.manufacturer","confidence_effect":0.2},{"after":{"source_fields":["brand"],"canonical_name":"Volvo"},"field":"manufacturer_confirmation","before":"VOLVO L + S70 1998","target":"candidate","rule_ids":["MFR-BRAND-PREFIX-FALLBACK"],"sequence":6,"transformer_id":"ts.manufacturer","confidence_effect":0.05},{"after":"vehicle_year","field":"production_date_precision","before":{"vehicle_year":1997,"registration_date":"19970730"},"target":"normalized","rule_ids":["DATE-REGISTRATION-V1","DATE-PRODUCTION-YEAR-V1"],"sequence":7,"transformer_id":"ts.dates","confidence_effect":0.1},{"after":1997,"field":"production_year","before":{"vehicle_year":1997,"registration_date":"19970730"},"target":"normalized","rule_ids":["DATE-REGISTRATION-V1","DATE-PRODUCTION-YEAR-V1"],"sequence":8,"transformer_id":"ts.dates","confidence_effect":0.1},{"after":"1997-07-30","field":"registration_date","before":{"vehicle_year":1997,"registration_date":"19970730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{"gearbox":"M","variant":"LS51","version":"LS5102"},"target":"normalized","rule_ids":["TRN-001"],"sequence":12,"transformer_id":"ts.transmission","confidence_effect":0.1},{"after":"covered_body","field":"bodywork_form","before":{"variant":"LS51","version":"LS5102","body_code":"01","eu_category":"M1","vehicle_type":"PB"},"target":"normalized","rule_ids":["BDY-102"],"sequence":13,"transformer_id":"ts.bodywork","confidence_effect":0.1},{"after":"Täckt","field":"bodywork_registry_label_sv","before":{"variant":"LS51","version":"LS5102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51","version":"LS5102"},"target":"normalized","rule_ids":["FUEL-001"],"sequence":15,"transformer_id":"ts.fuel","confidence_effect":0.0}],"pipeline_version":"normalization-pipeline-v4","candidate_rule_ids":["MFR-BRAND-PREFIX-FALLBACK"]}</x:v>
      </x:c>
      <x:c r="Z46" s="36" t="n">
        <x:v>46239.78067015046</x:v>
      </x:c>
      <x:c r="AA46" s="36" t="n">
        <x:v>46239.78067015046</x:v>
      </x:c>
    </x:row>
    <x:row r="47" ht="18" customHeight="1">
      <x:c r="A47" s="36" t="n">
        <x:v>2649</x:v>
      </x:c>
      <x:c r="B47" s="36" t="str">
        <x:v>77bd65f3-d0bb-58ca-ac8b-15dad56a416c</x:v>
      </x:c>
      <x:c r="C47" s="36" t="str">
        <x:v>Transportstyrelsen</x:v>
      </x:c>
      <x:c r="D47" s="36" t="str">
        <x:v>normalization-review-passenger-250-v1-rules-20260805T184409855703Z</x:v>
      </x:c>
      <x:c r="E47" s="36" t="str">
        <x:v>staging.transportstyrelsen_raw</x:v>
      </x:c>
      <x:c r="F47" s="36" t="n">
        <x:v>2767</x:v>
      </x:c>
      <x:c r="G47" s="36" t="str">
        <x:v>ts-mapping-v1</x:v>
      </x:c>
      <x:c r="H47" s="36" t="str">
        <x:v>ts-review-20260805T184254528647Z</x:v>
      </x:c>
      <x:c r="I47" s="36" t="str">
        <x:v>normalization-pipeline-v4</x:v>
      </x:c>
      <x:c r="J47" s="36" t="str">
        <x:v>provisional</x:v>
      </x:c>
      <x:c r="K47" s="39" t="n">
        <x:v>0.8</x:v>
      </x:c>
      <x:c r="L47" s="36" t="str">
        <x:v>Porsche</x:v>
      </x:c>
      <x:c r="M47" s="36" t="str">
        <x:v>718 BOXSTER</x:v>
      </x:c>
      <x:c r="N47" s="36" t="str">
        <x:v>convertible</x:v>
      </x:c>
      <x:c r="O47" s="38" t="str">
        <x:v>["petrol"]</x:v>
      </x:c>
      <x:c r="P47" s="36"/>
      <x:c r="Q47" s="36" t="n">
        <x:v>2019</x:v>
      </x:c>
      <x:c r="R47" s="38" t="str">
        <x:v>["MFR-102","DATE-REGISTRATION-V1","DATE-PRODUCTION-MONTH-V1","UNIT-POWER-KW-V1","UNIT-DISPLACEMENT-CCM-V1","BDY-111","FUEL-001"]</x:v>
      </x:c>
      <x:c r="S47" s="38" t="str">
        <x:v>[]</x:v>
      </x:c>
      <x:c r="T47" s="38" t="str">
        <x:v>[]</x:v>
      </x:c>
      <x:c r="U47" s="38" t="str">
        <x:v>{"market":["SE"],"power_kw":220,"manufacturer":"Porsche","bodywork_form":"convertible","energy_sources":["petrol"],"displacement_cc":1988,"production_date":"2019-10","production_year":2019,"manufacturer_role":"vehicle_manufacturer","power_source_unit":"kw","registration_date":"2020-08-26","alias_types_present":["plate","vin","model_name"],"model_family_candidate":true,"builder_converter_names":[],"displacement_source_unit":"ccm","production_date_precision":"month","bodywork_registry_label_sv":"Cabriolet"}</x:v>
      </x:c>
      <x:c r="V47" s="38" t="str">
        <x:v>{"model_family":"718 BOXSTER"}</x:v>
      </x:c>
      <x:c r="W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F.PORSCHE AG,PORSCHEPLATZ 1,70435 STUTTGART"},"target":"normalized","rule_ids":["MFR-102"],"sequence":3,"transformer_id":"ts.manufacturer","confidence_effect":0.2},{"after":"Porsche","field":"manufacturer","before":{"brand":"PORSCHE","manufacturer":"DR.ING.H.C.F.PORSCHE AG,PORSCHEPLATZ 1,70435 STUTTGART"},"target":"normalized","rule_ids":["MFR-102"],"sequence":4,"transformer_id":"ts.manufacturer","confidence_effect":0.2},{"after":"vehicle_manufacturer","field":"manufacturer_role","before":{"brand":"PORSCHE","manufacturer":"DR.ING.H.C.F.PORSCHE AG,PORSCHEPLATZ 1,70435 STUTTGART"},"target":"normalized","rule_ids":["MFR-102"],"sequence":5,"transformer_id":"ts.manufacturer","confidence_effect":0.2},{"after":true,"field":"model_family_candidate","before":"718 BOXSTER","target":"normalized","rule_ids":["MODEL-CANDIDATE-V1"],"sequence":6,"transformer_id":"ts.model-family","confidence_effect":0.0},{"after":"718 BOXSTER","field":"model_family","before":"718 BOXSTER","target":"candidate","rule_ids":["MODEL-CANDIDATE-V1"],"sequence":7,"transformer_id":"ts.model-family","confidence_effect":0.05},{"after":"2019-10","field":"production_date","before":{"build_month":"201910","vehicle_year":2019,"registration_date":"20200826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20200826"},"target":"normalized","rule_ids":["DATE-REGISTRATION-V1","DATE-PRODUCTION-MONTH-V1"],"sequence":9,"transformer_id":"ts.dates","confidence_effect":0.1},{"after":2019,"field":"production_year","before":{"build_month":"201910","vehicle_year":2019,"registration_date":"20200826"},"target":"normalized","rule_ids":["DATE-REGISTRATION-V1","DATE-PRODUCTION-MONTH-V1"],"sequence":10,"transformer_id":"ts.dates","confidence_effect":0.1},{"after":"2020-08-26","field":"registration_date","before":{"build_month":"201910","vehicle_year":2019,"registration_date":"20200826"},"target":"normalized","rule_ids":["DATE-REGISTRATION-V1","DATE-PRODUCTION-MONTH-V1"],"sequence":11,"transformer_id":"ts.dates","confidence_effect":0.1},{"after":1988,"field":"displacement_cc","before":{"kw":220,"ccm":1988},"target":"normalized","rule_ids":["UNIT-POWER-KW-V1","UNIT-DISPLACEMENT-CCM-V1"],"sequence":12,"transformer_id":"ts.engine-measurements","confidence_effect":0.1},{"after":"ccm","field":"displacement_source_unit","before":{"kw":220,"ccm":1988},"target":"normalized","rule_ids":["UNIT-POWER-KW-V1","UNIT-DISPLACEMENT-CCM-V1"],"sequence":13,"transformer_id":"ts.engine-measurements","confidence_effect":0.1},{"after":220,"field":"power_kw","before":{"kw":220,"ccm":1988},"target":"normalized","rule_ids":["UNIT-POWER-KW-V1","UNIT-DISPLACEMENT-CCM-V1"],"sequence":14,"transformer_id":"ts.engine-measurements","confidence_effect":0.1},{"after":"kw","field":"power_source_unit","before":{"kw":220,"ccm":1988},"target":"normalized","rule_ids":["UNIT-POWER-KW-V1","UNIT-DISPLACEMENT-CCM-V1"],"sequence":15,"transformer_id":"ts.engine-measurements","confidence_effect":0.1},{"after":"convertible","field":"bodywork_form","before":{"model":"718 BOXSTER","variant":"KA12","version":"42","body_code":"AE","eu_category":"M1","vehicle_type":"PB"},"target":"normalized","rule_ids":["BDY-111"],"sequence":16,"transformer_id":"ts.bodywork","confidence_effect":0.1},{"after":"Cabriolet","field":"bodywork_registry_label_sv","before":{"model":"718 BOXSTER","variant":"KA12","version":"42","body_code":"AE","eu_category":"M1","vehicle_type":"PB"},"target":"normalized","rule_ids":["BDY-111"],"sequence":17,"transformer_id":"ts.bodywork","confidence_effect":0.1},{"after":["petrol"],"field":"energy_sources","before":{"fuel1":"1","fuel2":"0","fuel3":"0","model":"718 BOXSTER","variant":"KA12","version":"42"},"target":"normalized","rule_ids":["FUEL-001"],"sequence":18,"transformer_id":"ts.fuel","confidence_effect":0.0}]</x:v>
      </x:c>
      <x:c r="X47" s="38" t="str">
        <x:v>[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" s="38" t="str">
        <x:v>{"candidates":{"model_family":"718 BOXSTER"},"confidence":0.8,"normalized":{"market":["SE"],"power_kw":220,"manufacturer":"Porsche","bodywork_form":"convertible","energy_sources":["petrol"],"displacement_cc":1988,"production_date":"2019-10","production_year":2019,"manufacturer_role":"vehicle_manufacturer","power_source_unit":"kw","registration_date":"2020-08-26","alias_types_present":["plate","vin","model_name"],"model_family_candidate":true,"builder_converter_names":[],"displacement_source_unit":"ccm","production_date_precision":"month","bodywork_registry_label_sv":"Cabriolet"},"rule_matches":[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F.PORSCHE AG,PORSCHEPLATZ 1,70435 STUTTGART"},"target":"normalized","rule_ids":["MFR-102"],"sequence":3,"transformer_id":"ts.manufacturer","confidence_effect":0.2},{"after":"Porsche","field":"manufacturer","before":{"brand":"PORSCHE","manufacturer":"DR.ING.H.C.F.PORSCHE AG,PORSCHEPLATZ 1,70435 STUTTGART"},"target":"normalized","rule_ids":["MFR-102"],"sequence":4,"transformer_id":"ts.manufacturer","confidence_effect":0.2},{"after":"vehicle_manufacturer","field":"manufacturer_role","before":{"brand":"PORSCHE","manufacturer":"DR.ING.H.C.F.PORSCHE AG,PORSCHEPLATZ 1,70435 STUTTGART"},"target":"normalized","rule_ids":["MFR-102"],"sequence":5,"transformer_id":"ts.manufacturer","confidence_effect":0.2},{"after":true,"field":"model_family_candidate","before":"718 BOXSTER","target":"normalized","rule_ids":["MODEL-CANDIDATE-V1"],"sequence":6,"transformer_id":"ts.model-family","confidence_effect":0.0},{"after":"718 BOXSTER","field":"model_family","before":"718 BOXSTER","target":"candidate","rule_ids":["MODEL-CANDIDATE-V1"],"sequence":7,"transformer_id":"ts.model-family","confidence_effect":0.05},{"after":"2019-10","field":"production_date","before":{"build_month":"201910","vehicle_year":2019,"registration_date":"20200826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20200826"},"target":"normalized","rule_ids":["DATE-REGISTRATION-V1","DATE-PRODUCTION-MONTH-V1"],"sequence":9,"transformer_id":"ts.dates","confidence_effect":0.1},{"after":2019,"field":"production_year","before":{"build_month":"201910","vehicle_year":2019,"registration_date":"20200826"},"target":"normalized","rule_ids":["DATE-REGISTRATION-V1","DATE-PRODUCTION-MONTH-V1"],"sequence":10,"transformer_id":"ts.dates","confidence_effect":0.1},{"after":"2020-08-26","field":"registration_date","before":{"build_month":"201910","vehicle_year":2019,"registration_date":"20200826"},"target":"normalized","rule_ids":["DATE-REGISTRATION-V1","DATE-PRODUCTION-MONTH-V1"],"sequence":11,"transformer_id":"ts.dates","confidence_effect":0.1},{"after":1988,"field":"displacement_cc","before":{"kw":220,"ccm":1988},"target":"normalized","rule_ids":["UNIT-POWER-KW-V1","UNIT-DISPLACEMENT-CCM-V1"],"sequence":12,"transformer_id":"ts.engine-measurements","confidence_effect":0.1},{"after":"ccm","field":"displacement_source_unit","before":{"kw":220,"ccm":1988},"target":"normalized","rule_ids":["UNIT-POWER-KW-V1","UNIT-DISPLACEMENT-CCM-V1"],"sequence":13,"transformer_id":"ts.engine-measurements","confidence_effect":0.1},{"after":220,"field":"power_kw","before":{"kw":220,"ccm":1988},"target":"normalized","rule_ids":["UNIT-POWER-KW-V1","UNIT-DISPLACEMENT-CCM-V1"],"sequence":14,"transformer_id":"ts.engine-measurements","confidence_effect":0.1},{"after":"kw","field":"power_source_unit","before":{"kw":220,"ccm":1988},"target":"normalized","rule_ids":["UNIT-POWER-KW-V1","UNIT-DISPLACEMENT-CCM-V1"],"sequence":15,"transformer_id":"ts.engine-measurements","confidence_effect":0.1},{"after":"convertible","field":"bodywork_form","before":{"model":"718 BOXSTER","variant":"KA12","version":"42","body_code":"AE","eu_category":"M1","vehicle_type":"PB"},"target":"normalized","rule_ids":["BDY-111"],"sequence":16,"transformer_id":"ts.bodywork","confidence_effect":0.1},{"after":"Cabriolet","field":"bodywork_registry_label_sv","before":{"model":"718 BOXSTER","variant":"KA12","version":"42","body_code":"AE","eu_category":"M1","vehicle_type":"PB"},"target":"normalized","rule_ids":["BDY-111"],"sequence":17,"transformer_id":"ts.bodywork","confidence_effect":0.1},{"after":["petrol"],"field":"energy_sources","before":{"fuel1":"1","fuel2":"0","fuel3":"0","model":"718 BOXSTER","variant":"KA12","version":"42"},"target":"normalized","rule_ids":["FUEL-001"],"sequence":18,"transformer_id":"ts.fuel","confidence_effect":0.0}],"pipeline_version":"normalization-pipeline-v4","candidate_rule_ids":[]}</x:v>
      </x:c>
      <x:c r="Z47" s="36" t="n">
        <x:v>46239.78067015046</x:v>
      </x:c>
      <x:c r="AA47" s="36" t="n">
        <x:v>46239.78067015046</x:v>
      </x:c>
    </x:row>
    <x:row r="48" ht="18" customHeight="1">
      <x:c r="A48" s="36" t="n">
        <x:v>2650</x:v>
      </x:c>
      <x:c r="B48" s="36" t="str">
        <x:v>15ba5129-a457-51be-8d02-54b2fabb1cdb</x:v>
      </x:c>
      <x:c r="C48" s="36" t="str">
        <x:v>Transportstyrelsen</x:v>
      </x:c>
      <x:c r="D48" s="36" t="str">
        <x:v>normalization-review-passenger-250-v1-rules-20260805T184409855703Z</x:v>
      </x:c>
      <x:c r="E48" s="36" t="str">
        <x:v>staging.transportstyrelsen_raw</x:v>
      </x:c>
      <x:c r="F48" s="36" t="n">
        <x:v>2768</x:v>
      </x:c>
      <x:c r="G48" s="36" t="str">
        <x:v>ts-mapping-v1</x:v>
      </x:c>
      <x:c r="H48" s="36" t="str">
        <x:v>ts-review-20260805T184254528647Z</x:v>
      </x:c>
      <x:c r="I48" s="36" t="str">
        <x:v>normalization-pipeline-v4</x:v>
      </x:c>
      <x:c r="J48" s="36" t="str">
        <x:v>provisional</x:v>
      </x:c>
      <x:c r="K48" s="39" t="n">
        <x:v>0.8</x:v>
      </x:c>
      <x:c r="L48" s="36" t="str">
        <x:v>Volkswagen</x:v>
      </x:c>
      <x:c r="M48" s="36" t="str">
        <x:v>TIGUAN</x:v>
      </x:c>
      <x:c r="N48" s="36" t="str">
        <x:v>estate</x:v>
      </x:c>
      <x:c r="O48" s="38" t="str">
        <x:v>["petrol"]</x:v>
      </x:c>
      <x:c r="P48" s="36" t="str">
        <x:v>automatic</x:v>
      </x:c>
      <x:c r="Q48" s="36" t="n">
        <x:v>2018</x:v>
      </x:c>
      <x:c r="R48" s="38" t="str">
        <x:v>["MFR-BRAND-CONFIRMED","MFR-BRAND-MODEL","MFR-BRAND-VIN-WMI","DATE-REGISTRATION-V1","DATE-PRODUCTION-MONTH-V1","UNIT-POWER-KW-V1","UNIT-DISPLACEMENT-CCM-V1","TRN-002","BDY-110","FUEL-001"]</x:v>
      </x:c>
      <x:c r="S48" s="38" t="str">
        <x:v>["DRV-008"]</x:v>
      </x:c>
      <x:c r="T48" s="38" t="str">
        <x:v>[]</x:v>
      </x:c>
      <x:c r="U48" s="38" t="str">
        <x:v>{"market":["SE"],"power_kw":110,"manufacturer":"Volkswagen","bodywork_form":"estate","energy_sources":["petrol"],"displacement_cc":1395,"production_date":"2018-05","production_year":2018,"manufacturer_role":"vehicle_manufacturer","power_source_unit":"kw","registration_date":"2018-07-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8" s="38" t="str">
        <x:v>{"drive_type":"awd","model_family":"TIGUAN"}</x:v>
      </x:c>
      <x:c r="W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2018-05","field":"production_date","before":{"build_month":"201805","vehicle_year":2018,"registration_date":"20180720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20180720"},"target":"normalized","rule_ids":["DATE-REGISTRATION-V1","DATE-PRODUCTION-MONTH-V1"],"sequence":9,"transformer_id":"ts.dates","confidence_effect":0.1},{"after":2018,"field":"production_year","before":{"build_month":"201805","vehicle_year":2018,"registration_date":"20180720"},"target":"normalized","rule_ids":["DATE-REGISTRATION-V1","DATE-PRODUCTION-MONTH-V1"],"sequence":10,"transformer_id":"ts.dates","confidence_effect":0.1},{"after":"2018-07-20","field":"registration_date","before":{"build_month":"201805","vehicle_year":2018,"registration_date":"20180720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TIGUAN","gearbox":"A","variant":"ACCZDAX1","version":"AD6AD6D9017KN5N4NVR27MM61"},"target":"normalized","rule_ids":["TRN-002"],"sequence":16,"transformer_id":"ts.transmission","confidence_effect":0.1},{"after":"estate","field":"bodywork_form","before":{"model":"TIGUAN","variant":"ACCZDAX1","version":"AD6AD6D9017KN5N4NVR27MM61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CZDAX1","version":"AD6AD6D9017KN5N4NVR27MM61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CZDAX1","version":"AD6AD6D9017KN5N4NVR27MM61"},"target":"normalized","rule_ids":["FUEL-001"],"sequence":20,"transformer_id":"ts.fuel","confidence_effect":0.0}]</x:v>
      </x:c>
      <x:c r="X4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" s="38" t="str">
        <x:v>{"candidates":{"drive_type":"awd","model_family":"TIGUAN"},"confidence":0.8,"normalized":{"market":["SE"],"power_kw":110,"manufacturer":"Volkswagen","bodywork_form":"estate","energy_sources":["petrol"],"displacement_cc":1395,"production_date":"2018-05","production_year":2018,"manufacturer_role":"vehicle_manufacturer","power_source_unit":"kw","registration_date":"2018-07-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2018-05","field":"production_date","before":{"build_month":"201805","vehicle_year":2018,"registration_date":"20180720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20180720"},"target":"normalized","rule_ids":["DATE-REGISTRATION-V1","DATE-PRODUCTION-MONTH-V1"],"sequence":9,"transformer_id":"ts.dates","confidence_effect":0.1},{"after":2018,"field":"production_year","before":{"build_month":"201805","vehicle_year":2018,"registration_date":"20180720"},"target":"normalized","rule_ids":["DATE-REGISTRATION-V1","DATE-PRODUCTION-MONTH-V1"],"sequence":10,"transformer_id":"ts.dates","confidence_effect":0.1},{"after":"2018-07-20","field":"registration_date","before":{"build_month":"201805","vehicle_year":2018,"registration_date":"20180720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TIGUAN","gearbox":"A","variant":"ACCZDAX1","version":"AD6AD6D9017KN5N4NVR27MM61"},"target":"normalized","rule_ids":["TRN-002"],"sequence":16,"transformer_id":"ts.transmission","confidence_effect":0.1},{"after":"estate","field":"bodywork_form","before":{"model":"TIGUAN","variant":"ACCZDAX1","version":"AD6AD6D9017KN5N4NVR27MM61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CZDAX1","version":"AD6AD6D9017KN5N4NVR27MM61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CZDAX1","version":"AD6AD6D9017KN5N4NVR27MM61"},"target":"normalized","rule_ids":["FUEL-001"],"sequence":20,"transformer_id":"ts.fuel","confidence_effect":0.0}],"pipeline_version":"normalization-pipeline-v4","candidate_rule_ids":["DRV-008"]}</x:v>
      </x:c>
      <x:c r="Z48" s="36" t="n">
        <x:v>46239.78067015046</x:v>
      </x:c>
      <x:c r="AA48" s="36" t="n">
        <x:v>46239.78067015046</x:v>
      </x:c>
    </x:row>
    <x:row r="49" ht="18" customHeight="1">
      <x:c r="A49" s="36" t="n">
        <x:v>2651</x:v>
      </x:c>
      <x:c r="B49" s="36" t="str">
        <x:v>fce045fa-8005-52c9-9d7e-e1be8dcd338a</x:v>
      </x:c>
      <x:c r="C49" s="36" t="str">
        <x:v>Transportstyrelsen</x:v>
      </x:c>
      <x:c r="D49" s="36" t="str">
        <x:v>normalization-review-passenger-250-v1-rules-20260805T184409855703Z</x:v>
      </x:c>
      <x:c r="E49" s="36" t="str">
        <x:v>staging.transportstyrelsen_raw</x:v>
      </x:c>
      <x:c r="F49" s="36" t="n">
        <x:v>2769</x:v>
      </x:c>
      <x:c r="G49" s="36" t="str">
        <x:v>ts-mapping-v1</x:v>
      </x:c>
      <x:c r="H49" s="36" t="str">
        <x:v>ts-review-20260805T184254528647Z</x:v>
      </x:c>
      <x:c r="I49" s="36" t="str">
        <x:v>normalization-pipeline-v4</x:v>
      </x:c>
      <x:c r="J49" s="36" t="str">
        <x:v>provisional</x:v>
      </x:c>
      <x:c r="K49" s="39" t="n">
        <x:v>0.8</x:v>
      </x:c>
      <x:c r="L49" s="36" t="str">
        <x:v>Honda</x:v>
      </x:c>
      <x:c r="M49" s="36"/>
      <x:c r="N49" s="36" t="str">
        <x:v>hatchback</x:v>
      </x:c>
      <x:c r="O49" s="38" t="str">
        <x:v>["petrol"]</x:v>
      </x:c>
      <x:c r="P49" s="36" t="str">
        <x:v>manual</x:v>
      </x:c>
      <x:c r="Q49" s="36" t="n">
        <x:v>2008</x:v>
      </x:c>
      <x:c r="R49" s="38" t="str">
        <x:v>["DATE-REGISTRATION-V1","DATE-PRODUCTION-MONTH-V1","UNIT-POWER-KW-V1","UNIT-DISPLACEMENT-CCM-V1","TRN-001","BDY-109","FUEL-001"]</x:v>
      </x:c>
      <x:c r="S49" s="38" t="str">
        <x:v>["MFR-BRAND-PREFIX-FALLBACK"]</x:v>
      </x:c>
      <x:c r="T49" s="38" t="str">
        <x:v>[]</x:v>
      </x:c>
      <x:c r="U49" s="38" t="str">
        <x:v>{"market":["SE"],"power_kw":103,"manufacturer":"Honda","bodywork_form":"hatchback","energy_sources":["petrol"],"displacement_cc":1799,"production_date":"2008-01","production_year":2008,"manufacturer_role":"vehicle_manufacturer","power_source_unit":"kw","registration_date":"2008-02-13","transmission_type":"manual","alias_types_present":["plate","vin"],"builder_converter_names":[],"displacement_source_unit":"ccm","production_date_precision":"month","bodywork_registry_label_sv":"Halvkombi"}</x:v>
      </x:c>
      <x:c r="V49" s="38" t="str">
        <x:v>{"manufacturer_confirmation":{"source_fields":["brand"],"canonical_name":"Honda"}}</x:v>
      </x:c>
      <x:c r="W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2008-01","field":"production_date","before":{"build_month":"200801","vehicle_year":2008,"registration_date":"20080213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20080213"},"target":"normalized","rule_ids":["DATE-REGISTRATION-V1","DATE-PRODUCTION-MONTH-V1"],"sequence":8,"transformer_id":"ts.dates","confidence_effect":0.1},{"after":2008,"field":"production_year","before":{"build_month":"200801","vehicle_year":2008,"registration_date":"20080213"},"target":"normalized","rule_ids":["DATE-REGISTRATION-V1","DATE-PRODUCTION-MONTH-V1"],"sequence":9,"transformer_id":"ts.dates","confidence_effect":0.1},{"after":"2008-02-13","field":"registration_date","before":{"build_month":"200801","vehicle_year":2008,"registration_date":"20080213"},"target":"normalized","rule_ids":["DATE-REGISTRATION-V1","DATE-PRODUCTION-MONTH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hatchback","field":"bodywork_form","before":{"variant":"1","version":"2","body_code":"AB","eu_category":"M1","vehicle_type":"PB"},"target":"normalized","rule_ids":["BDY-109"],"sequence":16,"transformer_id":"ts.bodywork","confidence_effect":0.1},{"after":"Halvkombi","field":"bodywork_registry_label_sv","before":{"variant":"1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1","version":"2"},"target":"normalized","rule_ids":["FUEL-001"],"sequence":18,"transformer_id":"ts.fuel","confidence_effect":0.0}]</x:v>
      </x:c>
      <x:c r="X4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" s="38" t="str">
        <x:v>{"candidates":{"manufacturer_confirmation":{"source_fields":["brand"],"canonical_name":"Honda"}},"confidence":0.8,"normalized":{"market":["SE"],"power_kw":103,"manufacturer":"Honda","bodywork_form":"hatchback","energy_sources":["petrol"],"displacement_cc":1799,"production_date":"2008-01","production_year":2008,"manufacturer_role":"vehicle_manufacturer","power_source_unit":"kw","registration_date":"2008-02-13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2008-01","field":"production_date","before":{"build_month":"200801","vehicle_year":2008,"registration_date":"20080213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20080213"},"target":"normalized","rule_ids":["DATE-REGISTRATION-V1","DATE-PRODUCTION-MONTH-V1"],"sequence":8,"transformer_id":"ts.dates","confidence_effect":0.1},{"after":2008,"field":"production_year","before":{"build_month":"200801","vehicle_year":2008,"registration_date":"20080213"},"target":"normalized","rule_ids":["DATE-REGISTRATION-V1","DATE-PRODUCTION-MONTH-V1"],"sequence":9,"transformer_id":"ts.dates","confidence_effect":0.1},{"after":"2008-02-13","field":"registration_date","before":{"build_month":"200801","vehicle_year":2008,"registration_date":"20080213"},"target":"normalized","rule_ids":["DATE-REGISTRATION-V1","DATE-PRODUCTION-MONTH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hatchback","field":"bodywork_form","before":{"variant":"1","version":"2","body_code":"AB","eu_category":"M1","vehicle_type":"PB"},"target":"normalized","rule_ids":["BDY-109"],"sequence":16,"transformer_id":"ts.bodywork","confidence_effect":0.1},{"after":"Halvkombi","field":"bodywork_registry_label_sv","before":{"variant":"1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1","version":"2"},"target":"normalized","rule_ids":["FUEL-001"],"sequence":18,"transformer_id":"ts.fuel","confidence_effect":0.0}],"pipeline_version":"normalization-pipeline-v4","candidate_rule_ids":["MFR-BRAND-PREFIX-FALLBACK"]}</x:v>
      </x:c>
      <x:c r="Z49" s="36" t="n">
        <x:v>46239.78067015046</x:v>
      </x:c>
      <x:c r="AA49" s="36" t="n">
        <x:v>46239.78067015046</x:v>
      </x:c>
    </x:row>
    <x:row r="50" ht="18" customHeight="1">
      <x:c r="A50" s="36" t="n">
        <x:v>2652</x:v>
      </x:c>
      <x:c r="B50" s="36" t="str">
        <x:v>58d93033-5310-564c-b359-2c8bcfe2f54d</x:v>
      </x:c>
      <x:c r="C50" s="36" t="str">
        <x:v>Transportstyrelsen</x:v>
      </x:c>
      <x:c r="D50" s="36" t="str">
        <x:v>normalization-review-passenger-250-v1-rules-20260805T184409855703Z</x:v>
      </x:c>
      <x:c r="E50" s="36" t="str">
        <x:v>staging.transportstyrelsen_raw</x:v>
      </x:c>
      <x:c r="F50" s="36" t="n">
        <x:v>2770</x:v>
      </x:c>
      <x:c r="G50" s="36" t="str">
        <x:v>ts-mapping-v1</x:v>
      </x:c>
      <x:c r="H50" s="36" t="str">
        <x:v>ts-review-20260805T184254528647Z</x:v>
      </x:c>
      <x:c r="I50" s="36" t="str">
        <x:v>normalization-pipeline-v4</x:v>
      </x:c>
      <x:c r="J50" s="36" t="str">
        <x:v>provisional</x:v>
      </x:c>
      <x:c r="K50" s="39" t="n">
        <x:v>0.8</x:v>
      </x:c>
      <x:c r="L50" s="36" t="str">
        <x:v>Jeep</x:v>
      </x:c>
      <x:c r="M50" s="36" t="str">
        <x:v>COMPASS</x:v>
      </x:c>
      <x:c r="N50" s="36" t="str">
        <x:v>multi_purpose_vehicle</x:v>
      </x:c>
      <x:c r="O50" s="38" t="str">
        <x:v>["petrol","electricity"]</x:v>
      </x:c>
      <x:c r="P50" s="36" t="str">
        <x:v>automatic</x:v>
      </x:c>
      <x:c r="Q50" s="36" t="n">
        <x:v>2022</x:v>
      </x:c>
      <x:c r="R50" s="38" t="str">
        <x:v>["MFR-PARENT-MARKETED","MFR-BRAND-MODEL","DATE-REGISTRATION-V1","DATE-PRODUCTION-DAY-V1","UNIT-POWER-KW-V1","UNIT-DISPLACEMENT-CCM-V1","TRN-002","BDY-113","FUEL-001","FUEL-003","ELEC-003"]</x:v>
      </x:c>
      <x:c r="S50" s="38" t="str">
        <x:v>["DRV-008"]</x:v>
      </x:c>
      <x:c r="T50" s="38" t="str">
        <x:v>[]</x:v>
      </x:c>
      <x:c r="U50" s="38" t="str">
        <x:v>{"market":["SE"],"power_kw":132,"manufacturer":"Jeep","bodywork_form":"multi_purpose_vehicle","energy_sources":["petrol","electricity"],"displacement_cc":1332,"production_date":"2022-05-20","production_year":2022,"manufacturer_role":"vehicle_manufacturer","power_source_unit":"kw","registration_date":"2023-05-11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</x:v>
      </x:c>
      <x:c r="V50" s="38" t="str">
        <x:v>{"drive_type":"awd","model_family":"COMPASS"}</x:v>
      </x:c>
      <x:c r="W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JEEP","manufacturer":"FCA ITALY S.P.A."},"target":"normalized","rule_ids":["MFR-PARENT-MARKETED","MFR-BRAND-MODEL"],"sequence":3,"transformer_id":"ts.manufacturer","confidence_effect":0.2},{"after":"Jeep","field":"manufacturer","before":{"brand":"JEEP","manufacturer":"FCA ITALY S.P.A."},"target":"normalized","rule_ids":["MFR-PARENT-MARKETED","MFR-BRAND-MODEL"],"sequence":4,"transformer_id":"ts.manufacturer","confidence_effect":0.2},{"after":"vehicle_manufacturer","field":"manufacturer_role","before":{"brand":"JEEP","manufacturer":"FCA ITALY S.P.A."},"target":"normalized","rule_ids":["MFR-PARENT-MARKETED","MFR-BRAND-MODEL"],"sequence":5,"transformer_id":"ts.manufacturer","confidence_effect":0.2},{"after":true,"field":"model_family_candidate","before":"COMPASS","target":"normalized","rule_ids":["MODEL-CANDIDATE-V1"],"sequence":6,"transformer_id":"ts.model-family","confidence_effect":0.0},{"after":"COMPASS","field":"model_family","before":"COMPASS","target":"candidate","rule_ids":["MODEL-CANDIDATE-V1"],"sequence":7,"transformer_id":"ts.model-family","confidence_effect":0.05},{"after":"2022-05-20","field":"production_date","before":{"build_date":"20220520","build_month":"202205","vehicle_year":2022,"registration_date":"20230511"},"target":"normalized","rule_ids":["DATE-REGISTRATION-V1","DATE-PRODUCTION-DAY-V1"],"sequence":8,"transformer_id":"ts.dates","confidence_effect":0.1},{"after":"day","field":"production_date_precision","before":{"build_date":"20220520","build_month":"202205","vehicle_year":2022,"registration_date":"20230511"},"target":"normalized","rule_ids":["DATE-REGISTRATION-V1","DATE-PRODUCTION-DAY-V1"],"sequence":9,"transformer_id":"ts.dates","confidence_effect":0.1},{"after":2022,"field":"production_year","before":{"build_date":"20220520","build_month":"202205","vehicle_year":2022,"registration_date":"20230511"},"target":"normalized","rule_ids":["DATE-REGISTRATION-V1","DATE-PRODUCTION-DAY-V1"],"sequence":10,"transformer_id":"ts.dates","confidence_effect":0.1},{"after":"2023-05-11","field":"registration_date","before":{"build_date":"20220520","build_month":"202205","vehicle_year":2022,"registration_date":"20230511"},"target":"normalized","rule_ids":["DATE-REGISTRATION-V1","DATE-PRODUCTION-DAY-V1"],"sequence":11,"transformer_id":"ts.dates","confidence_effect":0.1},{"after":1332,"field":"displacement_cc","before":{"kw":132,"ccm":1332},"target":"normalized","rule_ids":["UNIT-POWER-KW-V1","UNIT-DISPLACEMENT-CCM-V1"],"sequence":12,"transformer_id":"ts.engine-measurements","confidence_effect":0.1},{"after":"ccm","field":"displacement_source_unit","before":{"kw":132,"ccm":1332},"target":"normalized","rule_ids":["UNIT-POWER-KW-V1","UNIT-DISPLACEMENT-CCM-V1"],"sequence":13,"transformer_id":"ts.engine-measurements","confidence_effect":0.1},{"after":132,"field":"power_kw","before":{"kw":132,"ccm":1332},"target":"normalized","rule_ids":["UNIT-POWER-KW-V1","UNIT-DISPLACEMENT-CCM-V1"],"sequence":14,"transformer_id":"ts.engine-measurements","confidence_effect":0.1},{"after":"kw","field":"power_source_unit","before":{"kw":132,"ccm":1332},"target":"normalized","rule_ids":["UNIT-POWER-KW-V1","UNIT-DISPLACEMENT-CCM-V1"],"sequence":15,"transformer_id":"ts.engine-measurements","confidence_effect":0.1},{"after":"automatic","field":"transmission_type","before":{"model":"COMPASS","gearbox":"A","variant":"JHPFP","version":"MN1BBH1"},"target":"normalized","rule_ids":["TRN-002"],"sequence":16,"transformer_id":"ts.transmission","confidence_effect":0.1},{"after":"multi_purpose_vehicle","field":"bodywork_form","before":{"model":"COMPASS","variant":"JHPFP","version":"MN1BBH1","body_code":"AF","eu_category":"M1G","vehicle_type":"PB"},"target":"normalized","rule_ids":["BDY-113"],"sequence":17,"transformer_id":"ts.bodywork","confidence_effect":0.1},{"after":"Fordon avsett för flera ändamål","field":"bodywork_registry_label_sv","before":{"model":"COMPASS","variant":"JHPFP","version":"MN1BBH1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COMPASS","variant":"JHPFP","version":"MN1BBH1","ev_config":"LADDHYBRID"},"target":"normalized","rule_ids":["FUEL-001","FUEL-003","ELEC-003"],"sequence":20,"transformer_id":"ts.fuel","confidence_effect":0.0},{"after":["petrol","electricity"],"field":"energy_sources","before":{"fuel1":"1","fuel2":"3","fuel3":"0","model":"COMPASS","variant":"JHPFP","version":"MN1BBH1","ev_config":"LADDHYBRID"},"target":"normalized","rule_ids":["FUEL-001","FUEL-003","ELEC-003"],"sequence":21,"transformer_id":"ts.fuel","confidence_effect":0.0}]</x:v>
      </x:c>
      <x:c r="X5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0" s="38" t="str">
        <x:v>{"candidates":{"drive_type":"awd","model_family":"COMPASS"},"confidence":0.8,"normalized":{"market":["SE"],"power_kw":132,"manufacturer":"Jeep","bodywork_form":"multi_purpose_vehicle","energy_sources":["petrol","electricity"],"displacement_cc":1332,"production_date":"2022-05-20","production_year":2022,"manufacturer_role":"vehicle_manufacturer","power_source_unit":"kw","registration_date":"2023-05-11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JEEP","manufacturer":"FCA ITALY S.P.A."},"target":"normalized","rule_ids":["MFR-PARENT-MARKETED","MFR-BRAND-MODEL"],"sequence":3,"transformer_id":"ts.manufacturer","confidence_effect":0.2},{"after":"Jeep","field":"manufacturer","before":{"brand":"JEEP","manufacturer":"FCA ITALY S.P.A."},"target":"normalized","rule_ids":["MFR-PARENT-MARKETED","MFR-BRAND-MODEL"],"sequence":4,"transformer_id":"ts.manufacturer","confidence_effect":0.2},{"after":"vehicle_manufacturer","field":"manufacturer_role","before":{"brand":"JEEP","manufacturer":"FCA ITALY S.P.A."},"target":"normalized","rule_ids":["MFR-PARENT-MARKETED","MFR-BRAND-MODEL"],"sequence":5,"transformer_id":"ts.manufacturer","confidence_effect":0.2},{"after":true,"field":"model_family_candidate","before":"COMPASS","target":"normalized","rule_ids":["MODEL-CANDIDATE-V1"],"sequence":6,"transformer_id":"ts.model-family","confidence_effect":0.0},{"after":"COMPASS","field":"model_family","before":"COMPASS","target":"candidate","rule_ids":["MODEL-CANDIDATE-V1"],"sequence":7,"transformer_id":"ts.model-family","confidence_effect":0.05},{"after":"2022-05-20","field":"production_date","before":{"build_date":"20220520","build_month":"202205","vehicle_year":2022,"registration_date":"20230511"},"target":"normalized","rule_ids":["DATE-REGISTRATION-V1","DATE-PRODUCTION-DAY-V1"],"sequence":8,"transformer_id":"ts.dates","confidence_effect":0.1},{"after":"day","field":"production_date_precision","before":{"build_date":"20220520","build_month":"202205","vehicle_year":2022,"registration_date":"20230511"},"target":"normalized","rule_ids":["DATE-REGISTRATION-V1","DATE-PRODUCTION-DAY-V1"],"sequence":9,"transformer_id":"ts.dates","confidence_effect":0.1},{"after":2022,"field":"production_year","before":{"build_date":"20220520","build_month":"202205","vehicle_year":2022,"registration_date":"20230511"},"target":"normalized","rule_ids":["DATE-REGISTRATION-V1","DATE-PRODUCTION-DAY-V1"],"sequence":10,"transformer_id":"ts.dates","confidence_effect":0.1},{"after":"2023-05-11","field":"registration_date","before":{"build_date":"20220520","build_month":"202205","vehicle_year":2022,"registration_date":"20230511"},"target":"normalized","rule_ids":["DATE-REGISTRATION-V1","DATE-PRODUCTION-DAY-V1"],"sequence":11,"transformer_id":"ts.dates","confidence_effect":0.1},{"after":1332,"field":"displacement_cc","before":{"kw":132,"ccm":1332},"target":"normalized","rule_ids":["UNIT-POWER-KW-V1","UNIT-DISPLACEMENT-CCM-V1"],"sequence":12,"transformer_id":"ts.engine-measurements","confidence_effect":0.1},{"after":"ccm","field":"displacement_source_unit","before":{"kw":132,"ccm":1332},"target":"normalized","rule_ids":["UNIT-POWER-KW-V1","UNIT-DISPLACEMENT-CCM-V1"],"sequence":13,"transformer_id":"ts.engine-measurements","confidence_effect":0.1},{"after":132,"field":"power_kw","before":{"kw":132,"ccm":1332},"target":"normalized","rule_ids":["UNIT-POWER-KW-V1","UNIT-DISPLACEMENT-CCM-V1"],"sequence":14,"transformer_id":"ts.engine-measurements","confidence_effect":0.1},{"after":"kw","field":"power_source_unit","before":{"kw":132,"ccm":1332},"target":"normalized","rule_ids":["UNIT-POWER-KW-V1","UNIT-DISPLACEMENT-CCM-V1"],"sequence":15,"transformer_id":"ts.engine-measurements","confidence_effect":0.1},{"after":"automatic","field":"transmission_type","before":{"model":"COMPASS","gearbox":"A","variant":"JHPFP","version":"MN1BBH1"},"target":"normalized","rule_ids":["TRN-002"],"sequence":16,"transformer_id":"ts.transmission","confidence_effect":0.1},{"after":"multi_purpose_vehicle","field":"bodywork_form","before":{"model":"COMPASS","variant":"JHPFP","version":"MN1BBH1","body_code":"AF","eu_category":"M1G","vehicle_type":"PB"},"target":"normalized","rule_ids":["BDY-113"],"sequence":17,"transformer_id":"ts.bodywork","confidence_effect":0.1},{"after":"Fordon avsett för flera ändamål","field":"bodywork_registry_label_sv","before":{"model":"COMPASS","variant":"JHPFP","version":"MN1BBH1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COMPASS","variant":"JHPFP","version":"MN1BBH1","ev_config":"LADDHYBRID"},"target":"normalized","rule_ids":["FUEL-001","FUEL-003","ELEC-003"],"sequence":20,"transformer_id":"ts.fuel","confidence_effect":0.0},{"after":["petrol","electricity"],"field":"energy_sources","before":{"fuel1":"1","fuel2":"3","fuel3":"0","model":"COMPASS","variant":"JHPFP","version":"MN1BBH1","ev_config":"LADDHYBRID"},"target":"normalized","rule_ids":["FUEL-001","FUEL-003","ELEC-003"],"sequence":21,"transformer_id":"ts.fuel","confidence_effect":0.0}],"pipeline_version":"normalization-pipeline-v4","candidate_rule_ids":["DRV-008"]}</x:v>
      </x:c>
      <x:c r="Z50" s="36" t="n">
        <x:v>46239.78067015046</x:v>
      </x:c>
      <x:c r="AA50" s="36" t="n">
        <x:v>46239.78067015046</x:v>
      </x:c>
    </x:row>
    <x:row r="51" ht="18" customHeight="1">
      <x:c r="A51" s="36" t="n">
        <x:v>2653</x:v>
      </x:c>
      <x:c r="B51" s="36" t="str">
        <x:v>6666d8f1-9250-5406-9c39-a1ddd1a02d74</x:v>
      </x:c>
      <x:c r="C51" s="36" t="str">
        <x:v>Transportstyrelsen</x:v>
      </x:c>
      <x:c r="D51" s="36" t="str">
        <x:v>normalization-review-passenger-250-v1-rules-20260805T184409855703Z</x:v>
      </x:c>
      <x:c r="E51" s="36" t="str">
        <x:v>staging.transportstyrelsen_raw</x:v>
      </x:c>
      <x:c r="F51" s="36" t="n">
        <x:v>2771</x:v>
      </x:c>
      <x:c r="G51" s="36" t="str">
        <x:v>ts-mapping-v1</x:v>
      </x:c>
      <x:c r="H51" s="36" t="str">
        <x:v>ts-review-20260805T184254528647Z</x:v>
      </x:c>
      <x:c r="I51" s="36" t="str">
        <x:v>normalization-pipeline-v4</x:v>
      </x:c>
      <x:c r="J51" s="36" t="str">
        <x:v>provisional</x:v>
      </x:c>
      <x:c r="K51" s="39" t="n">
        <x:v>0.8</x:v>
      </x:c>
      <x:c r="L51" s="36" t="str">
        <x:v>Audi</x:v>
      </x:c>
      <x:c r="M51" s="36"/>
      <x:c r="N51" s="36" t="str">
        <x:v>sedan</x:v>
      </x:c>
      <x:c r="O51" s="38" t="str">
        <x:v>["petrol"]</x:v>
      </x:c>
      <x:c r="P51" s="36" t="str">
        <x:v>manual</x:v>
      </x:c>
      <x:c r="Q51" s="36" t="n">
        <x:v>2006</x:v>
      </x:c>
      <x:c r="R51" s="38" t="str">
        <x:v>["DATE-REGISTRATION-V1","DATE-PRODUCTION-MONTH-V1","UNIT-POWER-KW-V1","UNIT-DISPLACEMENT-CCM-V1","TRN-001","BDY-101","FUEL-001"]</x:v>
      </x:c>
      <x:c r="S51" s="38" t="str">
        <x:v>["MFR-BRAND-PREFIX-FALLBACK","DRV-008"]</x:v>
      </x:c>
      <x:c r="T51" s="38" t="str">
        <x:v>[]</x:v>
      </x:c>
      <x:c r="U51" s="38" t="str">
        <x:v>{"market":["SE"],"power_kw":162,"manufacturer":"Audi","bodywork_form":"sedan","energy_sources":["petrol"],"displacement_cc":1984,"production_date":"2006-07","production_year":2006,"manufacturer_role":"vehicle_manufacturer","power_source_unit":"kw","registration_date":"2006-08-25","transmission_type":"manual","alias_types_present":["plate","vin"],"builder_converter_names":[],"displacement_source_unit":"ccm","production_date_precision":"month","bodywork_registry_label_sv":"Sedan"}</x:v>
      </x:c>
      <x:c r="V51" s="38" t="str">
        <x:v>{"drive_type":"awd","manufacturer_confirmation":{"source_fields":["brand"],"canonical_name":"Audi"}}</x:v>
      </x:c>
      <x:c r="W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2.0TS QUATTRO","target":"normalized","rule_ids":["MFR-CLASSIFY-V1"],"sequence":3,"transformer_id":"ts.manufacturer","confidence_effect":0.2},{"after":"Audi","field":"manufacturer","before":"AUDI A4 2.0TS QUATTRO","target":"normalized","rule_ids":["MFR-CLASSIFY-V1"],"sequence":4,"transformer_id":"ts.manufacturer","confidence_effect":0.2},{"after":"vehicle_manufacturer","field":"manufacturer_role","before":"AUDI A4 2.0TS QUATTRO","target":"normalized","rule_ids":["MFR-CLASSIFY-V1"],"sequence":5,"transformer_id":"ts.manufacturer","confidence_effect":0.2},{"after":{"source_fields":["brand"],"canonical_name":"Audi"},"field":"manufacturer_confirmation","before":"AUDI A4 2.0TS QUATTRO","target":"candidate","rule_ids":["MFR-BRAND-PREFIX-FALLBACK"],"sequence":6,"transformer_id":"ts.manufacturer","confidence_effect":0.05},{"after":"2006-07","field":"production_date","before":{"build_month":"200607","vehicle_year":2006,"registration_date":"20060825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20060825"},"target":"normalized","rule_ids":["DATE-REGISTRATION-V1","DATE-PRODUCTION-MONTH-V1"],"sequence":8,"transformer_id":"ts.dates","confidence_effect":0.1},{"after":2006,"field":"production_year","before":{"build_month":"200607","vehicle_year":2006,"registration_date":"20060825"},"target":"normalized","rule_ids":["DATE-REGISTRATION-V1","DATE-PRODUCTION-MONTH-V1"],"sequence":9,"transformer_id":"ts.dates","confidence_effect":0.1},{"after":"2006-08-25","field":"registration_date","before":{"build_month":"200607","vehicle_year":2006,"registration_date":"20060825"},"target":"normalized","rule_ids":["DATE-REGISTRATION-V1","DATE-PRODUCTION-MONTH-V1"],"sequence":10,"transformer_id":"ts.dates","confidence_effect":0.1},{"after":1984,"field":"displacement_cc","before":{"kw":162,"ccm":1984},"target":"normalized","rule_ids":["UNIT-POWER-KW-V1","UNIT-DISPLACEMENT-CCM-V1"],"sequence":11,"transformer_id":"ts.engine-measurements","confidence_effect":0.1},{"after":"ccm","field":"displacement_source_unit","before":{"kw":162,"ccm":1984},"target":"normalized","rule_ids":["UNIT-POWER-KW-V1","UNIT-DISPLACEMENT-CCM-V1"],"sequence":12,"transformer_id":"ts.engine-measurements","confidence_effect":0.1},{"after":162,"field":"power_kw","before":{"kw":162,"ccm":1984},"target":"normalized","rule_ids":["UNIT-POWER-KW-V1","UNIT-DISPLACEMENT-CCM-V1"],"sequence":13,"transformer_id":"ts.engine-measurements","confidence_effect":0.1},{"after":"kw","field":"power_source_unit","before":{"kw":162,"ccm":1984},"target":"normalized","rule_ids":["UNIT-POWER-KW-V1","UNIT-DISPLACEMENT-CCM-V1"],"sequence":14,"transformer_id":"ts.engine-measurements","confidence_effect":0.1},{"after":"manual","field":"transmission_type","before":{"gearbox":"M","variant":"LBULQ1","version":"QM6XD0R8E71"},"target":"normalized","rule_ids":["TRN-001"],"sequence":15,"transformer_id":"ts.transmission","confidence_effect":0.1},{"after":"sedan","field":"bodywork_form","before":{"variant":"LBULQ1","version":"QM6XD0R8E71","body_code":"AA","eu_category":"M1","vehicle_type":"PB"},"target":"normalized","rule_ids":["BDY-101"],"sequence":16,"transformer_id":"ts.bodywork","confidence_effect":0.1},{"after":"Sedan","field":"bodywork_registry_label_sv","before":{"variant":"LBULQ1","version":"QM6XD0R8E71","body_code":"AA","eu_category":"M1","vehicle_type":"PB"},"target":"normalized","rule_ids":["BDY-101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LBULQ1","version":"QM6XD0R8E71"},"target":"normalized","rule_ids":["FUEL-001"],"sequence":19,"transformer_id":"ts.fuel","confidence_effect":0.0}]</x:v>
      </x:c>
      <x:c r="X51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" s="38" t="str">
        <x:v>{"candidates":{"drive_type":"awd","manufacturer_confirmation":{"source_fields":["brand"],"canonical_name":"Audi"}},"confidence":0.8,"normalized":{"market":["SE"],"power_kw":162,"manufacturer":"Audi","bodywork_form":"sedan","energy_sources":["petrol"],"displacement_cc":1984,"production_date":"2006-07","production_year":2006,"manufacturer_role":"vehicle_manufacturer","power_source_unit":"kw","registration_date":"2006-08-25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2.0TS QUATTRO","target":"normalized","rule_ids":["MFR-CLASSIFY-V1"],"sequence":3,"transformer_id":"ts.manufacturer","confidence_effect":0.2},{"after":"Audi","field":"manufacturer","before":"AUDI A4 2.0TS QUATTRO","target":"normalized","rule_ids":["MFR-CLASSIFY-V1"],"sequence":4,"transformer_id":"ts.manufacturer","confidence_effect":0.2},{"after":"vehicle_manufacturer","field":"manufacturer_role","before":"AUDI A4 2.0TS QUATTRO","target":"normalized","rule_ids":["MFR-CLASSIFY-V1"],"sequence":5,"transformer_id":"ts.manufacturer","confidence_effect":0.2},{"after":{"source_fields":["brand"],"canonical_name":"Audi"},"field":"manufacturer_confirmation","before":"AUDI A4 2.0TS QUATTRO","target":"candidate","rule_ids":["MFR-BRAND-PREFIX-FALLBACK"],"sequence":6,"transformer_id":"ts.manufacturer","confidence_effect":0.05},{"after":"2006-07","field":"production_date","before":{"build_month":"200607","vehicle_year":2006,"registration_date":"20060825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20060825"},"target":"normalized","rule_ids":["DATE-REGISTRATION-V1","DATE-PRODUCTION-MONTH-V1"],"sequence":8,"transformer_id":"ts.dates","confidence_effect":0.1},{"after":2006,"field":"production_year","before":{"build_month":"200607","vehicle_year":2006,"registration_date":"20060825"},"target":"normalized","rule_ids":["DATE-REGISTRATION-V1","DATE-PRODUCTION-MONTH-V1"],"sequence":9,"transformer_id":"ts.dates","confidence_effect":0.1},{"after":"2006-08-25","field":"registration_date","before":{"build_month":"200607","vehicle_year":2006,"registration_date":"20060825"},"target":"normalized","rule_ids":["DATE-REGISTRATION-V1","DATE-PRODUCTION-MONTH-V1"],"sequence":10,"transformer_id":"ts.dates","confidence_effect":0.1},{"after":1984,"field":"displacement_cc","before":{"kw":162,"ccm":1984},"target":"normalized","rule_ids":["UNIT-POWER-KW-V1","UNIT-DISPLACEMENT-CCM-V1"],"sequence":11,"transformer_id":"ts.engine-measurements","confidence_effect":0.1},{"after":"ccm","field":"displacement_source_unit","before":{"kw":162,"ccm":1984},"target":"normalized","rule_ids":["UNIT-POWER-KW-V1","UNIT-DISPLACEMENT-CCM-V1"],"sequence":12,"transformer_id":"ts.engine-measurements","confidence_effect":0.1},{"after":162,"field":"power_kw","before":{"kw":162,"ccm":1984},"target":"normalized","rule_ids":["UNIT-POWER-KW-V1","UNIT-DISPLACEMENT-CCM-V1"],"sequence":13,"transformer_id":"ts.engine-measurements","confidence_effect":0.1},{"after":"kw","field":"power_source_unit","before":{"kw":162,"ccm":1984},"target":"normalized","rule_ids":["UNIT-POWER-KW-V1","UNIT-DISPLACEMENT-CCM-V1"],"sequence":14,"transformer_id":"ts.engine-measurements","confidence_effect":0.1},{"after":"manual","field":"transmission_type","before":{"gearbox":"M","variant":"LBULQ1","version":"QM6XD0R8E71"},"target":"normalized","rule_ids":["TRN-001"],"sequence":15,"transformer_id":"ts.transmission","confidence_effect":0.1},{"after":"sedan","field":"bodywork_form","before":{"variant":"LBULQ1","version":"QM6XD0R8E71","body_code":"AA","eu_category":"M1","vehicle_type":"PB"},"target":"normalized","rule_ids":["BDY-101"],"sequence":16,"transformer_id":"ts.bodywork","confidence_effect":0.1},{"after":"Sedan","field":"bodywork_registry_label_sv","before":{"variant":"LBULQ1","version":"QM6XD0R8E71","body_code":"AA","eu_category":"M1","vehicle_type":"PB"},"target":"normalized","rule_ids":["BDY-101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LBULQ1","version":"QM6XD0R8E71"},"target":"normalized","rule_ids":["FUEL-001"],"sequence":19,"transformer_id":"ts.fuel","confidence_effect":0.0}],"pipeline_version":"normalization-pipeline-v4","candidate_rule_ids":["MFR-BRAND-PREFIX-FALLBACK","DRV-008"]}</x:v>
      </x:c>
      <x:c r="Z51" s="36" t="n">
        <x:v>46239.78067015046</x:v>
      </x:c>
      <x:c r="AA51" s="36" t="n">
        <x:v>46239.78067015046</x:v>
      </x:c>
    </x:row>
    <x:row r="52" ht="18" customHeight="1">
      <x:c r="A52" s="36" t="n">
        <x:v>2654</x:v>
      </x:c>
      <x:c r="B52" s="36" t="str">
        <x:v>3758222d-5d50-55be-a827-1ff7da913af4</x:v>
      </x:c>
      <x:c r="C52" s="36" t="str">
        <x:v>Transportstyrelsen</x:v>
      </x:c>
      <x:c r="D52" s="36" t="str">
        <x:v>normalization-review-passenger-250-v1-rules-20260805T184409855703Z</x:v>
      </x:c>
      <x:c r="E52" s="36" t="str">
        <x:v>staging.transportstyrelsen_raw</x:v>
      </x:c>
      <x:c r="F52" s="36" t="n">
        <x:v>2772</x:v>
      </x:c>
      <x:c r="G52" s="36" t="str">
        <x:v>ts-mapping-v1</x:v>
      </x:c>
      <x:c r="H52" s="36" t="str">
        <x:v>ts-review-20260805T184254528647Z</x:v>
      </x:c>
      <x:c r="I52" s="36" t="str">
        <x:v>normalization-pipeline-v4</x:v>
      </x:c>
      <x:c r="J52" s="36" t="str">
        <x:v>provisional</x:v>
      </x:c>
      <x:c r="K52" s="39" t="n">
        <x:v>0.8</x:v>
      </x:c>
      <x:c r="L52" s="36" t="str">
        <x:v>Volvo</x:v>
      </x:c>
      <x:c r="M52" s="36"/>
      <x:c r="N52" s="36" t="str">
        <x:v>estate</x:v>
      </x:c>
      <x:c r="O52" s="38" t="str">
        <x:v>["petrol"]</x:v>
      </x:c>
      <x:c r="P52" s="36" t="str">
        <x:v>manual</x:v>
      </x:c>
      <x:c r="Q52" s="36" t="n">
        <x:v>1996</x:v>
      </x:c>
      <x:c r="R52" s="38" t="str">
        <x:v>["DATE-REGISTRATION-V1","DATE-PRODUCTION-YEAR-V1","UNIT-POWER-KW-V1","TRN-001","BDY-103","FUEL-001"]</x:v>
      </x:c>
      <x:c r="S52" s="38" t="str">
        <x:v>["MFR-BRAND-PREFIX-FALLBACK"]</x:v>
      </x:c>
      <x:c r="T52" s="38" t="str">
        <x:v>[]</x:v>
      </x:c>
      <x:c r="U52" s="38" t="str">
        <x:v>{"market":["SE"],"power_kw":99,"manufacturer":"Volvo","bodywork_form":"estate","energy_sources":["petrol"],"production_year":1996,"manufacturer_role":"vehicle_manufacturer","power_source_unit":"kw","registration_date":"1995-08-09","transmission_type":"manual","alias_types_present":["plate","vin"],"builder_converter_names":[],"production_date_precision":"model_year","bodywork_registry_label_sv":"Kombi"}</x:v>
      </x:c>
      <x:c r="V52" s="38" t="str">
        <x:v>{"manufacturer_confirmation":{"source_fields":["brand"],"canonical_name":"Volvo"}}</x:v>
      </x:c>
      <x:c r="W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945-811 S 2.3","target":"normalized","rule_ids":["MFR-CLASSIFY-V1"],"sequence":3,"transformer_id":"ts.manufacturer","confidence_effect":0.2},{"after":"Volvo","field":"manufacturer","before":"VOLVO 945-811 S 2.3","target":"normalized","rule_ids":["MFR-CLASSIFY-V1"],"sequence":4,"transformer_id":"ts.manufacturer","confidence_effect":0.2},{"after":"vehicle_manufacturer","field":"manufacturer_role","before":"VOLVO 945-811 S 2.3","target":"normalized","rule_ids":["MFR-CLASSIFY-V1"],"sequence":5,"transformer_id":"ts.manufacturer","confidence_effect":0.2},{"after":{"source_fields":["brand"],"canonical_name":"Volvo"},"field":"manufacturer_confirmation","before":"VOLVO 945-811 S 2.3","target":"candidate","rule_ids":["MFR-BRAND-PREFIX-FALLBACK"],"sequence":6,"transformer_id":"ts.manufacturer","confidence_effect":0.05},{"after":"model_year","field":"production_date_precision","before":{"model_year":1996,"vehicle_year":1996,"registration_date":"19950809"},"target":"normalized","rule_ids":["DATE-REGISTRATION-V1","DATE-PRODUCTION-YEAR-V1"],"sequence":7,"transformer_id":"ts.dates","confidence_effect":0.1},{"after":1996,"field":"production_year","before":{"model_year":1996,"vehicle_year":1996,"registration_date":"19950809"},"target":"normalized","rule_ids":["DATE-REGISTRATION-V1","DATE-PRODUCTION-YEAR-V1"],"sequence":8,"transformer_id":"ts.dates","confidence_effect":0.1},{"after":"1995-08-09","field":"registration_date","before":{"model_year":1996,"vehicle_year":1996,"registration_date":"19950809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1996,"manufacturer_role":"vehicle_manufacturer","power_source_unit":"kw","registration_date":"1995-08-09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945-811 S 2.3","target":"normalized","rule_ids":["MFR-CLASSIFY-V1"],"sequence":3,"transformer_id":"ts.manufacturer","confidence_effect":0.2},{"after":"Volvo","field":"manufacturer","before":"VOLVO 945-811 S 2.3","target":"normalized","rule_ids":["MFR-CLASSIFY-V1"],"sequence":4,"transformer_id":"ts.manufacturer","confidence_effect":0.2},{"after":"vehicle_manufacturer","field":"manufacturer_role","before":"VOLVO 945-811 S 2.3","target":"normalized","rule_ids":["MFR-CLASSIFY-V1"],"sequence":5,"transformer_id":"ts.manufacturer","confidence_effect":0.2},{"after":{"source_fields":["brand"],"canonical_name":"Volvo"},"field":"manufacturer_confirmation","before":"VOLVO 945-811 S 2.3","target":"candidate","rule_ids":["MFR-BRAND-PREFIX-FALLBACK"],"sequence":6,"transformer_id":"ts.manufacturer","confidence_effect":0.05},{"after":"model_year","field":"production_date_precision","before":{"model_year":1996,"vehicle_year":1996,"registration_date":"19950809"},"target":"normalized","rule_ids":["DATE-REGISTRATION-V1","DATE-PRODUCTION-YEAR-V1"],"sequence":7,"transformer_id":"ts.dates","confidence_effect":0.1},{"after":1996,"field":"production_year","before":{"model_year":1996,"vehicle_year":1996,"registration_date":"19950809"},"target":"normalized","rule_ids":["DATE-REGISTRATION-V1","DATE-PRODUCTION-YEAR-V1"],"sequence":8,"transformer_id":"ts.dates","confidence_effect":0.1},{"after":"1995-08-09","field":"registration_date","before":{"model_year":1996,"vehicle_year":1996,"registration_date":"19950809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2" s="36" t="n">
        <x:v>46239.78067015046</x:v>
      </x:c>
      <x:c r="AA52" s="36" t="n">
        <x:v>46239.78067015046</x:v>
      </x:c>
    </x:row>
    <x:row r="53" ht="18" customHeight="1">
      <x:c r="A53" s="36" t="n">
        <x:v>2655</x:v>
      </x:c>
      <x:c r="B53" s="36" t="str">
        <x:v>66876a99-f0e7-5f64-8e65-2ee866d29a52</x:v>
      </x:c>
      <x:c r="C53" s="36" t="str">
        <x:v>Transportstyrelsen</x:v>
      </x:c>
      <x:c r="D53" s="36" t="str">
        <x:v>normalization-review-passenger-250-v1-rules-20260805T184409855703Z</x:v>
      </x:c>
      <x:c r="E53" s="36" t="str">
        <x:v>staging.transportstyrelsen_raw</x:v>
      </x:c>
      <x:c r="F53" s="36" t="n">
        <x:v>2773</x:v>
      </x:c>
      <x:c r="G53" s="36" t="str">
        <x:v>ts-mapping-v1</x:v>
      </x:c>
      <x:c r="H53" s="36" t="str">
        <x:v>ts-review-20260805T184254528647Z</x:v>
      </x:c>
      <x:c r="I53" s="36" t="str">
        <x:v>normalization-pipeline-v4</x:v>
      </x:c>
      <x:c r="J53" s="36" t="str">
        <x:v>provisional</x:v>
      </x:c>
      <x:c r="K53" s="39" t="n">
        <x:v>0.8</x:v>
      </x:c>
      <x:c r="L53" s="36" t="str">
        <x:v>Audi</x:v>
      </x:c>
      <x:c r="M53" s="36"/>
      <x:c r="N53" s="36" t="str">
        <x:v>covered_body</x:v>
      </x:c>
      <x:c r="O53" s="38" t="str">
        <x:v>["petrol"]</x:v>
      </x:c>
      <x:c r="P53" s="36" t="str">
        <x:v>manual</x:v>
      </x:c>
      <x:c r="Q53" s="36" t="n">
        <x:v>1998</x:v>
      </x:c>
      <x:c r="R53" s="38" t="str">
        <x:v>["DATE-REGISTRATION-V1","DATE-PRODUCTION-YEAR-V1","UNIT-POWER-KW-V1","TRN-001","BDY-102","FUEL-001"]</x:v>
      </x:c>
      <x:c r="S53" s="38" t="str">
        <x:v>["MFR-BRAND-PREFIX-FALLBACK"]</x:v>
      </x:c>
      <x:c r="T53" s="38" t="str">
        <x:v>[]</x:v>
      </x:c>
      <x:c r="U53" s="38" t="str">
        <x:v>{"market":["SE"],"power_kw":110,"manufacturer":"Audi","bodywork_form":"covered_body","energy_sources":["petrol"],"production_year":1998,"manufacturer_role":"vehicle_manufacturer","power_source_unit":"kw","registration_date":"1998-06-26","transmission_type":"manual","alias_types_present":["plate","vin"],"builder_converter_names":[],"production_date_precision":"vehicle_year","bodywork_registry_label_sv":"Täckt"}</x:v>
      </x:c>
      <x:c r="V53" s="38" t="str">
        <x:v>{"manufacturer_confirmation":{"source_fields":["brand"],"canonical_name":"Audi"}}</x:v>
      </x:c>
      <x:c r="W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1,8T","target":"normalized","rule_ids":["MFR-CLASSIFY-V1"],"sequence":3,"transformer_id":"ts.manufacturer","confidence_effect":0.2},{"after":"Audi","field":"manufacturer","before":"AUDI A3 1,8T","target":"normalized","rule_ids":["MFR-CLASSIFY-V1"],"sequence":4,"transformer_id":"ts.manufacturer","confidence_effect":0.2},{"after":"vehicle_manufacturer","field":"manufacturer_role","before":"AUDI A3 1,8T","target":"normalized","rule_ids":["MFR-CLASSIFY-V1"],"sequence":5,"transformer_id":"ts.manufacturer","confidence_effect":0.2},{"after":{"source_fields":["brand"],"canonical_name":"Audi"},"field":"manufacturer_confirmation","before":"AUDI A3 1,8T","target":"candidate","rule_ids":["MFR-BRAND-PREFIX-FALLBACK"],"sequence":6,"transformer_id":"ts.manufacturer","confidence_effect":0.05},{"after":"vehicle_year","field":"production_date_precision","before":{"vehicle_year":1998,"registration_date":"19980626"},"target":"normalized","rule_ids":["DATE-REGISTRATION-V1","DATE-PRODUCTION-YEAR-V1"],"sequence":7,"transformer_id":"ts.dates","confidence_effect":0.1},{"after":1998,"field":"production_year","before":{"vehicle_year":1998,"registration_date":"19980626"},"target":"normalized","rule_ids":["DATE-REGISTRATION-V1","DATE-PRODUCTION-YEAR-V1"],"sequence":8,"transformer_id":"ts.dates","confidence_effect":0.1},{"after":"1998-06-26","field":"registration_date","before":{"vehicle_year":1998,"registration_date":"19980626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LAGUF1","version":"FM52J013R92M"},"target":"normalized","rule_ids":["TRN-001"],"sequence":12,"transformer_id":"ts.transmission","confidence_effect":0.1},{"after":"covered_body","field":"bodywork_form","before":{"variant":"LAGUF1","version":"FM52J013R92M","body_code":"01","eu_category":"M1","vehicle_type":"PB"},"target":"normalized","rule_ids":["BDY-102"],"sequence":13,"transformer_id":"ts.bodywork","confidence_effect":0.1},{"after":"Täckt","field":"bodywork_registry_label_sv","before":{"variant":"LAGUF1","version":"FM52J013R92M","body_code":"01","eu_category":"M1","vehicle_type":"PB"},"target":"normalized","rule_ids":["BDY-102"],"sequence":14,"transformer_id":"ts.bodywork","confidence_effect":0.1},{"after":["petrol"],"field":"energy_sources","before":{"fuel1":"1","fuel2":"0","fuel3":"0","variant":"LAGUF1","version":"FM52J013R92M"},"target":"normalized","rule_ids":["FUEL-001"],"sequence":15,"transformer_id":"ts.fuel","confidence_effect":0.0}]</x:v>
      </x:c>
      <x:c r="X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" s="38" t="str">
        <x:v>{"candidates":{"manufacturer_confirmation":{"source_fields":["brand"],"canonical_name":"Audi"}},"confidence":0.8,"normalized":{"market":["SE"],"power_kw":110,"manufacturer":"Audi","bodywork_form":"covered_body","energy_sources":["petrol"],"production_year":1998,"manufacturer_role":"vehicle_manufacturer","power_source_unit":"kw","registration_date":"1998-06-26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1,8T","target":"normalized","rule_ids":["MFR-CLASSIFY-V1"],"sequence":3,"transformer_id":"ts.manufacturer","confidence_effect":0.2},{"after":"Audi","field":"manufacturer","before":"AUDI A3 1,8T","target":"normalized","rule_ids":["MFR-CLASSIFY-V1"],"sequence":4,"transformer_id":"ts.manufacturer","confidence_effect":0.2},{"after":"vehicle_manufacturer","field":"manufacturer_role","before":"AUDI A3 1,8T","target":"normalized","rule_ids":["MFR-CLASSIFY-V1"],"sequence":5,"transformer_id":"ts.manufacturer","confidence_effect":0.2},{"after":{"source_fields":["brand"],"canonical_name":"Audi"},"field":"manufacturer_confirmation","before":"AUDI A3 1,8T","target":"candidate","rule_ids":["MFR-BRAND-PREFIX-FALLBACK"],"sequence":6,"transformer_id":"ts.manufacturer","confidence_effect":0.05},{"after":"vehicle_year","field":"production_date_precision","before":{"vehicle_year":1998,"registration_date":"19980626"},"target":"normalized","rule_ids":["DATE-REGISTRATION-V1","DATE-PRODUCTION-YEAR-V1"],"sequence":7,"transformer_id":"ts.dates","confidence_effect":0.1},{"after":1998,"field":"production_year","before":{"vehicle_year":1998,"registration_date":"19980626"},"target":"normalized","rule_ids":["DATE-REGISTRATION-V1","DATE-PRODUCTION-YEAR-V1"],"sequence":8,"transformer_id":"ts.dates","confidence_effect":0.1},{"after":"1998-06-26","field":"registration_date","before":{"vehicle_year":1998,"registration_date":"19980626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LAGUF1","version":"FM52J013R92M"},"target":"normalized","rule_ids":["TRN-001"],"sequence":12,"transformer_id":"ts.transmission","confidence_effect":0.1},{"after":"covered_body","field":"bodywork_form","before":{"variant":"LAGUF1","version":"FM52J013R92M","body_code":"01","eu_category":"M1","vehicle_type":"PB"},"target":"normalized","rule_ids":["BDY-102"],"sequence":13,"transformer_id":"ts.bodywork","confidence_effect":0.1},{"after":"Täckt","field":"bodywork_registry_label_sv","before":{"variant":"LAGUF1","version":"FM52J013R92M","body_code":"01","eu_category":"M1","vehicle_type":"PB"},"target":"normalized","rule_ids":["BDY-102"],"sequence":14,"transformer_id":"ts.bodywork","confidence_effect":0.1},{"after":["petrol"],"field":"energy_sources","before":{"fuel1":"1","fuel2":"0","fuel3":"0","variant":"LAGUF1","version":"FM52J013R92M"},"target":"normalized","rule_ids":["FUEL-001"],"sequence":15,"transformer_id":"ts.fuel","confidence_effect":0.0}],"pipeline_version":"normalization-pipeline-v4","candidate_rule_ids":["MFR-BRAND-PREFIX-FALLBACK"]}</x:v>
      </x:c>
      <x:c r="Z53" s="36" t="n">
        <x:v>46239.78067015046</x:v>
      </x:c>
      <x:c r="AA53" s="36" t="n">
        <x:v>46239.78067015046</x:v>
      </x:c>
    </x:row>
    <x:row r="54" ht="18" customHeight="1">
      <x:c r="A54" s="36" t="n">
        <x:v>2656</x:v>
      </x:c>
      <x:c r="B54" s="36" t="str">
        <x:v>16dfc2c4-0540-5a43-884d-0dd34d2c763f</x:v>
      </x:c>
      <x:c r="C54" s="36" t="str">
        <x:v>Transportstyrelsen</x:v>
      </x:c>
      <x:c r="D54" s="36" t="str">
        <x:v>normalization-review-passenger-250-v1-rules-20260805T184409855703Z</x:v>
      </x:c>
      <x:c r="E54" s="36" t="str">
        <x:v>staging.transportstyrelsen_raw</x:v>
      </x:c>
      <x:c r="F54" s="36" t="n">
        <x:v>2774</x:v>
      </x:c>
      <x:c r="G54" s="36" t="str">
        <x:v>ts-mapping-v1</x:v>
      </x:c>
      <x:c r="H54" s="36" t="str">
        <x:v>ts-review-20260805T184254528647Z</x:v>
      </x:c>
      <x:c r="I54" s="36" t="str">
        <x:v>normalization-pipeline-v4</x:v>
      </x:c>
      <x:c r="J54" s="36" t="str">
        <x:v>provisional</x:v>
      </x:c>
      <x:c r="K54" s="39" t="n">
        <x:v>0.8</x:v>
      </x:c>
      <x:c r="L54" s="36" t="str">
        <x:v>Audi</x:v>
      </x:c>
      <x:c r="M54" s="36"/>
      <x:c r="N54" s="36" t="str">
        <x:v>estate</x:v>
      </x:c>
      <x:c r="O54" s="38" t="str">
        <x:v>["petrol"]</x:v>
      </x:c>
      <x:c r="P54" s="36" t="str">
        <x:v>manual</x:v>
      </x:c>
      <x:c r="Q54" s="36" t="n">
        <x:v>1998</x:v>
      </x:c>
      <x:c r="R54" s="38" t="str">
        <x:v>["DATE-REGISTRATION-V1","DATE-PRODUCTION-YEAR-V1","UNIT-POWER-KW-V1","TRN-001","BDY-103","FUEL-001"]</x:v>
      </x:c>
      <x:c r="S54" s="38" t="str">
        <x:v>["MFR-BRAND-PREFIX-FALLBACK"]</x:v>
      </x:c>
      <x:c r="T54" s="38" t="str">
        <x:v>[]</x:v>
      </x:c>
      <x:c r="U54" s="38" t="str">
        <x:v>{"market":["SE"],"power_kw":110,"manufacturer":"Audi","bodywork_form":"estate","energy_sources":["petrol"],"production_year":1998,"manufacturer_role":"vehicle_manufacturer","power_source_unit":"kw","registration_date":"1998-12-16","transmission_type":"manual","alias_types_present":["plate","vin"],"builder_converter_names":[],"production_date_precision":"vehicle_year","bodywork_registry_label_sv":"Kombi"}</x:v>
      </x:c>
      <x:c r="V54" s="38" t="str">
        <x:v>{"manufacturer_confirmation":{"source_fields":["brand"],"canonical_name":"Audi"}}</x:v>
      </x:c>
      <x:c r="W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AVANT 1,8T","target":"normalized","rule_ids":["MFR-CLASSIFY-V1"],"sequence":3,"transformer_id":"ts.manufacturer","confidence_effect":0.2},{"after":"Audi","field":"manufacturer","before":"AUDI A6 AVANT 1,8T","target":"normalized","rule_ids":["MFR-CLASSIFY-V1"],"sequence":4,"transformer_id":"ts.manufacturer","confidence_effect":0.2},{"after":"vehicle_manufacturer","field":"manufacturer_role","before":"AUDI A6 AVANT 1,8T","target":"normalized","rule_ids":["MFR-CLASSIFY-V1"],"sequence":5,"transformer_id":"ts.manufacturer","confidence_effect":0.2},{"after":{"source_fields":["brand"],"canonical_name":"Audi"},"field":"manufacturer_confirmation","before":"AUDI A6 AVANT 1,8T","target":"candidate","rule_ids":["MFR-BRAND-PREFIX-FALLBACK"],"sequence":6,"transformer_id":"ts.manufacturer","confidence_effect":0.05},{"after":"vehicle_year","field":"production_date_precision","before":{"vehicle_year":1998,"registration_date":"19981216"},"target":"normalized","rule_ids":["DATE-REGISTRATION-V1","DATE-PRODUCTION-YEAR-V1"],"sequence":7,"transformer_id":"ts.dates","confidence_effect":0.1},{"after":1998,"field":"production_year","before":{"vehicle_year":1998,"registration_date":"19981216"},"target":"normalized","rule_ids":["DATE-REGISTRATION-V1","DATE-PRODUCTION-YEAR-V1"],"sequence":8,"transformer_id":"ts.dates","confidence_effect":0.1},{"after":"1998-12-16","field":"registration_date","before":{"vehicle_year":1998,"registration_date":"19981216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AAEBF1","version":"FM52CQR92O"},"target":"normalized","rule_ids":["TRN-001"],"sequence":12,"transformer_id":"ts.transmission","confidence_effect":0.1},{"after":"estate","field":"bodywork_form","before":{"variant":"AAEBF1","version":"FM52CQR92O","body_code":"03","eu_category":"M1","vehicle_type":"PB"},"target":"normalized","rule_ids":["BDY-103"],"sequence":13,"transformer_id":"ts.bodywork","confidence_effect":0.1},{"after":"Kombi","field":"bodywork_registry_label_sv","before":{"variant":"AAEBF1","version":"FM52CQR92O","body_code":"03","eu_category":"M1","vehicle_type":"PB"},"target":"normalized","rule_ids":["BDY-103"],"sequence":14,"transformer_id":"ts.bodywork","confidence_effect":0.1},{"after":["petrol"],"field":"energy_sources","before":{"fuel1":"1","fuel2":"0","fuel3":"0","variant":"AAEBF1","version":"FM52CQR92O"},"target":"normalized","rule_ids":["FUEL-001"],"sequence":15,"transformer_id":"ts.fuel","confidence_effect":0.0}]</x:v>
      </x:c>
      <x:c r="X5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" s="38" t="str">
        <x:v>{"candidates":{"manufacturer_confirmation":{"source_fields":["brand"],"canonical_name":"Audi"}},"confidence":0.8,"normalized":{"market":["SE"],"power_kw":110,"manufacturer":"Audi","bodywork_form":"estate","energy_sources":["petrol"],"production_year":1998,"manufacturer_role":"vehicle_manufacturer","power_source_unit":"kw","registration_date":"1998-12-16","transmission_type":"manual","alias_types_present":["plate","vin"]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AVANT 1,8T","target":"normalized","rule_ids":["MFR-CLASSIFY-V1"],"sequence":3,"transformer_id":"ts.manufacturer","confidence_effect":0.2},{"after":"Audi","field":"manufacturer","before":"AUDI A6 AVANT 1,8T","target":"normalized","rule_ids":["MFR-CLASSIFY-V1"],"sequence":4,"transformer_id":"ts.manufacturer","confidence_effect":0.2},{"after":"vehicle_manufacturer","field":"manufacturer_role","before":"AUDI A6 AVANT 1,8T","target":"normalized","rule_ids":["MFR-CLASSIFY-V1"],"sequence":5,"transformer_id":"ts.manufacturer","confidence_effect":0.2},{"after":{"source_fields":["brand"],"canonical_name":"Audi"},"field":"manufacturer_confirmation","before":"AUDI A6 AVANT 1,8T","target":"candidate","rule_ids":["MFR-BRAND-PREFIX-FALLBACK"],"sequence":6,"transformer_id":"ts.manufacturer","confidence_effect":0.05},{"after":"vehicle_year","field":"production_date_precision","before":{"vehicle_year":1998,"registration_date":"19981216"},"target":"normalized","rule_ids":["DATE-REGISTRATION-V1","DATE-PRODUCTION-YEAR-V1"],"sequence":7,"transformer_id":"ts.dates","confidence_effect":0.1},{"after":1998,"field":"production_year","before":{"vehicle_year":1998,"registration_date":"19981216"},"target":"normalized","rule_ids":["DATE-REGISTRATION-V1","DATE-PRODUCTION-YEAR-V1"],"sequence":8,"transformer_id":"ts.dates","confidence_effect":0.1},{"after":"1998-12-16","field":"registration_date","before":{"vehicle_year":1998,"registration_date":"19981216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AAEBF1","version":"FM52CQR92O"},"target":"normalized","rule_ids":["TRN-001"],"sequence":12,"transformer_id":"ts.transmission","confidence_effect":0.1},{"after":"estate","field":"bodywork_form","before":{"variant":"AAEBF1","version":"FM52CQR92O","body_code":"03","eu_category":"M1","vehicle_type":"PB"},"target":"normalized","rule_ids":["BDY-103"],"sequence":13,"transformer_id":"ts.bodywork","confidence_effect":0.1},{"after":"Kombi","field":"bodywork_registry_label_sv","before":{"variant":"AAEBF1","version":"FM52CQR92O","body_code":"03","eu_category":"M1","vehicle_type":"PB"},"target":"normalized","rule_ids":["BDY-103"],"sequence":14,"transformer_id":"ts.bodywork","confidence_effect":0.1},{"after":["petrol"],"field":"energy_sources","before":{"fuel1":"1","fuel2":"0","fuel3":"0","variant":"AAEBF1","version":"FM52CQR92O"},"target":"normalized","rule_ids":["FUEL-001"],"sequence":15,"transformer_id":"ts.fuel","confidence_effect":0.0}],"pipeline_version":"normalization-pipeline-v4","candidate_rule_ids":["MFR-BRAND-PREFIX-FALLBACK"]}</x:v>
      </x:c>
      <x:c r="Z54" s="36" t="n">
        <x:v>46239.78067015046</x:v>
      </x:c>
      <x:c r="AA54" s="36" t="n">
        <x:v>46239.78067015046</x:v>
      </x:c>
    </x:row>
    <x:row r="55" ht="18" customHeight="1">
      <x:c r="A55" s="36" t="n">
        <x:v>2657</x:v>
      </x:c>
      <x:c r="B55" s="36" t="str">
        <x:v>487df48b-15d5-5068-ab81-028ac52f7ca0</x:v>
      </x:c>
      <x:c r="C55" s="36" t="str">
        <x:v>Transportstyrelsen</x:v>
      </x:c>
      <x:c r="D55" s="36" t="str">
        <x:v>normalization-review-passenger-250-v1-rules-20260805T184409855703Z</x:v>
      </x:c>
      <x:c r="E55" s="36" t="str">
        <x:v>staging.transportstyrelsen_raw</x:v>
      </x:c>
      <x:c r="F55" s="36" t="n">
        <x:v>2775</x:v>
      </x:c>
      <x:c r="G55" s="36" t="str">
        <x:v>ts-mapping-v1</x:v>
      </x:c>
      <x:c r="H55" s="36" t="str">
        <x:v>ts-review-20260805T184254528647Z</x:v>
      </x:c>
      <x:c r="I55" s="36" t="str">
        <x:v>normalization-pipeline-v4</x:v>
      </x:c>
      <x:c r="J55" s="36" t="str">
        <x:v>provisional</x:v>
      </x:c>
      <x:c r="K55" s="39" t="n">
        <x:v>0.8</x:v>
      </x:c>
      <x:c r="L55" s="36" t="str">
        <x:v>Volvo</x:v>
      </x:c>
      <x:c r="M55" s="36" t="str">
        <x:v>XC60</x:v>
      </x:c>
      <x:c r="N55" s="36" t="str">
        <x:v>estate</x:v>
      </x:c>
      <x:c r="O55" s="38" t="str">
        <x:v>["petrol","electricity"]</x:v>
      </x:c>
      <x:c r="P55" s="36" t="str">
        <x:v>automatic</x:v>
      </x:c>
      <x:c r="Q55" s="36" t="n">
        <x:v>2020</x:v>
      </x:c>
      <x:c r="R55" s="38" t="str">
        <x:v>["MFR-102","DATE-REGISTRATION-V1","DATE-PRODUCTION-MONTH-V1","UNIT-POWER-KW-V1","UNIT-DISPLACEMENT-CCM-V1","TRN-002","BDY-110","FUEL-001","FUEL-003","ELEC-003"]</x:v>
      </x:c>
      <x:c r="S55" s="38" t="str">
        <x:v>["DRV-008"]</x:v>
      </x:c>
      <x:c r="T55" s="38" t="str">
        <x:v>[]</x:v>
      </x:c>
      <x:c r="U55" s="38" t="str">
        <x:v>{"market":["SE"],"power_kw":186,"manufacturer":"Volvo","bodywork_form":"estate","energy_sources":["petrol","electricity"],"displacement_cc":1969,"production_date":"2020-08","production_year":2020,"manufacturer_role":"vehicle_manufacturer","power_source_unit":"kw","registration_date":"2020-10-12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55" s="38" t="str">
        <x:v>{"drive_type":"awd","model_family":"XC60"}</x:v>
      </x:c>
      <x:c r="W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-08","field":"production_date","before":{"build_month":"202008","vehicle_year":2020,"registration_date":"20201012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20201012"},"target":"normalized","rule_ids":["DATE-REGISTRATION-V1","DATE-PRODUCTION-MONTH-V1"],"sequence":9,"transformer_id":"ts.dates","confidence_effect":0.1},{"after":2020,"field":"production_year","before":{"build_month":"202008","vehicle_year":2020,"registration_date":"20201012"},"target":"normalized","rule_ids":["DATE-REGISTRATION-V1","DATE-PRODUCTION-MONTH-V1"],"sequence":10,"transformer_id":"ts.dates","confidence_effect":0.1},{"after":"2020-10-12","field":"registration_date","before":{"build_month":"202008","vehicle_year":2020,"registration_date":"20201012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</x:v>
      </x:c>
      <x:c r="X5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5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2020-08","production_year":2020,"manufacturer_role":"vehicle_manufacturer","power_source_unit":"kw","registration_date":"2020-10-12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2020-08","field":"production_date","before":{"build_month":"202008","vehicle_year":2020,"registration_date":"20201012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20201012"},"target":"normalized","rule_ids":["DATE-REGISTRATION-V1","DATE-PRODUCTION-MONTH-V1"],"sequence":9,"transformer_id":"ts.dates","confidence_effect":0.1},{"after":2020,"field":"production_year","before":{"build_month":"202008","vehicle_year":2020,"registration_date":"20201012"},"target":"normalized","rule_ids":["DATE-REGISTRATION-V1","DATE-PRODUCTION-MONTH-V1"],"sequence":10,"transformer_id":"ts.dates","confidence_effect":0.1},{"after":"2020-10-12","field":"registration_date","before":{"build_month":"202008","vehicle_year":2020,"registration_date":"20201012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55" s="36" t="n">
        <x:v>46239.78067015046</x:v>
      </x:c>
      <x:c r="AA55" s="36" t="n">
        <x:v>46239.78067015046</x:v>
      </x:c>
    </x:row>
    <x:row r="56" ht="18" customHeight="1">
      <x:c r="A56" s="36" t="n">
        <x:v>2658</x:v>
      </x:c>
      <x:c r="B56" s="36" t="str">
        <x:v>e89836b5-2edf-5bfe-b825-cacd3205fa95</x:v>
      </x:c>
      <x:c r="C56" s="36" t="str">
        <x:v>Transportstyrelsen</x:v>
      </x:c>
      <x:c r="D56" s="36" t="str">
        <x:v>normalization-review-passenger-250-v1-rules-20260805T184409855703Z</x:v>
      </x:c>
      <x:c r="E56" s="36" t="str">
        <x:v>staging.transportstyrelsen_raw</x:v>
      </x:c>
      <x:c r="F56" s="36" t="n">
        <x:v>2776</x:v>
      </x:c>
      <x:c r="G56" s="36" t="str">
        <x:v>ts-mapping-v1</x:v>
      </x:c>
      <x:c r="H56" s="36" t="str">
        <x:v>ts-review-20260805T184254528647Z</x:v>
      </x:c>
      <x:c r="I56" s="36" t="str">
        <x:v>normalization-pipeline-v4</x:v>
      </x:c>
      <x:c r="J56" s="36" t="str">
        <x:v>provisional</x:v>
      </x:c>
      <x:c r="K56" s="39" t="n">
        <x:v>0.8</x:v>
      </x:c>
      <x:c r="L56" s="36" t="str">
        <x:v>Volkswagen</x:v>
      </x:c>
      <x:c r="M56" s="36" t="str">
        <x:v>PASSAT</x:v>
      </x:c>
      <x:c r="N56" s="36" t="str">
        <x:v>estate</x:v>
      </x:c>
      <x:c r="O56" s="38" t="str">
        <x:v>["diesel"]</x:v>
      </x:c>
      <x:c r="P56" s="36" t="str">
        <x:v>manual</x:v>
      </x:c>
      <x:c r="Q56" s="36" t="n">
        <x:v>2011</x:v>
      </x:c>
      <x:c r="R56" s="38" t="str">
        <x:v>["MFR-BRAND-CONFIRMED","MFR-BRAND-MODEL","MFR-BRAND-VIN-WMI","DATE-REGISTRATION-V1","DATE-PRODUCTION-MONTH-V1","UNIT-POWER-KW-V1","UNIT-DISPLACEMENT-CCM-V1","TRN-001","BDY-110","FUEL-002"]</x:v>
      </x:c>
      <x:c r="S56" s="38" t="str">
        <x:v>[]</x:v>
      </x:c>
      <x:c r="T56" s="38" t="str">
        <x:v>[]</x:v>
      </x:c>
      <x:c r="U56" s="38" t="str">
        <x:v>{"market":["SE"],"power_kw":103,"manufacturer":"Volkswagen","bodywork_form":"estate","energy_sources":["diesel"],"displacement_cc":1968,"production_date":"2011-12","production_year":2011,"manufacturer_role":"vehicle_manufacturer","power_source_unit":"kw","registration_date":"2012-01-12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6" s="38" t="str">
        <x:v>{"model_family":"PASSAT"}</x:v>
      </x:c>
      <x:c r="W56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2011-12","field":"production_date","before":{"build_month":"201112","vehicle_year":2011,"registration_date":"20120112"},"target":"normalized","rule_ids":["DATE-REGISTRATION-V1","DATE-PRODUCTION-MONTH-V1"],"sequence":9,"transformer_id":"ts.dates","confidence_effect":0.1},{"after":"month","field":"production_date_precision","before":{"build_month":"201112","vehicle_year":2011,"registration_date":"20120112"},"target":"normalized","rule_ids":["DATE-REGISTRATION-V1","DATE-PRODUCTION-MONTH-V1"],"sequence":10,"transformer_id":"ts.dates","confidence_effect":0.1},{"after":2011,"field":"production_year","before":{"build_month":"201112","vehicle_year":2011,"registration_date":"20120112"},"target":"normalized","rule_ids":["DATE-REGISTRATION-V1","DATE-PRODUCTION-MONTH-V1"],"sequence":11,"transformer_id":"ts.dates","confidence_effect":0.1},{"after":"2012-01-12","field":"registration_date","before":{"build_month":"201112","vehicle_year":2011,"registration_date":"20120112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0","version":"FM6FM62Q025STP07MQSNVR2O"},"target":"normalized","rule_ids":["TRN-001"],"sequence":17,"transformer_id":"ts.transmission","confidence_effect":0.1},{"after":"estate","field":"bodywork_form","before":{"model":"PASSAT","variant":"ACCFFBX0","version":"FM6FM62Q025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0","version":"FM6FM62Q025STP07MQSNVR2O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FFBX0","version":"FM6FM62Q025STP07MQSNVR2O"},"target":"normalized","rule_ids":["FUEL-002"],"sequence":20,"transformer_id":"ts.fuel","confidence_effect":0.0}]</x:v>
      </x:c>
      <x:c r="X5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6" s="38" t="str">
        <x:v>{"candidates":{"model_family":"PASSAT"},"confidence":0.8,"normalized":{"market":["SE"],"power_kw":103,"manufacturer":"Volkswagen","bodywork_form":"estate","energy_sources":["diesel"],"displacement_cc":1968,"production_date":"2011-12","production_year":2011,"manufacturer_role":"vehicle_manufacturer","power_source_unit":"kw","registration_date":"2012-01-12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2011-12","field":"production_date","before":{"build_month":"201112","vehicle_year":2011,"registration_date":"20120112"},"target":"normalized","rule_ids":["DATE-REGISTRATION-V1","DATE-PRODUCTION-MONTH-V1"],"sequence":9,"transformer_id":"ts.dates","confidence_effect":0.1},{"after":"month","field":"production_date_precision","before":{"build_month":"201112","vehicle_year":2011,"registration_date":"20120112"},"target":"normalized","rule_ids":["DATE-REGISTRATION-V1","DATE-PRODUCTION-MONTH-V1"],"sequence":10,"transformer_id":"ts.dates","confidence_effect":0.1},{"after":2011,"field":"production_year","before":{"build_month":"201112","vehicle_year":2011,"registration_date":"20120112"},"target":"normalized","rule_ids":["DATE-REGISTRATION-V1","DATE-PRODUCTION-MONTH-V1"],"sequence":11,"transformer_id":"ts.dates","confidence_effect":0.1},{"after":"2012-01-12","field":"registration_date","before":{"build_month":"201112","vehicle_year":2011,"registration_date":"20120112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0","version":"FM6FM62Q025STP07MQSNVR2O"},"target":"normalized","rule_ids":["TRN-001"],"sequence":17,"transformer_id":"ts.transmission","confidence_effect":0.1},{"after":"estate","field":"bodywork_form","before":{"model":"PASSAT","variant":"ACCFFBX0","version":"FM6FM62Q025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0","version":"FM6FM62Q025STP07MQSNVR2O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FFBX0","version":"FM6FM62Q025STP07MQSNVR2O"},"target":"normalized","rule_ids":["FUEL-002"],"sequence":20,"transformer_id":"ts.fuel","confidence_effect":0.0}],"pipeline_version":"normalization-pipeline-v4","candidate_rule_ids":[]}</x:v>
      </x:c>
      <x:c r="Z56" s="36" t="n">
        <x:v>46239.78067015046</x:v>
      </x:c>
      <x:c r="AA56" s="36" t="n">
        <x:v>46239.78067015046</x:v>
      </x:c>
    </x:row>
    <x:row r="57" ht="18" customHeight="1">
      <x:c r="A57" s="36" t="n">
        <x:v>2659</x:v>
      </x:c>
      <x:c r="B57" s="36" t="str">
        <x:v>3e26c548-33bb-5d99-80fa-60d10903bf85</x:v>
      </x:c>
      <x:c r="C57" s="36" t="str">
        <x:v>Transportstyrelsen</x:v>
      </x:c>
      <x:c r="D57" s="36" t="str">
        <x:v>normalization-review-passenger-250-v1-rules-20260805T184409855703Z</x:v>
      </x:c>
      <x:c r="E57" s="36" t="str">
        <x:v>staging.transportstyrelsen_raw</x:v>
      </x:c>
      <x:c r="F57" s="36" t="n">
        <x:v>2777</x:v>
      </x:c>
      <x:c r="G57" s="36" t="str">
        <x:v>ts-mapping-v1</x:v>
      </x:c>
      <x:c r="H57" s="36" t="str">
        <x:v>ts-review-20260805T184254528647Z</x:v>
      </x:c>
      <x:c r="I57" s="36" t="str">
        <x:v>normalization-pipeline-v4</x:v>
      </x:c>
      <x:c r="J57" s="36" t="str">
        <x:v>resolved</x:v>
      </x:c>
      <x:c r="K57" s="39" t="n">
        <x:v>0.95</x:v>
      </x:c>
      <x:c r="L57" s="36" t="str">
        <x:v>Volvo</x:v>
      </x:c>
      <x:c r="M57" s="36"/>
      <x:c r="N57" s="36" t="str">
        <x:v>estate</x:v>
      </x:c>
      <x:c r="O57" s="38" t="str">
        <x:v>["petrol"]</x:v>
      </x:c>
      <x:c r="P57" s="36" t="str">
        <x:v>manual</x:v>
      </x:c>
      <x:c r="Q57" s="36" t="n">
        <x:v>2008</x:v>
      </x:c>
      <x:c r="R57" s="38" t="str">
        <x:v>["MFR-BRAND-CONFIRMED","MFR-BRAND-VIN-WMI","DATE-REGISTRATION-V1","DATE-PRODUCTION-MONTH-V1","UNIT-POWER-KW-V1","UNIT-DISPLACEMENT-CCM-V1","TRN-001","BDY-110","FUEL-001"]</x:v>
      </x:c>
      <x:c r="S57" s="38" t="str">
        <x:v>[]</x:v>
      </x:c>
      <x:c r="T57" s="38" t="str">
        <x:v>[]</x:v>
      </x:c>
      <x:c r="U57" s="38" t="str">
        <x:v>{"market":["SE"],"power_kw":169,"manufacturer":"Volvo","bodywork_form":"estate","energy_sources":["petrol"],"displacement_cc":2521,"production_date":"2008-01","production_year":2008,"manufacturer_role":"vehicle_manufacturer","power_source_unit":"kw","registration_date":"2008-02-12","transmission_type":"manual","alias_types_present":["plate","vin"],"builder_converter_names":[],"displacement_source_unit":"ccm","production_date_precision":"month","bodywork_registry_label_sv":"Stationsvagn (kombivagn)"}</x:v>
      </x:c>
      <x:c r="V57" s="38" t="str">
        <x:v>{}</x:v>
      </x:c>
      <x:c r="W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-01","field":"production_date","before":{"build_month":"200801","vehicle_year":2008,"registration_date":"20080212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20080212"},"target":"normalized","rule_ids":["DATE-REGISTRATION-V1","DATE-PRODUCTION-MONTH-V1"],"sequence":7,"transformer_id":"ts.dates","confidence_effect":0.1},{"after":2008,"field":"production_year","before":{"build_month":"200801","vehicle_year":2008,"registration_date":"20080212"},"target":"normalized","rule_ids":["DATE-REGISTRATION-V1","DATE-PRODUCTION-MONTH-V1"],"sequence":8,"transformer_id":"ts.dates","confidence_effect":0.1},{"after":"2008-02-12","field":"registration_date","before":{"build_month":"200801","vehicle_year":2008,"registration_date":"20080212"},"target":"normalized","rule_ids":["DATE-REGISTRATION-V1","DATE-PRODUCTION-MONTH-V1"],"sequence":9,"transformer_id":"ts.dates","confidence_effect":0.1},{"after":2521,"field":"displacement_cc","before":{"kw":169,"ccm":2521},"target":"normalized","rule_ids":["UNIT-POWER-KW-V1","UNIT-DISPLACEMENT-CCM-V1"],"sequence":10,"transformer_id":"ts.engine-measurements","confidence_effect":0.1},{"after":"ccm","field":"displacement_source_unit","before":{"kw":169,"ccm":2521},"target":"normalized","rule_ids":["UNIT-POWER-KW-V1","UNIT-DISPLACEMENT-CCM-V1"],"sequence":11,"transformer_id":"ts.engine-measurements","confidence_effect":0.1},{"after":169,"field":"power_kw","before":{"kw":169,"ccm":2521},"target":"normalized","rule_ids":["UNIT-POWER-KW-V1","UNIT-DISPLACEMENT-CCM-V1"],"sequence":12,"transformer_id":"ts.engine-measurements","confidence_effect":0.1},{"after":"kw","field":"power_source_unit","before":{"kw":169,"ccm":2521},"target":"normalized","rule_ids":["UNIT-POWER-KW-V1","UNIT-DISPLACEMENT-CCM-V1"],"sequence":13,"transformer_id":"ts.engine-measurements","confidence_effect":0.1},{"after":"manual","field":"transmission_type","before":{"gearbox":"M","variant":"MW67","version":"MW6751??"},"target":"normalized","rule_ids":["TRN-001"],"sequence":14,"transformer_id":"ts.transmission","confidence_effect":0.1},{"after":"estate","field":"bodywork_form","before":{"variant":"MW67","version":"MW6751??","body_code":"AC","eu_category":"M1","vehicle_type":"PB"},"target":"normalized","rule_ids":["BDY-110"],"sequence":15,"transformer_id":"ts.bodywork","confidence_effect":0.1},{"after":"Stationsvagn (kombivagn)","field":"bodywork_registry_label_sv","before":{"variant":"MW67","version":"MW6751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67","version":"MW6751??"},"target":"normalized","rule_ids":["FUEL-001"],"sequence":17,"transformer_id":"ts.fuel","confidence_effect":0.0}]</x:v>
      </x:c>
      <x:c r="X5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" s="38" t="str">
        <x:v>{"candidates":{},"confidence":0.95,"normalized":{"market":["SE"],"power_kw":169,"manufacturer":"Volvo","bodywork_form":"estate","energy_sources":["petrol"],"displacement_cc":2521,"production_date":"2008-01","production_year":2008,"manufacturer_role":"vehicle_manufacturer","power_source_unit":"kw","registration_date":"2008-02-12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-01","field":"production_date","before":{"build_month":"200801","vehicle_year":2008,"registration_date":"20080212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20080212"},"target":"normalized","rule_ids":["DATE-REGISTRATION-V1","DATE-PRODUCTION-MONTH-V1"],"sequence":7,"transformer_id":"ts.dates","confidence_effect":0.1},{"after":2008,"field":"production_year","before":{"build_month":"200801","vehicle_year":2008,"registration_date":"20080212"},"target":"normalized","rule_ids":["DATE-REGISTRATION-V1","DATE-PRODUCTION-MONTH-V1"],"sequence":8,"transformer_id":"ts.dates","confidence_effect":0.1},{"after":"2008-02-12","field":"registration_date","before":{"build_month":"200801","vehicle_year":2008,"registration_date":"20080212"},"target":"normalized","rule_ids":["DATE-REGISTRATION-V1","DATE-PRODUCTION-MONTH-V1"],"sequence":9,"transformer_id":"ts.dates","confidence_effect":0.1},{"after":2521,"field":"displacement_cc","before":{"kw":169,"ccm":2521},"target":"normalized","rule_ids":["UNIT-POWER-KW-V1","UNIT-DISPLACEMENT-CCM-V1"],"sequence":10,"transformer_id":"ts.engine-measurements","confidence_effect":0.1},{"after":"ccm","field":"displacement_source_unit","before":{"kw":169,"ccm":2521},"target":"normalized","rule_ids":["UNIT-POWER-KW-V1","UNIT-DISPLACEMENT-CCM-V1"],"sequence":11,"transformer_id":"ts.engine-measurements","confidence_effect":0.1},{"after":169,"field":"power_kw","before":{"kw":169,"ccm":2521},"target":"normalized","rule_ids":["UNIT-POWER-KW-V1","UNIT-DISPLACEMENT-CCM-V1"],"sequence":12,"transformer_id":"ts.engine-measurements","confidence_effect":0.1},{"after":"kw","field":"power_source_unit","before":{"kw":169,"ccm":2521},"target":"normalized","rule_ids":["UNIT-POWER-KW-V1","UNIT-DISPLACEMENT-CCM-V1"],"sequence":13,"transformer_id":"ts.engine-measurements","confidence_effect":0.1},{"after":"manual","field":"transmission_type","before":{"gearbox":"M","variant":"MW67","version":"MW6751??"},"target":"normalized","rule_ids":["TRN-001"],"sequence":14,"transformer_id":"ts.transmission","confidence_effect":0.1},{"after":"estate","field":"bodywork_form","before":{"variant":"MW67","version":"MW6751??","body_code":"AC","eu_category":"M1","vehicle_type":"PB"},"target":"normalized","rule_ids":["BDY-110"],"sequence":15,"transformer_id":"ts.bodywork","confidence_effect":0.1},{"after":"Stationsvagn (kombivagn)","field":"bodywork_registry_label_sv","before":{"variant":"MW67","version":"MW6751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67","version":"MW6751??"},"target":"normalized","rule_ids":["FUEL-001"],"sequence":17,"transformer_id":"ts.fuel","confidence_effect":0.0}],"pipeline_version":"normalization-pipeline-v4","candidate_rule_ids":[]}</x:v>
      </x:c>
      <x:c r="Z57" s="36" t="n">
        <x:v>46239.78067015046</x:v>
      </x:c>
      <x:c r="AA57" s="36" t="n">
        <x:v>46239.78067015046</x:v>
      </x:c>
    </x:row>
    <x:row r="58" ht="18" customHeight="1">
      <x:c r="A58" s="36" t="n">
        <x:v>2660</x:v>
      </x:c>
      <x:c r="B58" s="36" t="str">
        <x:v>9e521507-c1f6-5e0b-b68a-e242a08f51c9</x:v>
      </x:c>
      <x:c r="C58" s="36" t="str">
        <x:v>Transportstyrelsen</x:v>
      </x:c>
      <x:c r="D58" s="36" t="str">
        <x:v>normalization-review-passenger-250-v1-rules-20260805T184409855703Z</x:v>
      </x:c>
      <x:c r="E58" s="36" t="str">
        <x:v>staging.transportstyrelsen_raw</x:v>
      </x:c>
      <x:c r="F58" s="36" t="n">
        <x:v>2778</x:v>
      </x:c>
      <x:c r="G58" s="36" t="str">
        <x:v>ts-mapping-v1</x:v>
      </x:c>
      <x:c r="H58" s="36" t="str">
        <x:v>ts-review-20260805T184254528647Z</x:v>
      </x:c>
      <x:c r="I58" s="36" t="str">
        <x:v>normalization-pipeline-v4</x:v>
      </x:c>
      <x:c r="J58" s="36" t="str">
        <x:v>resolved</x:v>
      </x:c>
      <x:c r="K58" s="39" t="n">
        <x:v>0.95</x:v>
      </x:c>
      <x:c r="L58" s="36" t="str">
        <x:v>Lincoln</x:v>
      </x:c>
      <x:c r="M58" s="36"/>
      <x:c r="N58" s="36" t="str">
        <x:v>open_body</x:v>
      </x:c>
      <x:c r="O58" s="38" t="str">
        <x:v>["petrol"]</x:v>
      </x:c>
      <x:c r="P58" s="36" t="str">
        <x:v>automatic</x:v>
      </x:c>
      <x:c r="Q58" s="36" t="n">
        <x:v>1966</x:v>
      </x:c>
      <x:c r="R58" s="38" t="str">
        <x:v>["MFR-BRAND-LEGACY-EXACT","DATE-REGISTRATION-V1","DATE-PRODUCTION-YEAR-V1","UNIT-POWER-KW-V1","TRN-002","BDY-116","FUEL-001"]</x:v>
      </x:c>
      <x:c r="S58" s="38" t="str">
        <x:v>[]</x:v>
      </x:c>
      <x:c r="T58" s="38" t="str">
        <x:v>[]</x:v>
      </x:c>
      <x:c r="U58" s="38" t="str">
        <x:v>{"market":["SE"],"power_kw":250,"manufacturer":"Lincoln","bodywork_form":"open_body","energy_sources":["petrol"],"production_year":1966,"manufacturer_role":"vehicle_manufacturer","power_source_unit":"kw","registration_date":"2008-08-22","transmission_type":"automatic","alias_types_present":["plate","vin"],"builder_converter_names":[],"production_date_precision":"model_year","bodywork_registry_label_sv":"Öppet"}</x:v>
      </x:c>
      <x:c r="V58" s="38" t="str">
        <x:v>{}</x:v>
      </x:c>
      <x:c r="W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INCOLN CONTINENTAL","target":"normalized","rule_ids":["MFR-BRAND-LEGACY-EXACT"],"sequence":3,"transformer_id":"ts.manufacturer","confidence_effect":0.2},{"after":"Lincoln","field":"manufacturer","before":"LINCOLN CONTINENTAL","target":"normalized","rule_ids":["MFR-BRAND-LEGACY-EXACT"],"sequence":4,"transformer_id":"ts.manufacturer","confidence_effect":0.2},{"after":"vehicle_manufacturer","field":"manufacturer_role","before":"LINCOLN CONTINENTAL","target":"normalized","rule_ids":["MFR-BRAND-LEGACY-EXACT"],"sequence":5,"transformer_id":"ts.manufacturer","confidence_effect":0.2},{"after":"model_year","field":"production_date_precision","before":{"model_year":1966,"vehicle_year":1966,"registration_date":"20080822"},"target":"normalized","rule_ids":["DATE-REGISTRATION-V1","DATE-PRODUCTION-YEAR-V1"],"sequence":6,"transformer_id":"ts.dates","confidence_effect":0.1},{"after":1966,"field":"production_year","before":{"model_year":1966,"vehicle_year":1966,"registration_date":"20080822"},"target":"normalized","rule_ids":["DATE-REGISTRATION-V1","DATE-PRODUCTION-YEAR-V1"],"sequence":7,"transformer_id":"ts.dates","confidence_effect":0.1},{"after":"2008-08-22","field":"registration_date","before":{"model_year":1966,"vehicle_year":1966,"registration_date":"20080822"},"target":"normalized","rule_ids":["DATE-REGISTRATION-V1","DATE-PRODUCTION-YEAR-V1"],"sequence":8,"transformer_id":"ts.dates","confidence_effect":0.1},{"after":250,"field":"power_kw","before":250,"target":"normalized","rule_ids":["UNIT-POWER-KW-V1"],"sequence":9,"transformer_id":"ts.engine-measurements","confidence_effect":0.1},{"after":"kw","field":"power_source_unit","before":250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58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" s="38" t="str">
        <x:v>{"candidates":{},"confidence":0.95,"normalized":{"market":["SE"],"power_kw":250,"manufacturer":"Lincoln","bodywork_form":"open_body","energy_sources":["petrol"],"production_year":1966,"manufacturer_role":"vehicle_manufacturer","power_source_unit":"kw","registration_date":"2008-08-22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INCOLN CONTINENTAL","target":"normalized","rule_ids":["MFR-BRAND-LEGACY-EXACT"],"sequence":3,"transformer_id":"ts.manufacturer","confidence_effect":0.2},{"after":"Lincoln","field":"manufacturer","before":"LINCOLN CONTINENTAL","target":"normalized","rule_ids":["MFR-BRAND-LEGACY-EXACT"],"sequence":4,"transformer_id":"ts.manufacturer","confidence_effect":0.2},{"after":"vehicle_manufacturer","field":"manufacturer_role","before":"LINCOLN CONTINENTAL","target":"normalized","rule_ids":["MFR-BRAND-LEGACY-EXACT"],"sequence":5,"transformer_id":"ts.manufacturer","confidence_effect":0.2},{"after":"model_year","field":"production_date_precision","before":{"model_year":1966,"vehicle_year":1966,"registration_date":"20080822"},"target":"normalized","rule_ids":["DATE-REGISTRATION-V1","DATE-PRODUCTION-YEAR-V1"],"sequence":6,"transformer_id":"ts.dates","confidence_effect":0.1},{"after":1966,"field":"production_year","before":{"model_year":1966,"vehicle_year":1966,"registration_date":"20080822"},"target":"normalized","rule_ids":["DATE-REGISTRATION-V1","DATE-PRODUCTION-YEAR-V1"],"sequence":7,"transformer_id":"ts.dates","confidence_effect":0.1},{"after":"2008-08-22","field":"registration_date","before":{"model_year":1966,"vehicle_year":1966,"registration_date":"20080822"},"target":"normalized","rule_ids":["DATE-REGISTRATION-V1","DATE-PRODUCTION-YEAR-V1"],"sequence":8,"transformer_id":"ts.dates","confidence_effect":0.1},{"after":250,"field":"power_kw","before":250,"target":"normalized","rule_ids":["UNIT-POWER-KW-V1"],"sequence":9,"transformer_id":"ts.engine-measurements","confidence_effect":0.1},{"after":"kw","field":"power_source_unit","before":250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58" s="36" t="n">
        <x:v>46239.78067015046</x:v>
      </x:c>
      <x:c r="AA58" s="36" t="n">
        <x:v>46239.78067015046</x:v>
      </x:c>
    </x:row>
    <x:row r="59" ht="18" customHeight="1">
      <x:c r="A59" s="36" t="n">
        <x:v>2661</x:v>
      </x:c>
      <x:c r="B59" s="36" t="str">
        <x:v>700c399f-a73b-5b6d-80fd-7cbcb70cbed3</x:v>
      </x:c>
      <x:c r="C59" s="36" t="str">
        <x:v>Transportstyrelsen</x:v>
      </x:c>
      <x:c r="D59" s="36" t="str">
        <x:v>normalization-review-passenger-250-v1-rules-20260805T184409855703Z</x:v>
      </x:c>
      <x:c r="E59" s="36" t="str">
        <x:v>staging.transportstyrelsen_raw</x:v>
      </x:c>
      <x:c r="F59" s="36" t="n">
        <x:v>2779</x:v>
      </x:c>
      <x:c r="G59" s="36" t="str">
        <x:v>ts-mapping-v1</x:v>
      </x:c>
      <x:c r="H59" s="36" t="str">
        <x:v>ts-review-20260805T184254528647Z</x:v>
      </x:c>
      <x:c r="I59" s="36" t="str">
        <x:v>normalization-pipeline-v4</x:v>
      </x:c>
      <x:c r="J59" s="36" t="str">
        <x:v>provisional</x:v>
      </x:c>
      <x:c r="K59" s="39" t="n">
        <x:v>0.8</x:v>
      </x:c>
      <x:c r="L59" s="36" t="str">
        <x:v>Nissan</x:v>
      </x:c>
      <x:c r="M59" s="36" t="str">
        <x:v>NISSAN PULSAR</x:v>
      </x:c>
      <x:c r="N59" s="36" t="str">
        <x:v>multi_purpose_vehicle</x:v>
      </x:c>
      <x:c r="O59" s="38" t="str">
        <x:v>["petrol"]</x:v>
      </x:c>
      <x:c r="P59" s="36" t="str">
        <x:v>manual</x:v>
      </x:c>
      <x:c r="Q59" s="36" t="n">
        <x:v>2015</x:v>
      </x:c>
      <x:c r="R59" s="38" t="str">
        <x:v>["MFR-BRAND-CONFIRMED","MFR-BRAND-MODEL","DATE-REGISTRATION-V1","DATE-PRODUCTION-MONTH-V1","UNIT-POWER-KW-V1","UNIT-DISPLACEMENT-CCM-V1","TRN-001","BDY-113","FUEL-001"]</x:v>
      </x:c>
      <x:c r="S59" s="38" t="str">
        <x:v>[]</x:v>
      </x:c>
      <x:c r="T59" s="38" t="str">
        <x:v>[]</x:v>
      </x:c>
      <x:c r="U59" s="38" t="str">
        <x:v>{"market":["SE"],"power_kw":85,"manufacturer":"Nissan","bodywork_form":"multi_purpose_vehicle","energy_sources":["petrol"],"displacement_cc":1197,"production_date":"2015-06","production_year":2015,"manufacturer_role":"vehicle_manufacturer","power_source_unit":"kw","registration_date":"2016-02-12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9" s="38" t="str">
        <x:v>{"model_family":"NISSAN PULSAR"}</x:v>
      </x:c>
      <x:c r="W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BRAND-CONFIRMED","MFR-BRAND-MODEL"],"sequence":3,"transformer_id":"ts.manufacturer","confidence_effect":0.2},{"after":"Nissan","field":"manufacturer","before":"NISSAN","target":"normalized","rule_ids":["MFR-BRAND-CONFIRMED","MFR-BRAND-MODEL"],"sequence":4,"transformer_id":"ts.manufacturer","confidence_effect":0.2},{"after":"vehicle_manufacturer","field":"manufacturer_role","before":"NISSAN","target":"normalized","rule_ids":["MFR-BRAND-CONFIRMED","MFR-BRAND-MODEL"],"sequence":5,"transformer_id":"ts.manufacturer","confidence_effect":0.2},{"after":true,"field":"model_family_candidate","before":"NISSAN PULSAR","target":"normalized","rule_ids":["MODEL-CANDIDATE-V1"],"sequence":6,"transformer_id":"ts.model-family","confidence_effect":0.0},{"after":"NISSAN PULSAR","field":"model_family","before":"NISSAN PULSAR","target":"candidate","rule_ids":["MODEL-CANDIDATE-V1"],"sequence":7,"transformer_id":"ts.model-family","confidence_effect":0.05},{"after":"2015-06","field":"production_date","before":{"build_month":"201506","vehicle_year":2015,"registration_date":"20160212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20160212"},"target":"normalized","rule_ids":["DATE-REGISTRATION-V1","DATE-PRODUCTION-MONTH-V1"],"sequence":9,"transformer_id":"ts.dates","confidence_effect":0.1},{"after":2015,"field":"production_year","before":{"build_month":"201506","vehicle_year":2015,"registration_date":"20160212"},"target":"normalized","rule_ids":["DATE-REGISTRATION-V1","DATE-PRODUCTION-MONTH-V1"],"sequence":10,"transformer_id":"ts.dates","confidence_effect":0.1},{"after":"2016-02-12","field":"registration_date","before":{"build_month":"201506","vehicle_year":2015,"registration_date":"20160212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NISSAN PULSAR","gearbox":"M","variant":"B","version":"B03"},"target":"normalized","rule_ids":["TRN-001"],"sequence":16,"transformer_id":"ts.transmission","confidence_effect":0.1},{"after":"multi_purpose_vehicle","field":"bodywork_form","before":{"model":"NISSAN PULSAR","variant":"B","version":"B03","body_code":"AF","eu_category":"M1","vehicle_type":"PB"},"target":"normalized","rule_ids":["BDY-113"],"sequence":17,"transformer_id":"ts.bodywork","confidence_effect":0.1},{"after":"Fordon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PULSAR","variant":"B","version":"B03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PULSAR","variant":"B","version":"B03"},"target":"normalized","rule_ids":["FUEL-001"],"sequence":19,"transformer_id":"ts.fuel","confidence_effect":0.0}]</x:v>
      </x:c>
      <x:c r="X5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" s="38" t="str">
        <x:v>{"candidates":{"model_family":"NISSAN PULSAR"},"confidence":0.8,"normalized":{"market":["SE"],"power_kw":85,"manufacturer":"Nissan","bodywork_form":"multi_purpose_vehicle","energy_sources":["petrol"],"displacement_cc":1197,"production_date":"2015-06","production_year":2015,"manufacturer_role":"vehicle_manufacturer","power_source_unit":"kw","registration_date":"2016-02-12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BRAND-CONFIRMED","MFR-BRAND-MODEL"],"sequence":3,"transformer_id":"ts.manufacturer","confidence_effect":0.2},{"after":"Nissan","field":"manufacturer","before":"NISSAN","target":"normalized","rule_ids":["MFR-BRAND-CONFIRMED","MFR-BRAND-MODEL"],"sequence":4,"transformer_id":"ts.manufacturer","confidence_effect":0.2},{"after":"vehicle_manufacturer","field":"manufacturer_role","before":"NISSAN","target":"normalized","rule_ids":["MFR-BRAND-CONFIRMED","MFR-BRAND-MODEL"],"sequence":5,"transformer_id":"ts.manufacturer","confidence_effect":0.2},{"after":true,"field":"model_family_candidate","before":"NISSAN PULSAR","target":"normalized","rule_ids":["MODEL-CANDIDATE-V1"],"sequence":6,"transformer_id":"ts.model-family","confidence_effect":0.0},{"after":"NISSAN PULSAR","field":"model_family","before":"NISSAN PULSAR","target":"candidate","rule_ids":["MODEL-CANDIDATE-V1"],"sequence":7,"transformer_id":"ts.model-family","confidence_effect":0.05},{"after":"2015-06","field":"production_date","before":{"build_month":"201506","vehicle_year":2015,"registration_date":"20160212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20160212"},"target":"normalized","rule_ids":["DATE-REGISTRATION-V1","DATE-PRODUCTION-MONTH-V1"],"sequence":9,"transformer_id":"ts.dates","confidence_effect":0.1},{"after":2015,"field":"production_year","before":{"build_month":"201506","vehicle_year":2015,"registration_date":"20160212"},"target":"normalized","rule_ids":["DATE-REGISTRATION-V1","DATE-PRODUCTION-MONTH-V1"],"sequence":10,"transformer_id":"ts.dates","confidence_effect":0.1},{"after":"2016-02-12","field":"registration_date","before":{"build_month":"201506","vehicle_year":2015,"registration_date":"20160212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NISSAN PULSAR","gearbox":"M","variant":"B","version":"B03"},"target":"normalized","rule_ids":["TRN-001"],"sequence":16,"transformer_id":"ts.transmission","confidence_effect":0.1},{"after":"multi_purpose_vehicle","field":"bodywork_form","before":{"model":"NISSAN PULSAR","variant":"B","version":"B03","body_code":"AF","eu_category":"M1","vehicle_type":"PB"},"target":"normalized","rule_ids":["BDY-113"],"sequence":17,"transformer_id":"ts.bodywork","confidence_effect":0.1},{"after":"Fordon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PULSAR","variant":"B","version":"B03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PULSAR","variant":"B","version":"B03"},"target":"normalized","rule_ids":["FUEL-001"],"sequence":19,"transformer_id":"ts.fuel","confidence_effect":0.0}],"pipeline_version":"normalization-pipeline-v4","candidate_rule_ids":[]}</x:v>
      </x:c>
      <x:c r="Z59" s="36" t="n">
        <x:v>46239.78067015046</x:v>
      </x:c>
      <x:c r="AA59" s="36" t="n">
        <x:v>46239.78067015046</x:v>
      </x:c>
    </x:row>
    <x:row r="60" ht="18" customHeight="1">
      <x:c r="A60" s="36" t="n">
        <x:v>2662</x:v>
      </x:c>
      <x:c r="B60" s="36" t="str">
        <x:v>a2dc6d77-3296-5d8d-a110-5bbe833bcac4</x:v>
      </x:c>
      <x:c r="C60" s="36" t="str">
        <x:v>Transportstyrelsen</x:v>
      </x:c>
      <x:c r="D60" s="36" t="str">
        <x:v>normalization-review-passenger-250-v1-rules-20260805T184409855703Z</x:v>
      </x:c>
      <x:c r="E60" s="36" t="str">
        <x:v>staging.transportstyrelsen_raw</x:v>
      </x:c>
      <x:c r="F60" s="36" t="n">
        <x:v>2780</x:v>
      </x:c>
      <x:c r="G60" s="36" t="str">
        <x:v>ts-mapping-v1</x:v>
      </x:c>
      <x:c r="H60" s="36" t="str">
        <x:v>ts-review-20260805T184254528647Z</x:v>
      </x:c>
      <x:c r="I60" s="36" t="str">
        <x:v>normalization-pipeline-v4</x:v>
      </x:c>
      <x:c r="J60" s="36" t="str">
        <x:v>provisional</x:v>
      </x:c>
      <x:c r="K60" s="39" t="n">
        <x:v>0.8</x:v>
      </x:c>
      <x:c r="L60" s="36" t="str">
        <x:v>Audi</x:v>
      </x:c>
      <x:c r="M60" s="36" t="str">
        <x:v>A3 SPORTBACK</x:v>
      </x:c>
      <x:c r="N60" s="36" t="str">
        <x:v>hatchback</x:v>
      </x:c>
      <x:c r="O60" s="38" t="str">
        <x:v>["petrol"]</x:v>
      </x:c>
      <x:c r="P60" s="36" t="str">
        <x:v>manual</x:v>
      </x:c>
      <x:c r="Q60" s="36" t="n">
        <x:v>2019</x:v>
      </x:c>
      <x:c r="R60" s="38" t="str">
        <x:v>["MFR-102","DATE-REGISTRATION-V1","DATE-PRODUCTION-MONTH-V1","UNIT-POWER-KW-V1","UNIT-DISPLACEMENT-CCM-V1","TRN-001","BDY-109","FUEL-001"]</x:v>
      </x:c>
      <x:c r="S60" s="38" t="str">
        <x:v>[]</x:v>
      </x:c>
      <x:c r="T60" s="38" t="str">
        <x:v>[]</x:v>
      </x:c>
      <x:c r="U60" s="38" t="str">
        <x:v>{"market":["SE"],"power_kw":110,"manufacturer":"Audi","bodywork_form":"hatchback","energy_sources":["petrol"],"displacement_cc":1498,"production_date":"2019-08","production_year":2019,"manufacturer_role":"vehicle_manufacturer","power_source_unit":"kw","registration_date":"2019-10-24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0" s="38" t="str">
        <x:v>{"model_family":"A3 SPORTBACK"}</x:v>
      </x:c>
      <x:c r="W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2019-08","field":"production_date","before":{"build_month":"201908","vehicle_year":2019,"registration_date":"20191024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20191024"},"target":"normalized","rule_ids":["DATE-REGISTRATION-V1","DATE-PRODUCTION-MONTH-V1"],"sequence":9,"transformer_id":"ts.dates","confidence_effect":0.1},{"after":2019,"field":"production_year","before":{"build_month":"201908","vehicle_year":2019,"registration_date":"20191024"},"target":"normalized","rule_ids":["DATE-REGISTRATION-V1","DATE-PRODUCTION-MONTH-V1"],"sequence":10,"transformer_id":"ts.dates","confidence_effect":0.1},{"after":"2019-10-24","field":"registration_date","before":{"build_month":"201908","vehicle_year":2019,"registration_date":"20191024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A3 SPORTBACK","gearbox":"M","variant":"SDPCAF1","version":"FM6FM62S022RT11B164BFAEM1"},"target":"normalized","rule_ids":["TRN-001"],"sequence":16,"transformer_id":"ts.transmission","confidence_effect":0.1},{"after":"hatchback","field":"bodywork_form","before":{"model":"A3 SPORTBACK","variant":"SDPCAF1","version":"FM6FM62S022RT11B164BFAEM1","body_code":"AB","eu_category":"M1","vehicle_type":"PB"},"target":"normalized","rule_ids":["BDY-109"],"sequence":17,"transformer_id":"ts.bodywork","confidence_effect":0.1},{"after":"Halvkombi","field":"bodywork_registry_label_sv","before":{"model":"A3 SPORTBACK","variant":"SDPCAF1","version":"FM6FM62S022RT11B164BFAEM1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SPORTBACK","variant":"SDPCAF1","version":"FM6FM62S022RT11B164BFAEM1"},"target":"normalized","rule_ids":["FUEL-001"],"sequence":19,"transformer_id":"ts.fuel","confidence_effect":0.0}]</x:v>
      </x:c>
      <x:c r="X6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" s="38" t="str">
        <x:v>{"candidates":{"model_family":"A3 SPORTBACK"},"confidence":0.8,"normalized":{"market":["SE"],"power_kw":110,"manufacturer":"Audi","bodywork_form":"hatchback","energy_sources":["petrol"],"displacement_cc":1498,"production_date":"2019-08","production_year":2019,"manufacturer_role":"vehicle_manufacturer","power_source_unit":"kw","registration_date":"2019-10-24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2019-08","field":"production_date","before":{"build_month":"201908","vehicle_year":2019,"registration_date":"20191024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20191024"},"target":"normalized","rule_ids":["DATE-REGISTRATION-V1","DATE-PRODUCTION-MONTH-V1"],"sequence":9,"transformer_id":"ts.dates","confidence_effect":0.1},{"after":2019,"field":"production_year","before":{"build_month":"201908","vehicle_year":2019,"registration_date":"20191024"},"target":"normalized","rule_ids":["DATE-REGISTRATION-V1","DATE-PRODUCTION-MONTH-V1"],"sequence":10,"transformer_id":"ts.dates","confidence_effect":0.1},{"after":"2019-10-24","field":"registration_date","before":{"build_month":"201908","vehicle_year":2019,"registration_date":"20191024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A3 SPORTBACK","gearbox":"M","variant":"SDPCAF1","version":"FM6FM62S022RT11B164BFAEM1"},"target":"normalized","rule_ids":["TRN-001"],"sequence":16,"transformer_id":"ts.transmission","confidence_effect":0.1},{"after":"hatchback","field":"bodywork_form","before":{"model":"A3 SPORTBACK","variant":"SDPCAF1","version":"FM6FM62S022RT11B164BFAEM1","body_code":"AB","eu_category":"M1","vehicle_type":"PB"},"target":"normalized","rule_ids":["BDY-109"],"sequence":17,"transformer_id":"ts.bodywork","confidence_effect":0.1},{"after":"Halvkombi","field":"bodywork_registry_label_sv","before":{"model":"A3 SPORTBACK","variant":"SDPCAF1","version":"FM6FM62S022RT11B164BFAEM1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SPORTBACK","variant":"SDPCAF1","version":"FM6FM62S022RT11B164BFAEM1"},"target":"normalized","rule_ids":["FUEL-001"],"sequence":19,"transformer_id":"ts.fuel","confidence_effect":0.0}],"pipeline_version":"normalization-pipeline-v4","candidate_rule_ids":[]}</x:v>
      </x:c>
      <x:c r="Z60" s="36" t="n">
        <x:v>46239.78067015046</x:v>
      </x:c>
      <x:c r="AA60" s="36" t="n">
        <x:v>46239.78067015046</x:v>
      </x:c>
    </x:row>
    <x:row r="61" ht="18" customHeight="1">
      <x:c r="A61" s="36" t="n">
        <x:v>2663</x:v>
      </x:c>
      <x:c r="B61" s="36" t="str">
        <x:v>9c00809a-2b07-588c-9852-da99c05dc997</x:v>
      </x:c>
      <x:c r="C61" s="36" t="str">
        <x:v>Transportstyrelsen</x:v>
      </x:c>
      <x:c r="D61" s="36" t="str">
        <x:v>normalization-review-passenger-250-v1-rules-20260805T184409855703Z</x:v>
      </x:c>
      <x:c r="E61" s="36" t="str">
        <x:v>staging.transportstyrelsen_raw</x:v>
      </x:c>
      <x:c r="F61" s="36" t="n">
        <x:v>2781</x:v>
      </x:c>
      <x:c r="G61" s="36" t="str">
        <x:v>ts-mapping-v1</x:v>
      </x:c>
      <x:c r="H61" s="36" t="str">
        <x:v>ts-review-20260805T184254528647Z</x:v>
      </x:c>
      <x:c r="I61" s="36" t="str">
        <x:v>normalization-pipeline-v4</x:v>
      </x:c>
      <x:c r="J61" s="36" t="str">
        <x:v>provisional</x:v>
      </x:c>
      <x:c r="K61" s="39" t="n">
        <x:v>0.8</x:v>
      </x:c>
      <x:c r="L61" s="36" t="str">
        <x:v>Porsche</x:v>
      </x:c>
      <x:c r="M61" s="36"/>
      <x:c r="N61" s="36" t="str">
        <x:v>covered_body</x:v>
      </x:c>
      <x:c r="O61" s="38" t="str">
        <x:v>["petrol"]</x:v>
      </x:c>
      <x:c r="P61" s="36" t="str">
        <x:v>manual</x:v>
      </x:c>
      <x:c r="Q61" s="36" t="n">
        <x:v>1979</x:v>
      </x:c>
      <x:c r="R61" s="38" t="str">
        <x:v>["DATE-REGISTRATION-V1","DATE-PRODUCTION-YEAR-V1","UNIT-POWER-KW-V1","TRN-001","BDY-102","FUEL-001"]</x:v>
      </x:c>
      <x:c r="S61" s="38" t="str">
        <x:v>["MFR-BRAND-PREFIX-FALLBACK"]</x:v>
      </x:c>
      <x:c r="T61" s="38" t="str">
        <x:v>[]</x:v>
      </x:c>
      <x:c r="U61" s="38" t="str">
        <x:v>{"market":["SE"],"power_kw":92,"manufacturer":"Porsche","bodywork_form":"covered_body","energy_sources":["petrol"],"production_year":1979,"manufacturer_role":"vehicle_manufacturer","power_source_unit":"kw","registration_date":"1981-01-08","transmission_type":"manual","alias_types_present":["plate","vin"],"builder_converter_names":[],"production_date_precision":"model_year","bodywork_registry_label_sv":"Täckt"}</x:v>
      </x:c>
      <x:c r="V61" s="38" t="str">
        <x:v>{"manufacturer_confirmation":{"source_fields":["brand"],"canonical_name":"Porsche"}}</x:v>
      </x:c>
      <x:c r="W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924 COUPE 477011","target":"normalized","rule_ids":["MFR-CLASSIFY-V1"],"sequence":3,"transformer_id":"ts.manufacturer","confidence_effect":0.2},{"after":"Porsche","field":"manufacturer","before":"PORSCHE 924 COUPE 477011","target":"normalized","rule_ids":["MFR-CLASSIFY-V1"],"sequence":4,"transformer_id":"ts.manufacturer","confidence_effect":0.2},{"after":"vehicle_manufacturer","field":"manufacturer_role","before":"PORSCHE 924 COUPE 477011","target":"normalized","rule_ids":["MFR-CLASSIFY-V1"],"sequence":5,"transformer_id":"ts.manufacturer","confidence_effect":0.2},{"after":{"source_fields":["brand"],"canonical_name":"Porsche"},"field":"manufacturer_confirmation","before":"PORSCHE 924 COUPE 477011","target":"candidate","rule_ids":["MFR-BRAND-PREFIX-FALLBACK"],"sequence":6,"transformer_id":"ts.manufacturer","confidence_effect":0.05},{"after":"model_year","field":"production_date_precision","before":{"model_year":1979,"vehicle_year":1979,"registration_date":"19810108"},"target":"normalized","rule_ids":["DATE-REGISTRATION-V1","DATE-PRODUCTION-YEAR-V1"],"sequence":7,"transformer_id":"ts.dates","confidence_effect":0.1},{"after":1979,"field":"production_year","before":{"model_year":1979,"vehicle_year":1979,"registration_date":"19810108"},"target":"normalized","rule_ids":["DATE-REGISTRATION-V1","DATE-PRODUCTION-YEAR-V1"],"sequence":8,"transformer_id":"ts.dates","confidence_effect":0.1},{"after":"1981-01-08","field":"registration_date","before":{"model_year":1979,"vehicle_year":1979,"registration_date":"19810108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" s="38" t="str">
        <x:v>{"candidates":{"manufacturer_confirmation":{"source_fields":["brand"],"canonical_name":"Porsche"}},"confidence":0.8,"normalized":{"market":["SE"],"power_kw":92,"manufacturer":"Porsche","bodywork_form":"covered_body","energy_sources":["petrol"],"production_year":1979,"manufacturer_role":"vehicle_manufacturer","power_source_unit":"kw","registration_date":"1981-01-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924 COUPE 477011","target":"normalized","rule_ids":["MFR-CLASSIFY-V1"],"sequence":3,"transformer_id":"ts.manufacturer","confidence_effect":0.2},{"after":"Porsche","field":"manufacturer","before":"PORSCHE 924 COUPE 477011","target":"normalized","rule_ids":["MFR-CLASSIFY-V1"],"sequence":4,"transformer_id":"ts.manufacturer","confidence_effect":0.2},{"after":"vehicle_manufacturer","field":"manufacturer_role","before":"PORSCHE 924 COUPE 477011","target":"normalized","rule_ids":["MFR-CLASSIFY-V1"],"sequence":5,"transformer_id":"ts.manufacturer","confidence_effect":0.2},{"after":{"source_fields":["brand"],"canonical_name":"Porsche"},"field":"manufacturer_confirmation","before":"PORSCHE 924 COUPE 477011","target":"candidate","rule_ids":["MFR-BRAND-PREFIX-FALLBACK"],"sequence":6,"transformer_id":"ts.manufacturer","confidence_effect":0.05},{"after":"model_year","field":"production_date_precision","before":{"model_year":1979,"vehicle_year":1979,"registration_date":"19810108"},"target":"normalized","rule_ids":["DATE-REGISTRATION-V1","DATE-PRODUCTION-YEAR-V1"],"sequence":7,"transformer_id":"ts.dates","confidence_effect":0.1},{"after":1979,"field":"production_year","before":{"model_year":1979,"vehicle_year":1979,"registration_date":"19810108"},"target":"normalized","rule_ids":["DATE-REGISTRATION-V1","DATE-PRODUCTION-YEAR-V1"],"sequence":8,"transformer_id":"ts.dates","confidence_effect":0.1},{"after":"1981-01-08","field":"registration_date","before":{"model_year":1979,"vehicle_year":1979,"registration_date":"19810108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1" s="36" t="n">
        <x:v>46239.78067015046</x:v>
      </x:c>
      <x:c r="AA61" s="36" t="n">
        <x:v>46239.78067015046</x:v>
      </x:c>
    </x:row>
    <x:row r="62" ht="18" customHeight="1">
      <x:c r="A62" s="36" t="n">
        <x:v>2664</x:v>
      </x:c>
      <x:c r="B62" s="36" t="str">
        <x:v>48a2e8a5-7c8d-5be8-9544-51862552d966</x:v>
      </x:c>
      <x:c r="C62" s="36" t="str">
        <x:v>Transportstyrelsen</x:v>
      </x:c>
      <x:c r="D62" s="36" t="str">
        <x:v>normalization-review-passenger-250-v1-rules-20260805T184409855703Z</x:v>
      </x:c>
      <x:c r="E62" s="36" t="str">
        <x:v>staging.transportstyrelsen_raw</x:v>
      </x:c>
      <x:c r="F62" s="36" t="n">
        <x:v>2782</x:v>
      </x:c>
      <x:c r="G62" s="36" t="str">
        <x:v>ts-mapping-v1</x:v>
      </x:c>
      <x:c r="H62" s="36" t="str">
        <x:v>ts-review-20260805T184254528647Z</x:v>
      </x:c>
      <x:c r="I62" s="36" t="str">
        <x:v>normalization-pipeline-v4</x:v>
      </x:c>
      <x:c r="J62" s="36" t="str">
        <x:v>provisional</x:v>
      </x:c>
      <x:c r="K62" s="39" t="n">
        <x:v>0.8</x:v>
      </x:c>
      <x:c r="L62" s="36" t="str">
        <x:v>Honda</x:v>
      </x:c>
      <x:c r="M62" s="36" t="str">
        <x:v>HONDA CR-V</x:v>
      </x:c>
      <x:c r="N62" s="36" t="str">
        <x:v>multi_purpose_vehicle</x:v>
      </x:c>
      <x:c r="O62" s="38" t="str">
        <x:v>["diesel"]</x:v>
      </x:c>
      <x:c r="P62" s="36" t="str">
        <x:v>manual</x:v>
      </x:c>
      <x:c r="Q62" s="36" t="n">
        <x:v>2014</x:v>
      </x:c>
      <x:c r="R62" s="38" t="str">
        <x:v>["MFR-BRAND-CONFIRMED","MFR-BRAND-MODEL","DATE-REGISTRATION-V1","DATE-PRODUCTION-YEAR-V1","UNIT-POWER-KW-V1","UNIT-DISPLACEMENT-CCM-V1","TRN-001","BDY-113","FUEL-002"]</x:v>
      </x:c>
      <x:c r="S62" s="38" t="str">
        <x:v>["DRV-008"]</x:v>
      </x:c>
      <x:c r="T62" s="38" t="str">
        <x:v>[]</x:v>
      </x:c>
      <x:c r="U62" s="38" t="str">
        <x:v>{"market":["SE"],"power_kw":110,"manufacturer":"Honda","bodywork_form":"multi_purpose_vehicle","energy_sources":["diesel"],"displacement_cc":2199,"production_year":2014,"manufacturer_role":"vehicle_manufacturer","power_source_unit":"kw","registration_date":"2014-05-22","transmission_type":"manual","alias_types_present":["plate","vin","model_name"],"model_family_candidate":true,"builder_converter_names":[],"displacement_source_unit":"ccm","production_date_precision":"model_year","bodywork_registry_label_sv":"Fordon avsett för flera ändamål"}</x:v>
      </x:c>
      <x:c r="V62" s="38" t="str">
        <x:v>{"drive_type":"awd","model_family":"HONDA CR-V"}</x:v>
      </x:c>
      <x:c r="W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2014,"vehicle_year":2014,"registration_date":"20140522"},"target":"normalized","rule_ids":["DATE-REGISTRATION-V1","DATE-PRODUCTION-YEAR-V1"],"sequence":8,"transformer_id":"ts.dates","confidence_effect":0.1},{"after":2014,"field":"production_year","before":{"model_year":2014,"vehicle_year":2014,"registration_date":"20140522"},"target":"normalized","rule_ids":["DATE-REGISTRATION-V1","DATE-PRODUCTION-YEAR-V1"],"sequence":9,"transformer_id":"ts.dates","confidence_effect":0.1},{"after":"2014-05-22","field":"registration_date","before":{"model_year":2014,"vehicle_year":2014,"registration_date":"20140522"},"target":"normalized","rule_ids":["DATE-REGISTRATION-V1","DATE-PRODUCTION-YEAR-V1"],"sequence":10,"transformer_id":"ts.dates","confidence_effect":0.1},{"after":2199,"field":"displacement_cc","before":{"kw":110,"ccm":2199},"target":"normalized","rule_ids":["UNIT-POWER-KW-V1","UNIT-DISPLACEMENT-CCM-V1"],"sequence":11,"transformer_id":"ts.engine-measurements","confidence_effect":0.1},{"after":"ccm","field":"displacement_source_unit","before":{"kw":110,"ccm":2199},"target":"normalized","rule_ids":["UNIT-POWER-KW-V1","UNIT-DISPLACEMENT-CCM-V1"],"sequence":12,"transformer_id":"ts.engine-measurements","confidence_effect":0.1},{"after":110,"field":"power_kw","before":{"kw":110,"ccm":2199},"target":"normalized","rule_ids":["UNIT-POWER-KW-V1","UNIT-DISPLACEMENT-CCM-V1"],"sequence":13,"transformer_id":"ts.engine-measurements","confidence_effect":0.1},{"after":"kw","field":"power_source_unit","before":{"kw":110,"ccm":2199},"target":"normalized","rule_ids":["UNIT-POWER-KW-V1","UNIT-DISPLACEMENT-CCM-V1"],"sequence":14,"transformer_id":"ts.engine-measurements","confidence_effect":0.1},{"after":"manual","field":"transmission_type","before":{"model":"HONDA CR-V","gearbox":"M","variant":"3","version":"1"},"target":"normalized","rule_ids":["TRN-001"],"sequence":15,"transformer_id":"ts.transmission","confidence_effect":0.1},{"after":"multi_purpose_vehicle","field":"bodywork_form","before":{"model":"HONDA CR-V","variant":"3","version":"1","body_code":"AF","eu_category":"M1","vehicle_type":"PB"},"target":"normalized","rule_ids":["BDY-113"],"sequence":16,"transformer_id":"ts.bodywork","confidence_effect":0.1},{"after":"Fordon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3","version":"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HONDA CR-V","variant":"3","version":"1"},"target":"normalized","rule_ids":["FUEL-002"],"sequence":19,"transformer_id":"ts.fuel","confidence_effect":0.0}]</x:v>
      </x:c>
      <x:c r="X6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2" s="38" t="str">
        <x:v>{"candidates":{"drive_type":"awd","model_family":"HONDA CR-V"},"confidence":0.8,"normalized":{"market":["SE"],"power_kw":110,"manufacturer":"Honda","bodywork_form":"multi_purpose_vehicle","energy_sources":["diesel"],"displacement_cc":2199,"production_year":2014,"manufacturer_role":"vehicle_manufacturer","power_source_unit":"kw","registration_date":"2014-05-22","transmission_type":"manual","alias_types_present":["plate","vin","model_name"],"model_family_candidate":true,"builder_converter_names":[],"displacement_source_unit":"ccm","production_date_precision":"model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2014,"vehicle_year":2014,"registration_date":"20140522"},"target":"normalized","rule_ids":["DATE-REGISTRATION-V1","DATE-PRODUCTION-YEAR-V1"],"sequence":8,"transformer_id":"ts.dates","confidence_effect":0.1},{"after":2014,"field":"production_year","before":{"model_year":2014,"vehicle_year":2014,"registration_date":"20140522"},"target":"normalized","rule_ids":["DATE-REGISTRATION-V1","DATE-PRODUCTION-YEAR-V1"],"sequence":9,"transformer_id":"ts.dates","confidence_effect":0.1},{"after":"2014-05-22","field":"registration_date","before":{"model_year":2014,"vehicle_year":2014,"registration_date":"20140522"},"target":"normalized","rule_ids":["DATE-REGISTRATION-V1","DATE-PRODUCTION-YEAR-V1"],"sequence":10,"transformer_id":"ts.dates","confidence_effect":0.1},{"after":2199,"field":"displacement_cc","before":{"kw":110,"ccm":2199},"target":"normalized","rule_ids":["UNIT-POWER-KW-V1","UNIT-DISPLACEMENT-CCM-V1"],"sequence":11,"transformer_id":"ts.engine-measurements","confidence_effect":0.1},{"after":"ccm","field":"displacement_source_unit","before":{"kw":110,"ccm":2199},"target":"normalized","rule_ids":["UNIT-POWER-KW-V1","UNIT-DISPLACEMENT-CCM-V1"],"sequence":12,"transformer_id":"ts.engine-measurements","confidence_effect":0.1},{"after":110,"field":"power_kw","before":{"kw":110,"ccm":2199},"target":"normalized","rule_ids":["UNIT-POWER-KW-V1","UNIT-DISPLACEMENT-CCM-V1"],"sequence":13,"transformer_id":"ts.engine-measurements","confidence_effect":0.1},{"after":"kw","field":"power_source_unit","before":{"kw":110,"ccm":2199},"target":"normalized","rule_ids":["UNIT-POWER-KW-V1","UNIT-DISPLACEMENT-CCM-V1"],"sequence":14,"transformer_id":"ts.engine-measurements","confidence_effect":0.1},{"after":"manual","field":"transmission_type","before":{"model":"HONDA CR-V","gearbox":"M","variant":"3","version":"1"},"target":"normalized","rule_ids":["TRN-001"],"sequence":15,"transformer_id":"ts.transmission","confidence_effect":0.1},{"after":"multi_purpose_vehicle","field":"bodywork_form","before":{"model":"HONDA CR-V","variant":"3","version":"1","body_code":"AF","eu_category":"M1","vehicle_type":"PB"},"target":"normalized","rule_ids":["BDY-113"],"sequence":16,"transformer_id":"ts.bodywork","confidence_effect":0.1},{"after":"Fordon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3","version":"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HONDA CR-V","variant":"3","version":"1"},"target":"normalized","rule_ids":["FUEL-002"],"sequence":19,"transformer_id":"ts.fuel","confidence_effect":0.0}],"pipeline_version":"normalization-pipeline-v4","candidate_rule_ids":["DRV-008"]}</x:v>
      </x:c>
      <x:c r="Z62" s="36" t="n">
        <x:v>46239.78067015046</x:v>
      </x:c>
      <x:c r="AA62" s="36" t="n">
        <x:v>46239.78067015046</x:v>
      </x:c>
    </x:row>
    <x:row r="63" ht="18" customHeight="1">
      <x:c r="A63" s="36" t="n">
        <x:v>2665</x:v>
      </x:c>
      <x:c r="B63" s="36" t="str">
        <x:v>c9d6a509-cfd8-5cb2-9ead-6dc0f64d1ecd</x:v>
      </x:c>
      <x:c r="C63" s="36" t="str">
        <x:v>Transportstyrelsen</x:v>
      </x:c>
      <x:c r="D63" s="36" t="str">
        <x:v>normalization-review-passenger-250-v1-rules-20260805T184409855703Z</x:v>
      </x:c>
      <x:c r="E63" s="36" t="str">
        <x:v>staging.transportstyrelsen_raw</x:v>
      </x:c>
      <x:c r="F63" s="36" t="n">
        <x:v>2783</x:v>
      </x:c>
      <x:c r="G63" s="36" t="str">
        <x:v>ts-mapping-v1</x:v>
      </x:c>
      <x:c r="H63" s="36" t="str">
        <x:v>ts-review-20260805T184254528647Z</x:v>
      </x:c>
      <x:c r="I63" s="36" t="str">
        <x:v>normalization-pipeline-v4</x:v>
      </x:c>
      <x:c r="J63" s="36" t="str">
        <x:v>provisional</x:v>
      </x:c>
      <x:c r="K63" s="39" t="n">
        <x:v>0.8</x:v>
      </x:c>
      <x:c r="L63" s="36" t="str">
        <x:v>Volvo</x:v>
      </x:c>
      <x:c r="M63" s="36" t="str">
        <x:v>V70</x:v>
      </x:c>
      <x:c r="N63" s="36" t="str">
        <x:v>estate</x:v>
      </x:c>
      <x:c r="O63" s="38" t="str">
        <x:v>["diesel"]</x:v>
      </x:c>
      <x:c r="P63" s="36" t="str">
        <x:v>manual</x:v>
      </x:c>
      <x:c r="Q63" s="36" t="n">
        <x:v>2014</x:v>
      </x:c>
      <x:c r="R63" s="38" t="str">
        <x:v>["MFR-BRAND-CONFIRMED","MFR-BRAND-MODEL","MFR-BRAND-VIN-WMI","DATE-REGISTRATION-V1","DATE-PRODUCTION-MONTH-V1","UNIT-POWER-KW-V1","UNIT-DISPLACEMENT-CCM-V1","TRN-001","BDY-110","FUEL-002"]</x:v>
      </x:c>
      <x:c r="S63" s="38" t="str">
        <x:v>[]</x:v>
      </x:c>
      <x:c r="T63" s="38" t="str">
        <x:v>[]</x:v>
      </x:c>
      <x:c r="U63" s="38" t="str">
        <x:v>{"market":["SE"],"power_kw":120,"manufacturer":"Volvo","bodywork_form":"estate","energy_sources":["diesel"],"displacement_cc":1984,"production_date":"2014-01","production_year":2014,"manufacturer_role":"vehicle_manufacturer","power_source_unit":"kw","registration_date":"2014-01-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3" s="38" t="str">
        <x:v>{"model_family":"V70"}</x:v>
      </x:c>
      <x:c r="W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-01","field":"production_date","before":{"build_month":"201401","vehicle_year":2014,"registration_date":"20140130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20140130"},"target":"normalized","rule_ids":["DATE-REGISTRATION-V1","DATE-PRODUCTION-MONTH-V1"],"sequence":9,"transformer_id":"ts.dates","confidence_effect":0.1},{"after":2014,"field":"production_year","before":{"build_month":"201401","vehicle_year":2014,"registration_date":"20140130"},"target":"normalized","rule_ids":["DATE-REGISTRATION-V1","DATE-PRODUCTION-MONTH-V1"],"sequence":10,"transformer_id":"ts.dates","confidence_effect":0.1},{"after":"2014-01-30","field":"registration_date","before":{"build_month":"201401","vehicle_year":2014,"registration_date":"20140130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70","gearbox":"M","variant":"BW88","version":"BW88A1??"},"target":"normalized","rule_ids":["TRN-001"],"sequence":16,"transformer_id":"ts.transmission","confidence_effect":0.1},{"after":"estate","field":"bodywork_form","before":{"model":"V70","variant":"BW88","version":"BW88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88","version":"BW88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88","version":"BW88A1??"},"target":"normalized","rule_ids":["FUEL-002"],"sequence":19,"transformer_id":"ts.fuel","confidence_effect":0.0}]</x:v>
      </x:c>
      <x:c r="X6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" s="38" t="str">
        <x:v>{"candidates":{"model_family":"V70"},"confidence":0.8,"normalized":{"market":["SE"],"power_kw":120,"manufacturer":"Volvo","bodywork_form":"estate","energy_sources":["diesel"],"displacement_cc":1984,"production_date":"2014-01","production_year":2014,"manufacturer_role":"vehicle_manufacturer","power_source_unit":"kw","registration_date":"2014-01-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-01","field":"production_date","before":{"build_month":"201401","vehicle_year":2014,"registration_date":"20140130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20140130"},"target":"normalized","rule_ids":["DATE-REGISTRATION-V1","DATE-PRODUCTION-MONTH-V1"],"sequence":9,"transformer_id":"ts.dates","confidence_effect":0.1},{"after":2014,"field":"production_year","before":{"build_month":"201401","vehicle_year":2014,"registration_date":"20140130"},"target":"normalized","rule_ids":["DATE-REGISTRATION-V1","DATE-PRODUCTION-MONTH-V1"],"sequence":10,"transformer_id":"ts.dates","confidence_effect":0.1},{"after":"2014-01-30","field":"registration_date","before":{"build_month":"201401","vehicle_year":2014,"registration_date":"20140130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70","gearbox":"M","variant":"BW88","version":"BW88A1??"},"target":"normalized","rule_ids":["TRN-001"],"sequence":16,"transformer_id":"ts.transmission","confidence_effect":0.1},{"after":"estate","field":"bodywork_form","before":{"model":"V70","variant":"BW88","version":"BW88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88","version":"BW88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88","version":"BW88A1??"},"target":"normalized","rule_ids":["FUEL-002"],"sequence":19,"transformer_id":"ts.fuel","confidence_effect":0.0}],"pipeline_version":"normalization-pipeline-v4","candidate_rule_ids":[]}</x:v>
      </x:c>
      <x:c r="Z63" s="36" t="n">
        <x:v>46239.78067015046</x:v>
      </x:c>
      <x:c r="AA63" s="36" t="n">
        <x:v>46239.78067015046</x:v>
      </x:c>
    </x:row>
    <x:row r="64" ht="18" customHeight="1">
      <x:c r="A64" s="36" t="n">
        <x:v>2666</x:v>
      </x:c>
      <x:c r="B64" s="36" t="str">
        <x:v>6eb0d047-faf9-5606-af34-6ca54dbf73ed</x:v>
      </x:c>
      <x:c r="C64" s="36" t="str">
        <x:v>Transportstyrelsen</x:v>
      </x:c>
      <x:c r="D64" s="36" t="str">
        <x:v>normalization-review-passenger-250-v1-rules-20260805T184409855703Z</x:v>
      </x:c>
      <x:c r="E64" s="36" t="str">
        <x:v>staging.transportstyrelsen_raw</x:v>
      </x:c>
      <x:c r="F64" s="36" t="n">
        <x:v>2784</x:v>
      </x:c>
      <x:c r="G64" s="36" t="str">
        <x:v>ts-mapping-v1</x:v>
      </x:c>
      <x:c r="H64" s="36" t="str">
        <x:v>ts-review-20260805T184254528647Z</x:v>
      </x:c>
      <x:c r="I64" s="36" t="str">
        <x:v>normalization-pipeline-v4</x:v>
      </x:c>
      <x:c r="J64" s="36" t="str">
        <x:v>resolved</x:v>
      </x:c>
      <x:c r="K64" s="39" t="n">
        <x:v>0.95</x:v>
      </x:c>
      <x:c r="L64" s="36" t="str">
        <x:v>Saab</x:v>
      </x:c>
      <x:c r="M64" s="36"/>
      <x:c r="N64" s="36" t="str">
        <x:v>estate</x:v>
      </x:c>
      <x:c r="O64" s="38" t="str">
        <x:v>["petrol"]</x:v>
      </x:c>
      <x:c r="P64" s="36" t="str">
        <x:v>manual</x:v>
      </x:c>
      <x:c r="Q64" s="36" t="n">
        <x:v>1996</x:v>
      </x:c>
      <x:c r="R64" s="38" t="str">
        <x:v>["MFE-CC8089323A8D5F","MFR-BRAND-REVIEWED-EXAMPLE","DATE-REGISTRATION-V1","DATE-PRODUCTION-YEAR-V1","UNIT-POWER-KW-V1","TRN-001","BDY-103","FUEL-001"]</x:v>
      </x:c>
      <x:c r="S64" s="38" t="str">
        <x:v>[]</x:v>
      </x:c>
      <x:c r="T64" s="38" t="str">
        <x:v>[]</x:v>
      </x:c>
      <x:c r="U64" s="38" t="str">
        <x:v>{"market":["SE"],"power_kw":96,"manufacturer":"Saab","bodywork_form":"estate","energy_sources":["petrol"],"production_year":1996,"manufacturer_role":"vehicle_manufacturer","power_source_unit":"kw","registration_date":"1996-02-20","transmission_type":"manual","alias_types_present":["plate","vin"],"builder_converter_names":[],"production_date_precision":"model_year","bodywork_registry_label_sv":"Kombi"}</x:v>
      </x:c>
      <x:c r="V64" s="38" t="str">
        <x:v>{}</x:v>
      </x:c>
      <x:c r="W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2,0I DX55J","target":"normalized","rule_ids":["MFE-CC8089323A8D5F","MFR-BRAND-REVIEWED-EXAMPLE"],"sequence":3,"transformer_id":"ts.manufacturer","confidence_effect":0.2},{"after":"Saab","field":"manufacturer","before":"SAAB 900 2,0I DX55J","target":"normalized","rule_ids":["MFE-CC8089323A8D5F","MFR-BRAND-REVIEWED-EXAMPLE"],"sequence":4,"transformer_id":"ts.manufacturer","confidence_effect":0.2},{"after":"vehicle_manufacturer","field":"manufacturer_role","before":"SAAB 900 2,0I DX55J","target":"normalized","rule_ids":["MFE-CC8089323A8D5F","MFR-BRAND-REVIEWED-EXAMPLE"],"sequence":5,"transformer_id":"ts.manufacturer","confidence_effect":0.2},{"after":"model_year","field":"production_date_precision","before":{"model_year":1996,"vehicle_year":1996,"registration_date":"19960220"},"target":"normalized","rule_ids":["DATE-REGISTRATION-V1","DATE-PRODUCTION-YEAR-V1"],"sequence":6,"transformer_id":"ts.dates","confidence_effect":0.1},{"after":1996,"field":"production_year","before":{"model_year":1996,"vehicle_year":1996,"registration_date":"19960220"},"target":"normalized","rule_ids":["DATE-REGISTRATION-V1","DATE-PRODUCTION-YEAR-V1"],"sequence":7,"transformer_id":"ts.dates","confidence_effect":0.1},{"after":"1996-02-20","field":"registration_date","before":{"model_year":1996,"vehicle_year":1996,"registration_date":"19960220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6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" s="38" t="str">
        <x:v>{"candidates":{},"confidence":0.95,"normalized":{"market":["SE"],"power_kw":96,"manufacturer":"Saab","bodywork_form":"estate","energy_sources":["petrol"],"production_year":1996,"manufacturer_role":"vehicle_manufacturer","power_source_unit":"kw","registration_date":"1996-02-20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2,0I DX55J","target":"normalized","rule_ids":["MFE-CC8089323A8D5F","MFR-BRAND-REVIEWED-EXAMPLE"],"sequence":3,"transformer_id":"ts.manufacturer","confidence_effect":0.2},{"after":"Saab","field":"manufacturer","before":"SAAB 900 2,0I DX55J","target":"normalized","rule_ids":["MFE-CC8089323A8D5F","MFR-BRAND-REVIEWED-EXAMPLE"],"sequence":4,"transformer_id":"ts.manufacturer","confidence_effect":0.2},{"after":"vehicle_manufacturer","field":"manufacturer_role","before":"SAAB 900 2,0I DX55J","target":"normalized","rule_ids":["MFE-CC8089323A8D5F","MFR-BRAND-REVIEWED-EXAMPLE"],"sequence":5,"transformer_id":"ts.manufacturer","confidence_effect":0.2},{"after":"model_year","field":"production_date_precision","before":{"model_year":1996,"vehicle_year":1996,"registration_date":"19960220"},"target":"normalized","rule_ids":["DATE-REGISTRATION-V1","DATE-PRODUCTION-YEAR-V1"],"sequence":6,"transformer_id":"ts.dates","confidence_effect":0.1},{"after":1996,"field":"production_year","before":{"model_year":1996,"vehicle_year":1996,"registration_date":"19960220"},"target":"normalized","rule_ids":["DATE-REGISTRATION-V1","DATE-PRODUCTION-YEAR-V1"],"sequence":7,"transformer_id":"ts.dates","confidence_effect":0.1},{"after":"1996-02-20","field":"registration_date","before":{"model_year":1996,"vehicle_year":1996,"registration_date":"19960220"},"target":"normalized","rule_ids":["DATE-REGISTRATION-V1","DATE-PRODUCTION-YEAR-V1"],"sequence":8,"transformer_id":"ts.dates","confidence_effect":0.1},{"after":96,"field":"power_kw","before":96,"target":"normalized","rule_ids":["UNIT-POWER-KW-V1"],"sequence":9,"transformer_id":"ts.engine-measurements","confidence_effect":0.1},{"after":"kw","field":"power_source_unit","before":96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64" s="36" t="n">
        <x:v>46239.78067015046</x:v>
      </x:c>
      <x:c r="AA64" s="36" t="n">
        <x:v>46239.78067015046</x:v>
      </x:c>
    </x:row>
    <x:row r="65" ht="18" customHeight="1">
      <x:c r="A65" s="36" t="n">
        <x:v>2667</x:v>
      </x:c>
      <x:c r="B65" s="36" t="str">
        <x:v>b0c77bd6-0337-57c2-b3f8-8a20559da802</x:v>
      </x:c>
      <x:c r="C65" s="36" t="str">
        <x:v>Transportstyrelsen</x:v>
      </x:c>
      <x:c r="D65" s="36" t="str">
        <x:v>normalization-review-passenger-250-v1-rules-20260805T184409855703Z</x:v>
      </x:c>
      <x:c r="E65" s="36" t="str">
        <x:v>staging.transportstyrelsen_raw</x:v>
      </x:c>
      <x:c r="F65" s="36" t="n">
        <x:v>2785</x:v>
      </x:c>
      <x:c r="G65" s="36" t="str">
        <x:v>ts-mapping-v1</x:v>
      </x:c>
      <x:c r="H65" s="36" t="str">
        <x:v>ts-review-20260805T184254528647Z</x:v>
      </x:c>
      <x:c r="I65" s="36" t="str">
        <x:v>normalization-pipeline-v4</x:v>
      </x:c>
      <x:c r="J65" s="36" t="str">
        <x:v>provisional</x:v>
      </x:c>
      <x:c r="K65" s="39" t="n">
        <x:v>0.8</x:v>
      </x:c>
      <x:c r="L65" s="36" t="str">
        <x:v>Hyundai</x:v>
      </x:c>
      <x:c r="M65" s="36" t="str">
        <x:v>TUCSON</x:v>
      </x:c>
      <x:c r="N65" s="36" t="str">
        <x:v>multi_purpose_vehicle</x:v>
      </x:c>
      <x:c r="O65" s="38" t="str">
        <x:v>["petrol","electricity"]</x:v>
      </x:c>
      <x:c r="P65" s="36" t="str">
        <x:v>automatic</x:v>
      </x:c>
      <x:c r="Q65" s="36" t="n">
        <x:v>2022</x:v>
      </x:c>
      <x:c r="R65" s="38" t="str">
        <x:v>["MFR-102","DATE-REGISTRATION-V1","DATE-PRODUCTION-DAY-V1","UNIT-POWER-KW-V1","UNIT-DISPLACEMENT-CCM-V1","TRN-002","BDY-113","FUEL-001","ELEC-002"]</x:v>
      </x:c>
      <x:c r="S65" s="38" t="str">
        <x:v>["DRV-008"]</x:v>
      </x:c>
      <x:c r="T65" s="38" t="str">
        <x:v>[]</x:v>
      </x:c>
      <x:c r="U65" s="38" t="str">
        <x:v>{"market":["SE"],"power_kw":132,"manufacturer":"Hyundai","bodywork_form":"multi_purpose_vehicle","energy_sources":["petrol","electricity"],"displacement_cc":1598,"production_date":"2022-04-28","production_year":2022,"manufacturer_role":"vehicle_manufacturer","power_source_unit":"kw","registration_date":"2022-06-10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</x:v>
      </x:c>
      <x:c r="V65" s="38" t="str">
        <x:v>{"drive_type":"awd","model_family":"TUCSON"}</x:v>
      </x:c>
      <x:c r="W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NOS"},"target":"normalized","rule_ids":["MFR-102"],"sequence":3,"transformer_id":"ts.manufacturer","confidence_effect":0.2},{"after":"Hyundai","field":"manufacturer","before":{"brand":"HYUNDAI","manufacturer":"HYUNDAI MOTOR MANUFACTURING CZECH S.R.O.,PRUMYSLOVA ZONA NOS"},"target":"normalized","rule_ids":["MFR-102"],"sequence":4,"transformer_id":"ts.manufacturer","confidence_effect":0.2},{"after":"vehicle_manufacturer","field":"manufacturer_role","before":{"brand":"HYUNDAI","manufacturer":"HYUNDAI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5,"transformer_id":"ts.manufacturer","confidence_effect":0.2},{"after":true,"field":"model_family_candidate","before":"TUCSON","target":"normalized","rule_ids":["MODEL-CANDIDATE-V1"],"sequence":6,"transformer_id":"ts.model-family","confidence_effect":0.0},{"after":"TUCSON","field":"model_family","before":"TUCSON","target":"candidate","rule_ids":["MODEL-CANDIDATE-V1"],"sequence":7,"transformer_id":"ts.model-family","confidence_effect":0.05},{"after":"2022-04-28","field":"production_date","before":{"build_date":"20220428","build_month":"202204","vehicle_year":2022,"registration_date":"20220610"},"target":"normalized","rule_ids":["DATE-REGISTRATION-V1","DATE-PRODUCTION-DAY-V1"],"sequence":8,"transformer_id":"ts.dates","confidence_effect":0.1},{"after":"day","field":"production_date_precision","before":{"build_date":"20220428","build_month":"202204","vehicle_year":2022,"registration_date":"20220610"},"target":"normalized","rule_ids":["DATE-REGISTRATION-V1","DATE-PRODUCTION-DAY-V1"],"sequence":9,"transformer_id":"ts.dates","confidence_effect":0.1},{"after":2022,"field":"production_year","before":{"build_date":"20220428","build_month":"202204","vehicle_year":2022,"registration_date":"20220610"},"target":"normalized","rule_ids":["DATE-REGISTRATION-V1","DATE-PRODUCTION-DAY-V1"],"sequence":10,"transformer_id":"ts.dates","confidence_effect":0.1},{"after":"2022-06-10","field":"registration_date","before":{"build_date":"20220428","build_month":"202204","vehicle_year":2022,"registration_date":"20220610"},"target":"normalized","rule_ids":["DATE-REGISTRATION-V1","DATE-PRODUCTION-DAY-V1"],"sequence":11,"transformer_id":"ts.dates","confidence_effect":0.1},{"after":1598,"field":"displacement_cc","before":{"kw":132,"ccm":1598},"target":"normalized","rule_ids":["UNIT-POWER-KW-V1","UNIT-DISPLACEMENT-CCM-V1"],"sequence":12,"transformer_id":"ts.engine-measurements","confidence_effect":0.1},{"after":"ccm","field":"displacement_source_unit","before":{"kw":132,"ccm":1598},"target":"normalized","rule_ids":["UNIT-POWER-KW-V1","UNIT-DISPLACEMENT-CCM-V1"],"sequence":13,"transformer_id":"ts.engine-measurements","confidence_effect":0.1},{"after":132,"field":"power_kw","before":{"kw":132,"ccm":1598},"target":"normalized","rule_ids":["UNIT-POWER-KW-V1","UNIT-DISPLACEMENT-CCM-V1"],"sequence":14,"transformer_id":"ts.engine-measurements","confidence_effect":0.1},{"after":"kw","field":"power_source_unit","before":{"kw":132,"ccm":1598},"target":"normalized","rule_ids":["UNIT-POWER-KW-V1","UNIT-DISPLACEMENT-CCM-V1"],"sequence":15,"transformer_id":"ts.engine-measurements","confidence_effect":0.1},{"after":"automatic","field":"transmission_type","before":{"model":"TUCSON","gearbox":"A","variant":"F5P44","version":"A61B14"},"target":"normalized","rule_ids":["TRN-002"],"sequence":16,"transformer_id":"ts.transmission","confidence_effect":0.1},{"after":"multi_purpose_vehicle","field":"bodywork_form","before":{"model":"TUCSON","variant":"F5P44","version":"A61B14","body_code":"AF","eu_category":"M1","vehicle_type":"PB"},"target":"normalized","rule_ids":["BDY-113"],"sequence":17,"transformer_id":"ts.bodywork","confidence_effect":0.1},{"after":"Fordon avsett för flera ändamål","field":"bodywork_registry_label_sv","before":{"model":"TUCSON","variant":"F5P44","version":"A61B14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TUCSON","variant":"F5P44","version":"A61B14","ev_config":"ELHYBRID"},"target":"normalized","rule_ids":["FUEL-001","ELEC-002"],"sequence":20,"transformer_id":"ts.fuel","confidence_effect":0.0},{"after":["petrol","electricity"],"field":"energy_sources","before":{"fuel1":"1","fuel2":"0","fuel3":"0","model":"TUCSON","variant":"F5P44","version":"A61B14","ev_config":"ELHYBRID"},"target":"normalized","rule_ids":["FUEL-001","ELEC-002"],"sequence":21,"transformer_id":"ts.fuel","confidence_effect":0.0}]</x:v>
      </x:c>
      <x:c r="X6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5" s="38" t="str">
        <x:v>{"candidates":{"drive_type":"awd","model_family":"TUCSON"},"confidence":0.8,"normalized":{"market":["SE"],"power_kw":132,"manufacturer":"Hyundai","bodywork_form":"multi_purpose_vehicle","energy_sources":["petrol","electricity"],"displacement_cc":1598,"production_date":"2022-04-28","production_year":2022,"manufacturer_role":"vehicle_manufacturer","power_source_unit":"kw","registration_date":"2022-06-10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NOS"},"target":"normalized","rule_ids":["MFR-102"],"sequence":3,"transformer_id":"ts.manufacturer","confidence_effect":0.2},{"after":"Hyundai","field":"manufacturer","before":{"brand":"HYUNDAI","manufacturer":"HYUNDAI MOTOR MANUFACTURING CZECH S.R.O.,PRUMYSLOVA ZONA NOS"},"target":"normalized","rule_ids":["MFR-102"],"sequence":4,"transformer_id":"ts.manufacturer","confidence_effect":0.2},{"after":"vehicle_manufacturer","field":"manufacturer_role","before":{"brand":"HYUNDAI","manufacturer":"HYUNDAI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5,"transformer_id":"ts.manufacturer","confidence_effect":0.2},{"after":true,"field":"model_family_candidate","before":"TUCSON","target":"normalized","rule_ids":["MODEL-CANDIDATE-V1"],"sequence":6,"transformer_id":"ts.model-family","confidence_effect":0.0},{"after":"TUCSON","field":"model_family","before":"TUCSON","target":"candidate","rule_ids":["MODEL-CANDIDATE-V1"],"sequence":7,"transformer_id":"ts.model-family","confidence_effect":0.05},{"after":"2022-04-28","field":"production_date","before":{"build_date":"20220428","build_month":"202204","vehicle_year":2022,"registration_date":"20220610"},"target":"normalized","rule_ids":["DATE-REGISTRATION-V1","DATE-PRODUCTION-DAY-V1"],"sequence":8,"transformer_id":"ts.dates","confidence_effect":0.1},{"after":"day","field":"production_date_precision","before":{"build_date":"20220428","build_month":"202204","vehicle_year":2022,"registration_date":"20220610"},"target":"normalized","rule_ids":["DATE-REGISTRATION-V1","DATE-PRODUCTION-DAY-V1"],"sequence":9,"transformer_id":"ts.dates","confidence_effect":0.1},{"after":2022,"field":"production_year","before":{"build_date":"20220428","build_month":"202204","vehicle_year":2022,"registration_date":"20220610"},"target":"normalized","rule_ids":["DATE-REGISTRATION-V1","DATE-PRODUCTION-DAY-V1"],"sequence":10,"transformer_id":"ts.dates","confidence_effect":0.1},{"after":"2022-06-10","field":"registration_date","before":{"build_date":"20220428","build_month":"202204","vehicle_year":2022,"registration_date":"20220610"},"target":"normalized","rule_ids":["DATE-REGISTRATION-V1","DATE-PRODUCTION-DAY-V1"],"sequence":11,"transformer_id":"ts.dates","confidence_effect":0.1},{"after":1598,"field":"displacement_cc","before":{"kw":132,"ccm":1598},"target":"normalized","rule_ids":["UNIT-POWER-KW-V1","UNIT-DISPLACEMENT-CCM-V1"],"sequence":12,"transformer_id":"ts.engine-measurements","confidence_effect":0.1},{"after":"ccm","field":"displacement_source_unit","before":{"kw":132,"ccm":1598},"target":"normalized","rule_ids":["UNIT-POWER-KW-V1","UNIT-DISPLACEMENT-CCM-V1"],"sequence":13,"transformer_id":"ts.engine-measurements","confidence_effect":0.1},{"after":132,"field":"power_kw","before":{"kw":132,"ccm":1598},"target":"normalized","rule_ids":["UNIT-POWER-KW-V1","UNIT-DISPLACEMENT-CCM-V1"],"sequence":14,"transformer_id":"ts.engine-measurements","confidence_effect":0.1},{"after":"kw","field":"power_source_unit","before":{"kw":132,"ccm":1598},"target":"normalized","rule_ids":["UNIT-POWER-KW-V1","UNIT-DISPLACEMENT-CCM-V1"],"sequence":15,"transformer_id":"ts.engine-measurements","confidence_effect":0.1},{"after":"automatic","field":"transmission_type","before":{"model":"TUCSON","gearbox":"A","variant":"F5P44","version":"A61B14"},"target":"normalized","rule_ids":["TRN-002"],"sequence":16,"transformer_id":"ts.transmission","confidence_effect":0.1},{"after":"multi_purpose_vehicle","field":"bodywork_form","before":{"model":"TUCSON","variant":"F5P44","version":"A61B14","body_code":"AF","eu_category":"M1","vehicle_type":"PB"},"target":"normalized","rule_ids":["BDY-113"],"sequence":17,"transformer_id":"ts.bodywork","confidence_effect":0.1},{"after":"Fordon avsett för flera ändamål","field":"bodywork_registry_label_sv","before":{"model":"TUCSON","variant":"F5P44","version":"A61B14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TUCSON","variant":"F5P44","version":"A61B14","ev_config":"ELHYBRID"},"target":"normalized","rule_ids":["FUEL-001","ELEC-002"],"sequence":20,"transformer_id":"ts.fuel","confidence_effect":0.0},{"after":["petrol","electricity"],"field":"energy_sources","before":{"fuel1":"1","fuel2":"0","fuel3":"0","model":"TUCSON","variant":"F5P44","version":"A61B14","ev_config":"ELHYBRID"},"target":"normalized","rule_ids":["FUEL-001","ELEC-002"],"sequence":21,"transformer_id":"ts.fuel","confidence_effect":0.0}],"pipeline_version":"normalization-pipeline-v4","candidate_rule_ids":["DRV-008"]}</x:v>
      </x:c>
      <x:c r="Z65" s="36" t="n">
        <x:v>46239.78067015046</x:v>
      </x:c>
      <x:c r="AA65" s="36" t="n">
        <x:v>46239.78067015046</x:v>
      </x:c>
    </x:row>
    <x:row r="66" ht="18" customHeight="1">
      <x:c r="A66" s="36" t="n">
        <x:v>2668</x:v>
      </x:c>
      <x:c r="B66" s="36" t="str">
        <x:v>25fae2dd-fde4-5547-8c0f-0370bdcc7991</x:v>
      </x:c>
      <x:c r="C66" s="36" t="str">
        <x:v>Transportstyrelsen</x:v>
      </x:c>
      <x:c r="D66" s="36" t="str">
        <x:v>normalization-review-passenger-250-v1-rules-20260805T184409855703Z</x:v>
      </x:c>
      <x:c r="E66" s="36" t="str">
        <x:v>staging.transportstyrelsen_raw</x:v>
      </x:c>
      <x:c r="F66" s="36" t="n">
        <x:v>2786</x:v>
      </x:c>
      <x:c r="G66" s="36" t="str">
        <x:v>ts-mapping-v1</x:v>
      </x:c>
      <x:c r="H66" s="36" t="str">
        <x:v>ts-review-20260805T184254528647Z</x:v>
      </x:c>
      <x:c r="I66" s="36" t="str">
        <x:v>normalization-pipeline-v4</x:v>
      </x:c>
      <x:c r="J66" s="36" t="str">
        <x:v>provisional</x:v>
      </x:c>
      <x:c r="K66" s="39" t="n">
        <x:v>0.8</x:v>
      </x:c>
      <x:c r="L66" s="36" t="str">
        <x:v>Citroën</x:v>
      </x:c>
      <x:c r="M66" s="36"/>
      <x:c r="N66" s="36" t="str">
        <x:v>estate</x:v>
      </x:c>
      <x:c r="O66" s="38" t="str">
        <x:v>["diesel"]</x:v>
      </x:c>
      <x:c r="P66" s="36" t="str">
        <x:v>automatic</x:v>
      </x:c>
      <x:c r="Q66" s="36" t="n">
        <x:v>2007</x:v>
      </x:c>
      <x:c r="R66" s="38" t="str">
        <x:v>["DATE-REGISTRATION-V1","DATE-PRODUCTION-MONTH-V1","UNIT-POWER-KW-V1","UNIT-DISPLACEMENT-CCM-V1","TRN-002","BDY-110","FUEL-002"]</x:v>
      </x:c>
      <x:c r="S66" s="38" t="str">
        <x:v>["MFR-BRAND-PREFIX-FALLBACK"]</x:v>
      </x:c>
      <x:c r="T66" s="38" t="str">
        <x:v>[]</x:v>
      </x:c>
      <x:c r="U66" s="38" t="str">
        <x:v>{"market":["SE"],"power_kw":100,"manufacturer":"Citroën","bodywork_form":"estate","energy_sources":["diesel"],"displacement_cc":1997,"production_date":"2007-02","production_year":2007,"manufacturer_role":"vehicle_manufacturer","power_source_unit":"kw","registration_date":"2007-03-23","transmission_type":"automatic","alias_types_present":["plate","vin"],"builder_converter_names":[],"displacement_source_unit":"ccm","production_date_precision":"month","bodywork_registry_label_sv":"Stationsvagn (kombivagn)"}</x:v>
      </x:c>
      <x:c r="V66" s="38" t="str">
        <x:v>{"manufacturer_confirmation":{"source_fields":["brand"],"canonical_name":"Citroën"}}</x:v>
      </x:c>
      <x:c r="W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C5KB HDI 138 SXA","target":"normalized","rule_ids":["MFR-CLASSIFY-V1"],"sequence":3,"transformer_id":"ts.manufacturer","confidence_effect":0.2},{"after":"Citroën","field":"manufacturer","before":"CITROEN C5KB HDI 138 SXA","target":"normalized","rule_ids":["MFR-CLASSIFY-V1"],"sequence":4,"transformer_id":"ts.manufacturer","confidence_effect":0.2},{"after":"vehicle_manufacturer","field":"manufacturer_role","before":"CITROEN C5KB HDI 138 SXA","target":"normalized","rule_ids":["MFR-CLASSIFY-V1"],"sequence":5,"transformer_id":"ts.manufacturer","confidence_effect":0.2},{"after":{"source_fields":["brand"],"canonical_name":"Citroën"},"field":"manufacturer_confirmation","before":"CITROEN C5KB HDI 138 SXA","target":"candidate","rule_ids":["MFR-BRAND-PREFIX-FALLBACK"],"sequence":6,"transformer_id":"ts.manufacturer","confidence_effect":0.05},{"after":"2007-02","field":"production_date","before":{"build_month":"200702","vehicle_year":2007,"registration_date":"20070323"},"target":"normalized","rule_ids":["DATE-REGISTRATION-V1","DATE-PRODUCTION-MONTH-V1"],"sequence":7,"transformer_id":"ts.dates","confidence_effect":0.1},{"after":"month","field":"production_date_precision","before":{"build_month":"200702","vehicle_year":2007,"registration_date":"20070323"},"target":"normalized","rule_ids":["DATE-REGISTRATION-V1","DATE-PRODUCTION-MONTH-V1"],"sequence":8,"transformer_id":"ts.dates","confidence_effect":0.1},{"after":2007,"field":"production_year","before":{"build_month":"200702","vehicle_year":2007,"registration_date":"20070323"},"target":"normalized","rule_ids":["DATE-REGISTRATION-V1","DATE-PRODUCTION-MONTH-V1"],"sequence":9,"transformer_id":"ts.dates","confidence_effect":0.1},{"after":"2007-03-23","field":"registration_date","before":{"build_month":"200702","vehicle_year":2007,"registration_date":"20070323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automatic","field":"transmission_type","before":{"gearbox":"A","variant":"RERHR*","version":"RERHRJ"},"target":"normalized","rule_ids":["TRN-002"],"sequence":15,"transformer_id":"ts.transmission","confidence_effect":0.1},{"after":"estate","field":"bodywork_form","before":{"variant":"RERHR*","version":"RERHRJ","body_code":"AC","eu_category":"M1","vehicle_type":"PB"},"target":"normalized","rule_ids":["BDY-110"],"sequence":16,"transformer_id":"ts.bodywork","confidence_effect":0.1},{"after":"Stationsvagn (kombivagn)","field":"bodywork_registry_label_sv","before":{"variant":"RERHR*","version":"RERHRJ","body_code":"AC","eu_category":"M1","vehicle_type":"PB"},"target":"normalized","rule_ids":["BDY-110"],"sequence":17,"transformer_id":"ts.bodywork","confidence_effect":0.1},{"after":["diesel"],"field":"energy_sources","before":{"fuel1":"2","fuel2":"0","fuel3":"0","variant":"RERHR*","version":"RERHRJ"},"target":"normalized","rule_ids":["FUEL-002"],"sequence":18,"transformer_id":"ts.fuel","confidence_effect":0.0}]</x:v>
      </x:c>
      <x:c r="X6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6" s="38" t="str">
        <x:v>{"candidates":{"manufacturer_confirmation":{"source_fields":["brand"],"canonical_name":"Citroën"}},"confidence":0.8,"normalized":{"market":["SE"],"power_kw":100,"manufacturer":"Citroën","bodywork_form":"estate","energy_sources":["diesel"],"displacement_cc":1997,"production_date":"2007-02","production_year":2007,"manufacturer_role":"vehicle_manufacturer","power_source_unit":"kw","registration_date":"2007-03-23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C5KB HDI 138 SXA","target":"normalized","rule_ids":["MFR-CLASSIFY-V1"],"sequence":3,"transformer_id":"ts.manufacturer","confidence_effect":0.2},{"after":"Citroën","field":"manufacturer","before":"CITROEN C5KB HDI 138 SXA","target":"normalized","rule_ids":["MFR-CLASSIFY-V1"],"sequence":4,"transformer_id":"ts.manufacturer","confidence_effect":0.2},{"after":"vehicle_manufacturer","field":"manufacturer_role","before":"CITROEN C5KB HDI 138 SXA","target":"normalized","rule_ids":["MFR-CLASSIFY-V1"],"sequence":5,"transformer_id":"ts.manufacturer","confidence_effect":0.2},{"after":{"source_fields":["brand"],"canonical_name":"Citroën"},"field":"manufacturer_confirmation","before":"CITROEN C5KB HDI 138 SXA","target":"candidate","rule_ids":["MFR-BRAND-PREFIX-FALLBACK"],"sequence":6,"transformer_id":"ts.manufacturer","confidence_effect":0.05},{"after":"2007-02","field":"production_date","before":{"build_month":"200702","vehicle_year":2007,"registration_date":"20070323"},"target":"normalized","rule_ids":["DATE-REGISTRATION-V1","DATE-PRODUCTION-MONTH-V1"],"sequence":7,"transformer_id":"ts.dates","confidence_effect":0.1},{"after":"month","field":"production_date_precision","before":{"build_month":"200702","vehicle_year":2007,"registration_date":"20070323"},"target":"normalized","rule_ids":["DATE-REGISTRATION-V1","DATE-PRODUCTION-MONTH-V1"],"sequence":8,"transformer_id":"ts.dates","confidence_effect":0.1},{"after":2007,"field":"production_year","before":{"build_month":"200702","vehicle_year":2007,"registration_date":"20070323"},"target":"normalized","rule_ids":["DATE-REGISTRATION-V1","DATE-PRODUCTION-MONTH-V1"],"sequence":9,"transformer_id":"ts.dates","confidence_effect":0.1},{"after":"2007-03-23","field":"registration_date","before":{"build_month":"200702","vehicle_year":2007,"registration_date":"20070323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automatic","field":"transmission_type","before":{"gearbox":"A","variant":"RERHR*","version":"RERHRJ"},"target":"normalized","rule_ids":["TRN-002"],"sequence":15,"transformer_id":"ts.transmission","confidence_effect":0.1},{"after":"estate","field":"bodywork_form","before":{"variant":"RERHR*","version":"RERHRJ","body_code":"AC","eu_category":"M1","vehicle_type":"PB"},"target":"normalized","rule_ids":["BDY-110"],"sequence":16,"transformer_id":"ts.bodywork","confidence_effect":0.1},{"after":"Stationsvagn (kombivagn)","field":"bodywork_registry_label_sv","before":{"variant":"RERHR*","version":"RERHRJ","body_code":"AC","eu_category":"M1","vehicle_type":"PB"},"target":"normalized","rule_ids":["BDY-110"],"sequence":17,"transformer_id":"ts.bodywork","confidence_effect":0.1},{"after":["diesel"],"field":"energy_sources","before":{"fuel1":"2","fuel2":"0","fuel3":"0","variant":"RERHR*","version":"RERHRJ"},"target":"normalized","rule_ids":["FUEL-002"],"sequence":18,"transformer_id":"ts.fuel","confidence_effect":0.0}],"pipeline_version":"normalization-pipeline-v4","candidate_rule_ids":["MFR-BRAND-PREFIX-FALLBACK"]}</x:v>
      </x:c>
      <x:c r="Z66" s="36" t="n">
        <x:v>46239.78067015046</x:v>
      </x:c>
      <x:c r="AA66" s="36" t="n">
        <x:v>46239.78067015046</x:v>
      </x:c>
    </x:row>
    <x:row r="67" ht="18" customHeight="1">
      <x:c r="A67" s="36" t="n">
        <x:v>2669</x:v>
      </x:c>
      <x:c r="B67" s="36" t="str">
        <x:v>8e290604-7ae4-54e9-9b3c-2ff99eeec095</x:v>
      </x:c>
      <x:c r="C67" s="36" t="str">
        <x:v>Transportstyrelsen</x:v>
      </x:c>
      <x:c r="D67" s="36" t="str">
        <x:v>normalization-review-passenger-250-v1-rules-20260805T184409855703Z</x:v>
      </x:c>
      <x:c r="E67" s="36" t="str">
        <x:v>staging.transportstyrelsen_raw</x:v>
      </x:c>
      <x:c r="F67" s="36" t="n">
        <x:v>2787</x:v>
      </x:c>
      <x:c r="G67" s="36" t="str">
        <x:v>ts-mapping-v1</x:v>
      </x:c>
      <x:c r="H67" s="36" t="str">
        <x:v>ts-review-20260805T184254528647Z</x:v>
      </x:c>
      <x:c r="I67" s="36" t="str">
        <x:v>normalization-pipeline-v4</x:v>
      </x:c>
      <x:c r="J67" s="36" t="str">
        <x:v>provisional</x:v>
      </x:c>
      <x:c r="K67" s="39" t="n">
        <x:v>0.8</x:v>
      </x:c>
      <x:c r="L67" s="36" t="str">
        <x:v>Toyota</x:v>
      </x:c>
      <x:c r="M67" s="36" t="str">
        <x:v>TOYOTA YARIS</x:v>
      </x:c>
      <x:c r="N67" s="36" t="str">
        <x:v>multi_purpose_vehicle</x:v>
      </x:c>
      <x:c r="O67" s="38" t="str">
        <x:v>["petrol"]</x:v>
      </x:c>
      <x:c r="P67" s="36" t="str">
        <x:v>manual</x:v>
      </x:c>
      <x:c r="Q67" s="36" t="n">
        <x:v>2013</x:v>
      </x:c>
      <x:c r="R67" s="38" t="str">
        <x:v>["MFR-BRAND-CONFIRMED","MFR-BRAND-MODEL","DATE-REGISTRATION-V1","DATE-PRODUCTION-MONTH-V1","UNIT-POWER-KW-V1","UNIT-DISPLACEMENT-CCM-V1","TRN-001","BDY-113","FUEL-001"]</x:v>
      </x:c>
      <x:c r="S67" s="38" t="str">
        <x:v>[]</x:v>
      </x:c>
      <x:c r="T67" s="38" t="str">
        <x:v>[]</x:v>
      </x:c>
      <x:c r="U67" s="38" t="str">
        <x:v>{"market":["SE"],"power_kw":73,"manufacturer":"Toyota","bodywork_form":"multi_purpose_vehicle","energy_sources":["petrol"],"displacement_cc":1329,"production_date":"2013-01","production_year":2013,"manufacturer_role":"vehicle_manufacturer","power_source_unit":"kw","registration_date":"2013-03-28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7" s="38" t="str">
        <x:v>{"model_family":"TOYOTA YARIS"}</x:v>
      </x:c>
      <x:c r="W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2013-01","field":"production_date","before":{"build_month":"201301","vehicle_year":2013,"registration_date":"20130328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20130328"},"target":"normalized","rule_ids":["DATE-REGISTRATION-V1","DATE-PRODUCTION-MONTH-V1"],"sequence":9,"transformer_id":"ts.dates","confidence_effect":0.1},{"after":2013,"field":"production_year","before":{"build_month":"201301","vehicle_year":2013,"registration_date":"20130328"},"target":"normalized","rule_ids":["DATE-REGISTRATION-V1","DATE-PRODUCTION-MONTH-V1"],"sequence":10,"transformer_id":"ts.dates","confidence_effect":0.1},{"after":"2013-03-28","field":"registration_date","before":{"build_month":"201301","vehicle_year":2013,"registration_date":"20130328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YARIS","gearbox":"M","variant":"NSP13F(MH)","version":"NSP130L-CHFNKW(2D)"},"target":"normalized","rule_ids":["TRN-001"],"sequence":16,"transformer_id":"ts.transmission","confidence_effect":0.1},{"after":"multi_purpose_vehicle","field":"bodywork_form","before":{"model":"TOYOTA YARIS","variant":"NSP13F(MH)","version":"NSP130L-CHFNKW(2D)","body_code":"AF","eu_category":"M1","vehicle_type":"PB"},"target":"normalized","rule_ids":["BDY-113"],"sequence":17,"transformer_id":"ts.bodywork","confidence_effect":0.1},{"after":"Fordon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NKW(2D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YARIS","variant":"NSP13F(MH)","version":"NSP130L-CHFNKW(2D)"},"target":"normalized","rule_ids":["FUEL-001"],"sequence":19,"transformer_id":"ts.fuel","confidence_effect":0.0}]</x:v>
      </x:c>
      <x:c r="X6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" s="38" t="str">
        <x:v>{"candidates":{"model_family":"TOYOTA YARIS"},"confidence":0.8,"normalized":{"market":["SE"],"power_kw":73,"manufacturer":"Toyota","bodywork_form":"multi_purpose_vehicle","energy_sources":["petrol"],"displacement_cc":1329,"production_date":"2013-01","production_year":2013,"manufacturer_role":"vehicle_manufacturer","power_source_unit":"kw","registration_date":"2013-03-28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2013-01","field":"production_date","before":{"build_month":"201301","vehicle_year":2013,"registration_date":"20130328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20130328"},"target":"normalized","rule_ids":["DATE-REGISTRATION-V1","DATE-PRODUCTION-MONTH-V1"],"sequence":9,"transformer_id":"ts.dates","confidence_effect":0.1},{"after":2013,"field":"production_year","before":{"build_month":"201301","vehicle_year":2013,"registration_date":"20130328"},"target":"normalized","rule_ids":["DATE-REGISTRATION-V1","DATE-PRODUCTION-MONTH-V1"],"sequence":10,"transformer_id":"ts.dates","confidence_effect":0.1},{"after":"2013-03-28","field":"registration_date","before":{"build_month":"201301","vehicle_year":2013,"registration_date":"20130328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YARIS","gearbox":"M","variant":"NSP13F(MH)","version":"NSP130L-CHFNKW(2D)"},"target":"normalized","rule_ids":["TRN-001"],"sequence":16,"transformer_id":"ts.transmission","confidence_effect":0.1},{"after":"multi_purpose_vehicle","field":"bodywork_form","before":{"model":"TOYOTA YARIS","variant":"NSP13F(MH)","version":"NSP130L-CHFNKW(2D)","body_code":"AF","eu_category":"M1","vehicle_type":"PB"},"target":"normalized","rule_ids":["BDY-113"],"sequence":17,"transformer_id":"ts.bodywork","confidence_effect":0.1},{"after":"Fordon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NKW(2D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YARIS","variant":"NSP13F(MH)","version":"NSP130L-CHFNKW(2D)"},"target":"normalized","rule_ids":["FUEL-001"],"sequence":19,"transformer_id":"ts.fuel","confidence_effect":0.0}],"pipeline_version":"normalization-pipeline-v4","candidate_rule_ids":[]}</x:v>
      </x:c>
      <x:c r="Z67" s="36" t="n">
        <x:v>46239.78067015046</x:v>
      </x:c>
      <x:c r="AA67" s="36" t="n">
        <x:v>46239.78067015046</x:v>
      </x:c>
    </x:row>
    <x:row r="68" ht="18" customHeight="1">
      <x:c r="A68" s="36" t="n">
        <x:v>2670</x:v>
      </x:c>
      <x:c r="B68" s="36" t="str">
        <x:v>58df4e32-6586-5b84-97bd-e876d1a036d1</x:v>
      </x:c>
      <x:c r="C68" s="36" t="str">
        <x:v>Transportstyrelsen</x:v>
      </x:c>
      <x:c r="D68" s="36" t="str">
        <x:v>normalization-review-passenger-250-v1-rules-20260805T184409855703Z</x:v>
      </x:c>
      <x:c r="E68" s="36" t="str">
        <x:v>staging.transportstyrelsen_raw</x:v>
      </x:c>
      <x:c r="F68" s="36" t="n">
        <x:v>2788</x:v>
      </x:c>
      <x:c r="G68" s="36" t="str">
        <x:v>ts-mapping-v1</x:v>
      </x:c>
      <x:c r="H68" s="36" t="str">
        <x:v>ts-review-20260805T184254528647Z</x:v>
      </x:c>
      <x:c r="I68" s="36" t="str">
        <x:v>normalization-pipeline-v4</x:v>
      </x:c>
      <x:c r="J68" s="36" t="str">
        <x:v>provisional</x:v>
      </x:c>
      <x:c r="K68" s="39" t="n">
        <x:v>0.8</x:v>
      </x:c>
      <x:c r="L68" s="36" t="str">
        <x:v>Volvo</x:v>
      </x:c>
      <x:c r="M68" s="36" t="str">
        <x:v>XC70</x:v>
      </x:c>
      <x:c r="N68" s="36" t="str">
        <x:v>estate</x:v>
      </x:c>
      <x:c r="O68" s="38" t="str">
        <x:v>["diesel"]</x:v>
      </x:c>
      <x:c r="P68" s="36" t="str">
        <x:v>automatic</x:v>
      </x:c>
      <x:c r="Q68" s="36" t="n">
        <x:v>2014</x:v>
      </x:c>
      <x:c r="R68" s="38" t="str">
        <x:v>["MFR-BRAND-CONFIRMED","MFR-BRAND-MODEL","MFR-BRAND-VIN-WMI","DATE-REGISTRATION-V1","DATE-PRODUCTION-MONTH-V1","UNIT-POWER-KW-V1","UNIT-DISPLACEMENT-CCM-V1","TRN-002","BDY-110","FUEL-002"]</x:v>
      </x:c>
      <x:c r="S68" s="38" t="str">
        <x:v>[]</x:v>
      </x:c>
      <x:c r="T68" s="38" t="str">
        <x:v>[]</x:v>
      </x:c>
      <x:c r="U68" s="38" t="str">
        <x:v>{"market":["SE"],"power_kw":133,"manufacturer":"Volvo","bodywork_form":"estate","energy_sources":["diesel"],"displacement_cc":1969,"production_date":"2014-10","production_year":2014,"manufacturer_role":"vehicle_manufacturer","power_source_unit":"kw","registration_date":"2014-11-06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8" s="38" t="str">
        <x:v>{"model_family":"XC70"}</x:v>
      </x:c>
      <x:c r="W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-10","field":"production_date","before":{"build_month":"201410","vehicle_year":2014,"registration_date":"20141106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20141106"},"target":"normalized","rule_ids":["DATE-REGISTRATION-V1","DATE-PRODUCTION-MONTH-V1"],"sequence":9,"transformer_id":"ts.dates","confidence_effect":0.1},{"after":2014,"field":"production_year","before":{"build_month":"201410","vehicle_year":2014,"registration_date":"20141106"},"target":"normalized","rule_ids":["DATE-REGISTRATION-V1","DATE-PRODUCTION-MONTH-V1"],"sequence":10,"transformer_id":"ts.dates","confidence_effect":0.1},{"after":"2014-11-06","field":"registration_date","before":{"build_month":"201410","vehicle_year":2014,"registration_date":"20141106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XC70","gearbox":"A","variant":"BZ73","version":"BZ73CD??"},"target":"normalized","rule_ids":["TRN-002"],"sequence":16,"transformer_id":"ts.transmission","confidence_effect":0.1},{"after":"estate","field":"bodywork_form","before":{"model":"XC70","variant":"BZ73","version":"BZ73CD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73","version":"BZ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XC70","variant":"BZ73","version":"BZ73CD??"},"target":"normalized","rule_ids":["FUEL-002"],"sequence":19,"transformer_id":"ts.fuel","confidence_effect":0.0}]</x:v>
      </x:c>
      <x:c r="X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8" s="38" t="str">
        <x:v>{"candidates":{"model_family":"XC70"},"confidence":0.8,"normalized":{"market":["SE"],"power_kw":133,"manufacturer":"Volvo","bodywork_form":"estate","energy_sources":["diesel"],"displacement_cc":1969,"production_date":"2014-10","production_year":2014,"manufacturer_role":"vehicle_manufacturer","power_source_unit":"kw","registration_date":"2014-11-06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-10","field":"production_date","before":{"build_month":"201410","vehicle_year":2014,"registration_date":"20141106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20141106"},"target":"normalized","rule_ids":["DATE-REGISTRATION-V1","DATE-PRODUCTION-MONTH-V1"],"sequence":9,"transformer_id":"ts.dates","confidence_effect":0.1},{"after":2014,"field":"production_year","before":{"build_month":"201410","vehicle_year":2014,"registration_date":"20141106"},"target":"normalized","rule_ids":["DATE-REGISTRATION-V1","DATE-PRODUCTION-MONTH-V1"],"sequence":10,"transformer_id":"ts.dates","confidence_effect":0.1},{"after":"2014-11-06","field":"registration_date","before":{"build_month":"201410","vehicle_year":2014,"registration_date":"20141106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XC70","gearbox":"A","variant":"BZ73","version":"BZ73CD??"},"target":"normalized","rule_ids":["TRN-002"],"sequence":16,"transformer_id":"ts.transmission","confidence_effect":0.1},{"after":"estate","field":"bodywork_form","before":{"model":"XC70","variant":"BZ73","version":"BZ73CD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73","version":"BZ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XC70","variant":"BZ73","version":"BZ73CD??"},"target":"normalized","rule_ids":["FUEL-002"],"sequence":19,"transformer_id":"ts.fuel","confidence_effect":0.0}],"pipeline_version":"normalization-pipeline-v4","candidate_rule_ids":[]}</x:v>
      </x:c>
      <x:c r="Z68" s="36" t="n">
        <x:v>46239.78067015046</x:v>
      </x:c>
      <x:c r="AA68" s="36" t="n">
        <x:v>46239.78067015046</x:v>
      </x:c>
    </x:row>
    <x:row r="69" ht="18" customHeight="1">
      <x:c r="A69" s="36" t="n">
        <x:v>2671</x:v>
      </x:c>
      <x:c r="B69" s="36" t="str">
        <x:v>5be7e74c-4dd1-5f03-be93-cc634f535d85</x:v>
      </x:c>
      <x:c r="C69" s="36" t="str">
        <x:v>Transportstyrelsen</x:v>
      </x:c>
      <x:c r="D69" s="36" t="str">
        <x:v>normalization-review-passenger-250-v1-rules-20260805T184409855703Z</x:v>
      </x:c>
      <x:c r="E69" s="36" t="str">
        <x:v>staging.transportstyrelsen_raw</x:v>
      </x:c>
      <x:c r="F69" s="36" t="n">
        <x:v>2789</x:v>
      </x:c>
      <x:c r="G69" s="36" t="str">
        <x:v>ts-mapping-v1</x:v>
      </x:c>
      <x:c r="H69" s="36" t="str">
        <x:v>ts-review-20260805T184254528647Z</x:v>
      </x:c>
      <x:c r="I69" s="36" t="str">
        <x:v>normalization-pipeline-v4</x:v>
      </x:c>
      <x:c r="J69" s="36" t="str">
        <x:v>provisional</x:v>
      </x:c>
      <x:c r="K69" s="39" t="n">
        <x:v>0.8</x:v>
      </x:c>
      <x:c r="L69" s="36" t="str">
        <x:v>Volkswagen</x:v>
      </x:c>
      <x:c r="M69" s="36" t="str">
        <x:v>POLO</x:v>
      </x:c>
      <x:c r="N69" s="36" t="str">
        <x:v>hatchback</x:v>
      </x:c>
      <x:c r="O69" s="38" t="str">
        <x:v>["petrol"]</x:v>
      </x:c>
      <x:c r="P69" s="36" t="str">
        <x:v>automatic</x:v>
      </x:c>
      <x:c r="Q69" s="36" t="n">
        <x:v>2013</x:v>
      </x:c>
      <x:c r="R69" s="38" t="str">
        <x:v>["MFR-BRAND-CONFIRMED","MFR-BRAND-MODEL","MFR-BRAND-VIN-WMI","DATE-REGISTRATION-V1","DATE-PRODUCTION-MONTH-V1","UNIT-POWER-KW-V1","UNIT-DISPLACEMENT-CCM-V1","TRN-002","BDY-109","FUEL-001"]</x:v>
      </x:c>
      <x:c r="S69" s="38" t="str">
        <x:v>[]</x:v>
      </x:c>
      <x:c r="T69" s="38" t="str">
        <x:v>[]</x:v>
      </x:c>
      <x:c r="U69" s="38" t="str">
        <x:v>{"market":["SE"],"power_kw":66,"manufacturer":"Volkswagen","bodywork_form":"hatchback","energy_sources":["petrol"],"displacement_cc":1197,"production_date":"2013-10","production_year":2013,"manufacturer_role":"vehicle_manufacturer","power_source_unit":"kw","registration_date":"2013-12-09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69" s="38" t="str">
        <x:v>{"model_family":"POLO"}</x:v>
      </x:c>
      <x:c r="W69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-10","field":"production_date","before":{"build_month":"201310","vehicle_year":2013,"registration_date":"20131209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20131209"},"target":"normalized","rule_ids":["DATE-REGISTRATION-V1","DATE-PRODUCTION-MONTH-V1"],"sequence":10,"transformer_id":"ts.dates","confidence_effect":0.1},{"after":2013,"field":"production_year","before":{"build_month":"201310","vehicle_year":2013,"registration_date":"20131209"},"target":"normalized","rule_ids":["DATE-REGISTRATION-V1","DATE-PRODUCTION-MONTH-V1"],"sequence":11,"transformer_id":"ts.dates","confidence_effect":0.1},{"after":"2013-12-09","field":"registration_date","before":{"build_month":"201310","vehicle_year":2013,"registration_date":"20131209"},"target":"normalized","rule_ids":["DATE-REGISTRATION-V1","DATE-PRODUCTION-MONTH-V1"],"sequence":12,"transformer_id":"ts.dates","confidence_effect":0.1},{"after":1197,"field":"displacement_cc","before":{"kw":66,"ccm":1197},"target":"normalized","rule_ids":["UNIT-POWER-KW-V1","UNIT-DISPLACEMENT-CCM-V1"],"sequence":13,"transformer_id":"ts.engine-measurements","confidence_effect":0.1},{"after":"ccm","field":"displacement_source_unit","before":{"kw":66,"ccm":1197},"target":"normalized","rule_ids":["UNIT-POWER-KW-V1","UNIT-DISPLACEMENT-CCM-V1"],"sequence":14,"transformer_id":"ts.engine-measurements","confidence_effect":0.1},{"after":66,"field":"power_kw","before":{"kw":66,"ccm":1197},"target":"normalized","rule_ids":["UNIT-POWER-KW-V1","UNIT-DISPLACEMENT-CCM-V1"],"sequence":15,"transformer_id":"ts.engine-measurements","confidence_effect":0.1},{"after":"kw","field":"power_source_unit","before":{"kw":66,"ccm":1197},"target":"normalized","rule_ids":["UNIT-POWER-KW-V1","UNIT-DISPLACEMENT-CCM-V1"],"sequence":16,"transformer_id":"ts.engine-measurements","confidence_effect":0.1},{"after":"automatic","field":"transmission_type","before":{"model":"POLO","gearbox":"A","variant":"ABCBZC","version":"FD7FD7AM017LLNVR07MJ"},"target":"normalized","rule_ids":["TRN-002"],"sequence":17,"transformer_id":"ts.transmission","confidence_effect":0.1},{"after":"hatchback","field":"bodywork_form","before":{"model":"POLO","variant":"ABCBZC","version":"FD7FD7AM017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BZC","version":"FD7FD7AM017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BZC","version":"FD7FD7AM017LLNVR07MJ"},"target":"normalized","rule_ids":["FUEL-001"],"sequence":20,"transformer_id":"ts.fuel","confidence_effect":0.0}]</x:v>
      </x:c>
      <x:c r="X69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" s="38" t="str">
        <x:v>{"candidates":{"model_family":"POLO"},"confidence":0.8,"normalized":{"market":["SE"],"power_kw":66,"manufacturer":"Volkswagen","bodywork_form":"hatchback","energy_sources":["petrol"],"displacement_cc":1197,"production_date":"2013-10","production_year":2013,"manufacturer_role":"vehicle_manufacturer","power_source_unit":"kw","registration_date":"2013-12-09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-10","field":"production_date","before":{"build_month":"201310","vehicle_year":2013,"registration_date":"20131209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20131209"},"target":"normalized","rule_ids":["DATE-REGISTRATION-V1","DATE-PRODUCTION-MONTH-V1"],"sequence":10,"transformer_id":"ts.dates","confidence_effect":0.1},{"after":2013,"field":"production_year","before":{"build_month":"201310","vehicle_year":2013,"registration_date":"20131209"},"target":"normalized","rule_ids":["DATE-REGISTRATION-V1","DATE-PRODUCTION-MONTH-V1"],"sequence":11,"transformer_id":"ts.dates","confidence_effect":0.1},{"after":"2013-12-09","field":"registration_date","before":{"build_month":"201310","vehicle_year":2013,"registration_date":"20131209"},"target":"normalized","rule_ids":["DATE-REGISTRATION-V1","DATE-PRODUCTION-MONTH-V1"],"sequence":12,"transformer_id":"ts.dates","confidence_effect":0.1},{"after":1197,"field":"displacement_cc","before":{"kw":66,"ccm":1197},"target":"normalized","rule_ids":["UNIT-POWER-KW-V1","UNIT-DISPLACEMENT-CCM-V1"],"sequence":13,"transformer_id":"ts.engine-measurements","confidence_effect":0.1},{"after":"ccm","field":"displacement_source_unit","before":{"kw":66,"ccm":1197},"target":"normalized","rule_ids":["UNIT-POWER-KW-V1","UNIT-DISPLACEMENT-CCM-V1"],"sequence":14,"transformer_id":"ts.engine-measurements","confidence_effect":0.1},{"after":66,"field":"power_kw","before":{"kw":66,"ccm":1197},"target":"normalized","rule_ids":["UNIT-POWER-KW-V1","UNIT-DISPLACEMENT-CCM-V1"],"sequence":15,"transformer_id":"ts.engine-measurements","confidence_effect":0.1},{"after":"kw","field":"power_source_unit","before":{"kw":66,"ccm":1197},"target":"normalized","rule_ids":["UNIT-POWER-KW-V1","UNIT-DISPLACEMENT-CCM-V1"],"sequence":16,"transformer_id":"ts.engine-measurements","confidence_effect":0.1},{"after":"automatic","field":"transmission_type","before":{"model":"POLO","gearbox":"A","variant":"ABCBZC","version":"FD7FD7AM017LLNVR07MJ"},"target":"normalized","rule_ids":["TRN-002"],"sequence":17,"transformer_id":"ts.transmission","confidence_effect":0.1},{"after":"hatchback","field":"bodywork_form","before":{"model":"POLO","variant":"ABCBZC","version":"FD7FD7AM017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BZC","version":"FD7FD7AM017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BZC","version":"FD7FD7AM017LLNVR07MJ"},"target":"normalized","rule_ids":["FUEL-001"],"sequence":20,"transformer_id":"ts.fuel","confidence_effect":0.0}],"pipeline_version":"normalization-pipeline-v4","candidate_rule_ids":[]}</x:v>
      </x:c>
      <x:c r="Z69" s="36" t="n">
        <x:v>46239.78067015046</x:v>
      </x:c>
      <x:c r="AA69" s="36" t="n">
        <x:v>46239.78067015046</x:v>
      </x:c>
    </x:row>
    <x:row r="70" ht="18" customHeight="1">
      <x:c r="A70" s="36" t="n">
        <x:v>2672</x:v>
      </x:c>
      <x:c r="B70" s="36" t="str">
        <x:v>38cde20e-907f-5abe-8774-cd9590d2e41a</x:v>
      </x:c>
      <x:c r="C70" s="36" t="str">
        <x:v>Transportstyrelsen</x:v>
      </x:c>
      <x:c r="D70" s="36" t="str">
        <x:v>normalization-review-passenger-250-v1-rules-20260805T184409855703Z</x:v>
      </x:c>
      <x:c r="E70" s="36" t="str">
        <x:v>staging.transportstyrelsen_raw</x:v>
      </x:c>
      <x:c r="F70" s="36" t="n">
        <x:v>2790</x:v>
      </x:c>
      <x:c r="G70" s="36" t="str">
        <x:v>ts-mapping-v1</x:v>
      </x:c>
      <x:c r="H70" s="36" t="str">
        <x:v>ts-review-20260805T184254528647Z</x:v>
      </x:c>
      <x:c r="I70" s="36" t="str">
        <x:v>normalization-pipeline-v4</x:v>
      </x:c>
      <x:c r="J70" s="36" t="str">
        <x:v>provisional</x:v>
      </x:c>
      <x:c r="K70" s="39" t="n">
        <x:v>0.8</x:v>
      </x:c>
      <x:c r="L70" s="36" t="str">
        <x:v>Volvo</x:v>
      </x:c>
      <x:c r="M70" s="36"/>
      <x:c r="N70" s="36" t="str">
        <x:v>estate</x:v>
      </x:c>
      <x:c r="O70" s="38" t="str">
        <x:v>["petrol"]</x:v>
      </x:c>
      <x:c r="P70" s="36" t="str">
        <x:v>manual</x:v>
      </x:c>
      <x:c r="Q70" s="36" t="n">
        <x:v>1995</x:v>
      </x:c>
      <x:c r="R70" s="38" t="str">
        <x:v>["DATE-REGISTRATION-V1","DATE-PRODUCTION-YEAR-V1","UNIT-POWER-KW-V1","TRN-001","BDY-103","FUEL-001"]</x:v>
      </x:c>
      <x:c r="S70" s="38" t="str">
        <x:v>["MFR-BRAND-PREFIX-FALLBACK"]</x:v>
      </x:c>
      <x:c r="T70" s="38" t="str">
        <x:v>[]</x:v>
      </x:c>
      <x:c r="U70" s="38" t="str">
        <x:v>{"market":["SE"],"power_kw":99,"manufacturer":"Volvo","bodywork_form":"estate","energy_sources":["petrol"],"production_year":1995,"manufacturer_role":"vehicle_manufacturer","power_source_unit":"kw","registration_date":"1995-06-30","transmission_type":"manual","alias_types_present":["plate","vin"],"builder_converter_names":[],"production_date_precision":"model_year","bodywork_registry_label_sv":"Kombi"}</x:v>
      </x:c>
      <x:c r="V70" s="38" t="str">
        <x:v>{"manufacturer_confirmation":{"source_fields":["brand"],"canonical_name":"Volvo"}}</x:v>
      </x:c>
      <x:c r="W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945-811 SE 2.3","target":"normalized","rule_ids":["MFR-CLASSIFY-V1"],"sequence":3,"transformer_id":"ts.manufacturer","confidence_effect":0.2},{"after":"Volvo","field":"manufacturer","before":"VOLVO 945-811 SE 2.3","target":"normalized","rule_ids":["MFR-CLASSIFY-V1"],"sequence":4,"transformer_id":"ts.manufacturer","confidence_effect":0.2},{"after":"vehicle_manufacturer","field":"manufacturer_role","before":"VOLVO 945-811 SE 2.3","target":"normalized","rule_ids":["MFR-CLASSIFY-V1"],"sequence":5,"transformer_id":"ts.manufacturer","confidence_effect":0.2},{"after":{"source_fields":["brand"],"canonical_name":"Volvo"},"field":"manufacturer_confirmation","before":"VOLVO 945-811 SE 2.3","target":"candidate","rule_ids":["MFR-BRAND-PREFIX-FALLBACK"],"sequence":6,"transformer_id":"ts.manufacturer","confidence_effect":0.05},{"after":"model_year","field":"production_date_precision","before":{"model_year":1995,"vehicle_year":1995,"registration_date":"19950630"},"target":"normalized","rule_ids":["DATE-REGISTRATION-V1","DATE-PRODUCTION-YEAR-V1"],"sequence":7,"transformer_id":"ts.dates","confidence_effect":0.1},{"after":1995,"field":"production_year","before":{"model_year":1995,"vehicle_year":1995,"registration_date":"19950630"},"target":"normalized","rule_ids":["DATE-REGISTRATION-V1","DATE-PRODUCTION-YEAR-V1"],"sequence":8,"transformer_id":"ts.dates","confidence_effect":0.1},{"after":"1995-06-30","field":"registration_date","before":{"model_year":1995,"vehicle_year":1995,"registration_date":"19950630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1995,"manufacturer_role":"vehicle_manufacturer","power_source_unit":"kw","registration_date":"1995-06-30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945-811 SE 2.3","target":"normalized","rule_ids":["MFR-CLASSIFY-V1"],"sequence":3,"transformer_id":"ts.manufacturer","confidence_effect":0.2},{"after":"Volvo","field":"manufacturer","before":"VOLVO 945-811 SE 2.3","target":"normalized","rule_ids":["MFR-CLASSIFY-V1"],"sequence":4,"transformer_id":"ts.manufacturer","confidence_effect":0.2},{"after":"vehicle_manufacturer","field":"manufacturer_role","before":"VOLVO 945-811 SE 2.3","target":"normalized","rule_ids":["MFR-CLASSIFY-V1"],"sequence":5,"transformer_id":"ts.manufacturer","confidence_effect":0.2},{"after":{"source_fields":["brand"],"canonical_name":"Volvo"},"field":"manufacturer_confirmation","before":"VOLVO 945-811 SE 2.3","target":"candidate","rule_ids":["MFR-BRAND-PREFIX-FALLBACK"],"sequence":6,"transformer_id":"ts.manufacturer","confidence_effect":0.05},{"after":"model_year","field":"production_date_precision","before":{"model_year":1995,"vehicle_year":1995,"registration_date":"19950630"},"target":"normalized","rule_ids":["DATE-REGISTRATION-V1","DATE-PRODUCTION-YEAR-V1"],"sequence":7,"transformer_id":"ts.dates","confidence_effect":0.1},{"after":1995,"field":"production_year","before":{"model_year":1995,"vehicle_year":1995,"registration_date":"19950630"},"target":"normalized","rule_ids":["DATE-REGISTRATION-V1","DATE-PRODUCTION-YEAR-V1"],"sequence":8,"transformer_id":"ts.dates","confidence_effect":0.1},{"after":"1995-06-30","field":"registration_date","before":{"model_year":1995,"vehicle_year":1995,"registration_date":"19950630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0" s="36" t="n">
        <x:v>46239.78067015046</x:v>
      </x:c>
      <x:c r="AA70" s="36" t="n">
        <x:v>46239.78067015046</x:v>
      </x:c>
    </x:row>
    <x:row r="71" ht="18" customHeight="1">
      <x:c r="A71" s="36" t="n">
        <x:v>2673</x:v>
      </x:c>
      <x:c r="B71" s="36" t="str">
        <x:v>37692391-47dd-50b1-9312-2427aeff0697</x:v>
      </x:c>
      <x:c r="C71" s="36" t="str">
        <x:v>Transportstyrelsen</x:v>
      </x:c>
      <x:c r="D71" s="36" t="str">
        <x:v>normalization-review-passenger-250-v1-rules-20260805T184409855703Z</x:v>
      </x:c>
      <x:c r="E71" s="36" t="str">
        <x:v>staging.transportstyrelsen_raw</x:v>
      </x:c>
      <x:c r="F71" s="36" t="n">
        <x:v>2791</x:v>
      </x:c>
      <x:c r="G71" s="36" t="str">
        <x:v>ts-mapping-v1</x:v>
      </x:c>
      <x:c r="H71" s="36" t="str">
        <x:v>ts-review-20260805T184254528647Z</x:v>
      </x:c>
      <x:c r="I71" s="36" t="str">
        <x:v>normalization-pipeline-v4</x:v>
      </x:c>
      <x:c r="J71" s="36" t="str">
        <x:v>resolved</x:v>
      </x:c>
      <x:c r="K71" s="39" t="n">
        <x:v>0.95</x:v>
      </x:c>
      <x:c r="L71" s="36" t="str">
        <x:v>Mazda</x:v>
      </x:c>
      <x:c r="M71" s="36"/>
      <x:c r="N71" s="36" t="str">
        <x:v>estate</x:v>
      </x:c>
      <x:c r="O71" s="38" t="str">
        <x:v>["diesel"]</x:v>
      </x:c>
      <x:c r="P71" s="36" t="str">
        <x:v>manual</x:v>
      </x:c>
      <x:c r="Q71" s="36" t="n">
        <x:v>1998</x:v>
      </x:c>
      <x:c r="R71" s="38" t="str">
        <x:v>["MFE-93F566BF966539","MFR-BRAND-REVIEWED-EXAMPLE","DATE-REGISTRATION-V1","DATE-PRODUCTION-MONTH-V1","UNIT-POWER-KW-V1","TRN-001","BDY-103","FUEL-002"]</x:v>
      </x:c>
      <x:c r="S71" s="38" t="str">
        <x:v>[]</x:v>
      </x:c>
      <x:c r="T71" s="38" t="str">
        <x:v>[]</x:v>
      </x:c>
      <x:c r="U71" s="38" t="str">
        <x:v>{"market":["SE"],"power_kw":74,"manufacturer":"Mazda","bodywork_form":"estate","energy_sources":["diesel"],"production_date":"1998-12","production_year":1998,"manufacturer_role":"vehicle_manufacturer","power_source_unit":"kw","registration_date":"2000-05-26","transmission_type":"manual","alias_types_present":["plate","vin"],"builder_converter_names":[],"production_date_precision":"month","bodywork_registry_label_sv":"Kombi"}</x:v>
      </x:c>
      <x:c r="V71" s="38" t="str">
        <x:v>{}</x:v>
      </x:c>
      <x:c r="W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626 KOMBI 2,0D GLX","target":"normalized","rule_ids":["MFE-93F566BF966539","MFR-BRAND-REVIEWED-EXAMPLE"],"sequence":3,"transformer_id":"ts.manufacturer","confidence_effect":0.2},{"after":"Mazda","field":"manufacturer","before":"MAZDA 626 KOMBI 2,0D GLX","target":"normalized","rule_ids":["MFE-93F566BF966539","MFR-BRAND-REVIEWED-EXAMPLE"],"sequence":4,"transformer_id":"ts.manufacturer","confidence_effect":0.2},{"after":"vehicle_manufacturer","field":"manufacturer_role","before":"MAZDA 626 KOMBI 2,0D GLX","target":"normalized","rule_ids":["MFE-93F566BF966539","MFR-BRAND-REVIEWED-EXAMPLE"],"sequence":5,"transformer_id":"ts.manufacturer","confidence_effect":0.2},{"after":"1998-12","field":"production_date","before":{"build_month":"199812","vehicle_year":1998,"registration_date":"20000526"},"target":"normalized","rule_ids":["DATE-REGISTRATION-V1","DATE-PRODUCTION-MONTH-V1"],"sequence":6,"transformer_id":"ts.dates","confidence_effect":0.1},{"after":"month","field":"production_date_precision","before":{"build_month":"199812","vehicle_year":1998,"registration_date":"20000526"},"target":"normalized","rule_ids":["DATE-REGISTRATION-V1","DATE-PRODUCTION-MONTH-V1"],"sequence":7,"transformer_id":"ts.dates","confidence_effect":0.1},{"after":1998,"field":"production_year","before":{"build_month":"199812","vehicle_year":1998,"registration_date":"20000526"},"target":"normalized","rule_ids":["DATE-REGISTRATION-V1","DATE-PRODUCTION-MONTH-V1"],"sequence":8,"transformer_id":"ts.dates","confidence_effect":0.1},{"after":"2000-05-26","field":"registration_date","before":{"build_month":"199812","vehicle_year":1998,"registration_date":"20000526"},"target":"normalized","rule_ids":["DATE-REGISTRATION-V1","DATE-PRODUCTION-MONTH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19R","version":"2E"},"target":"normalized","rule_ids":["TRN-001"],"sequence":12,"transformer_id":"ts.transmission","confidence_effect":0.1},{"after":"estate","field":"bodywork_form","before":{"variant":"19R","version":"2E","body_code":"03","eu_category":"M1","vehicle_type":"PB"},"target":"normalized","rule_ids":["BDY-103"],"sequence":13,"transformer_id":"ts.bodywork","confidence_effect":0.1},{"after":"Kombi","field":"bodywork_registry_label_sv","before":{"variant":"19R","version":"2E","body_code":"03","eu_category":"M1","vehicle_type":"PB"},"target":"normalized","rule_ids":["BDY-103"],"sequence":14,"transformer_id":"ts.bodywork","confidence_effect":0.1},{"after":["diesel"],"field":"energy_sources","before":{"fuel1":"2","fuel2":"0","fuel3":"0","variant":"19R","version":"2E"},"target":"normalized","rule_ids":["FUEL-002"],"sequence":15,"transformer_id":"ts.fuel","confidence_effect":0.0}]</x:v>
      </x:c>
      <x:c r="X7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" s="38" t="str">
        <x:v>{"candidates":{},"confidence":0.95,"normalized":{"market":["SE"],"power_kw":74,"manufacturer":"Mazda","bodywork_form":"estate","energy_sources":["diesel"],"production_date":"1998-12","production_year":1998,"manufacturer_role":"vehicle_manufacturer","power_source_unit":"kw","registration_date":"2000-05-26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626 KOMBI 2,0D GLX","target":"normalized","rule_ids":["MFE-93F566BF966539","MFR-BRAND-REVIEWED-EXAMPLE"],"sequence":3,"transformer_id":"ts.manufacturer","confidence_effect":0.2},{"after":"Mazda","field":"manufacturer","before":"MAZDA 626 KOMBI 2,0D GLX","target":"normalized","rule_ids":["MFE-93F566BF966539","MFR-BRAND-REVIEWED-EXAMPLE"],"sequence":4,"transformer_id":"ts.manufacturer","confidence_effect":0.2},{"after":"vehicle_manufacturer","field":"manufacturer_role","before":"MAZDA 626 KOMBI 2,0D GLX","target":"normalized","rule_ids":["MFE-93F566BF966539","MFR-BRAND-REVIEWED-EXAMPLE"],"sequence":5,"transformer_id":"ts.manufacturer","confidence_effect":0.2},{"after":"1998-12","field":"production_date","before":{"build_month":"199812","vehicle_year":1998,"registration_date":"20000526"},"target":"normalized","rule_ids":["DATE-REGISTRATION-V1","DATE-PRODUCTION-MONTH-V1"],"sequence":6,"transformer_id":"ts.dates","confidence_effect":0.1},{"after":"month","field":"production_date_precision","before":{"build_month":"199812","vehicle_year":1998,"registration_date":"20000526"},"target":"normalized","rule_ids":["DATE-REGISTRATION-V1","DATE-PRODUCTION-MONTH-V1"],"sequence":7,"transformer_id":"ts.dates","confidence_effect":0.1},{"after":1998,"field":"production_year","before":{"build_month":"199812","vehicle_year":1998,"registration_date":"20000526"},"target":"normalized","rule_ids":["DATE-REGISTRATION-V1","DATE-PRODUCTION-MONTH-V1"],"sequence":8,"transformer_id":"ts.dates","confidence_effect":0.1},{"after":"2000-05-26","field":"registration_date","before":{"build_month":"199812","vehicle_year":1998,"registration_date":"20000526"},"target":"normalized","rule_ids":["DATE-REGISTRATION-V1","DATE-PRODUCTION-MONTH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19R","version":"2E"},"target":"normalized","rule_ids":["TRN-001"],"sequence":12,"transformer_id":"ts.transmission","confidence_effect":0.1},{"after":"estate","field":"bodywork_form","before":{"variant":"19R","version":"2E","body_code":"03","eu_category":"M1","vehicle_type":"PB"},"target":"normalized","rule_ids":["BDY-103"],"sequence":13,"transformer_id":"ts.bodywork","confidence_effect":0.1},{"after":"Kombi","field":"bodywork_registry_label_sv","before":{"variant":"19R","version":"2E","body_code":"03","eu_category":"M1","vehicle_type":"PB"},"target":"normalized","rule_ids":["BDY-103"],"sequence":14,"transformer_id":"ts.bodywork","confidence_effect":0.1},{"after":["diesel"],"field":"energy_sources","before":{"fuel1":"2","fuel2":"0","fuel3":"0","variant":"19R","version":"2E"},"target":"normalized","rule_ids":["FUEL-002"],"sequence":15,"transformer_id":"ts.fuel","confidence_effect":0.0}],"pipeline_version":"normalization-pipeline-v4","candidate_rule_ids":[]}</x:v>
      </x:c>
      <x:c r="Z71" s="36" t="n">
        <x:v>46239.78067015046</x:v>
      </x:c>
      <x:c r="AA71" s="36" t="n">
        <x:v>46239.78067015046</x:v>
      </x:c>
    </x:row>
    <x:row r="72" ht="18" customHeight="1">
      <x:c r="A72" s="36" t="n">
        <x:v>2674</x:v>
      </x:c>
      <x:c r="B72" s="36" t="str">
        <x:v>b5675fbe-aa07-510a-b136-521993e4f77b</x:v>
      </x:c>
      <x:c r="C72" s="36" t="str">
        <x:v>Transportstyrelsen</x:v>
      </x:c>
      <x:c r="D72" s="36" t="str">
        <x:v>normalization-review-passenger-250-v1-rules-20260805T184409855703Z</x:v>
      </x:c>
      <x:c r="E72" s="36" t="str">
        <x:v>staging.transportstyrelsen_raw</x:v>
      </x:c>
      <x:c r="F72" s="36" t="n">
        <x:v>2792</x:v>
      </x:c>
      <x:c r="G72" s="36" t="str">
        <x:v>ts-mapping-v1</x:v>
      </x:c>
      <x:c r="H72" s="36" t="str">
        <x:v>ts-review-20260805T184254528647Z</x:v>
      </x:c>
      <x:c r="I72" s="36" t="str">
        <x:v>normalization-pipeline-v4</x:v>
      </x:c>
      <x:c r="J72" s="36" t="str">
        <x:v>provisional</x:v>
      </x:c>
      <x:c r="K72" s="39" t="n">
        <x:v>0.8</x:v>
      </x:c>
      <x:c r="L72" s="36" t="str">
        <x:v>Toyota</x:v>
      </x:c>
      <x:c r="M72" s="36"/>
      <x:c r="N72" s="36" t="str">
        <x:v>estate</x:v>
      </x:c>
      <x:c r="O72" s="38" t="str">
        <x:v>["petrol"]</x:v>
      </x:c>
      <x:c r="P72" s="36" t="str">
        <x:v>manual</x:v>
      </x:c>
      <x:c r="Q72" s="36" t="n">
        <x:v>1986</x:v>
      </x:c>
      <x:c r="R72" s="38" t="str">
        <x:v>["DATE-REGISTRATION-V1","DATE-PRODUCTION-YEAR-V1","UNIT-POWER-KW-V1","TRN-001","BDY-103","FUEL-001"]</x:v>
      </x:c>
      <x:c r="S72" s="38" t="str">
        <x:v>["MFR-BRAND-PREFIX-FALLBACK"]</x:v>
      </x:c>
      <x:c r="T72" s="38" t="str">
        <x:v>[]</x:v>
      </x:c>
      <x:c r="U72" s="38" t="str">
        <x:v>{"market":["SE"],"power_kw":55,"manufacturer":"Toyota","bodywork_form":"estate","energy_sources":["petrol"],"production_year":1986,"manufacturer_role":"vehicle_manufacturer","power_source_unit":"kw","registration_date":"1985-10-17","transmission_type":"manual","alias_types_present":["plate","vin"],"builder_converter_names":[],"production_date_precision":"model_year","bodywork_registry_label_sv":"Kombi"}</x:v>
      </x:c>
      <x:c r="V72" s="38" t="str">
        <x:v>{"manufacturer_confirmation":{"source_fields":["brand"],"canonical_name":"Toyota"}}</x:v>
      </x:c>
      <x:c r="W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DLX","target":"normalized","rule_ids":["MFR-CLASSIFY-V1"],"sequence":3,"transformer_id":"ts.manufacturer","confidence_effect":0.2},{"after":"Toyota","field":"manufacturer","before":"TOYOTA COROLLA DLX","target":"normalized","rule_ids":["MFR-CLASSIFY-V1"],"sequence":4,"transformer_id":"ts.manufacturer","confidence_effect":0.2},{"after":"vehicle_manufacturer","field":"manufacturer_role","before":"TOYOTA COROLLA DLX","target":"normalized","rule_ids":["MFR-CLASSIFY-V1"],"sequence":5,"transformer_id":"ts.manufacturer","confidence_effect":0.2},{"after":{"source_fields":["brand"],"canonical_name":"Toyota"},"field":"manufacturer_confirmation","before":"TOYOTA COROLLA DLX","target":"candidate","rule_ids":["MFR-BRAND-PREFIX-FALLBACK"],"sequence":6,"transformer_id":"ts.manufacturer","confidence_effect":0.05},{"after":"model_year","field":"production_date_precision","before":{"model_year":1986,"vehicle_year":1986,"registration_date":"19851017"},"target":"normalized","rule_ids":["DATE-REGISTRATION-V1","DATE-PRODUCTION-YEAR-V1"],"sequence":7,"transformer_id":"ts.dates","confidence_effect":0.1},{"after":1986,"field":"production_year","before":{"model_year":1986,"vehicle_year":1986,"registration_date":"19851017"},"target":"normalized","rule_ids":["DATE-REGISTRATION-V1","DATE-PRODUCTION-YEAR-V1"],"sequence":8,"transformer_id":"ts.dates","confidence_effect":0.1},{"after":"1985-10-17","field":"registration_date","before":{"model_year":1986,"vehicle_year":1986,"registration_date":"19851017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" s="38" t="str">
        <x:v>{"candidates":{"manufacturer_confirmation":{"source_fields":["brand"],"canonical_name":"Toyota"}},"confidence":0.8,"normalized":{"market":["SE"],"power_kw":55,"manufacturer":"Toyota","bodywork_form":"estate","energy_sources":["petrol"],"production_year":1986,"manufacturer_role":"vehicle_manufacturer","power_source_unit":"kw","registration_date":"1985-10-17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DLX","target":"normalized","rule_ids":["MFR-CLASSIFY-V1"],"sequence":3,"transformer_id":"ts.manufacturer","confidence_effect":0.2},{"after":"Toyota","field":"manufacturer","before":"TOYOTA COROLLA DLX","target":"normalized","rule_ids":["MFR-CLASSIFY-V1"],"sequence":4,"transformer_id":"ts.manufacturer","confidence_effect":0.2},{"after":"vehicle_manufacturer","field":"manufacturer_role","before":"TOYOTA COROLLA DLX","target":"normalized","rule_ids":["MFR-CLASSIFY-V1"],"sequence":5,"transformer_id":"ts.manufacturer","confidence_effect":0.2},{"after":{"source_fields":["brand"],"canonical_name":"Toyota"},"field":"manufacturer_confirmation","before":"TOYOTA COROLLA DLX","target":"candidate","rule_ids":["MFR-BRAND-PREFIX-FALLBACK"],"sequence":6,"transformer_id":"ts.manufacturer","confidence_effect":0.05},{"after":"model_year","field":"production_date_precision","before":{"model_year":1986,"vehicle_year":1986,"registration_date":"19851017"},"target":"normalized","rule_ids":["DATE-REGISTRATION-V1","DATE-PRODUCTION-YEAR-V1"],"sequence":7,"transformer_id":"ts.dates","confidence_effect":0.1},{"after":1986,"field":"production_year","before":{"model_year":1986,"vehicle_year":1986,"registration_date":"19851017"},"target":"normalized","rule_ids":["DATE-REGISTRATION-V1","DATE-PRODUCTION-YEAR-V1"],"sequence":8,"transformer_id":"ts.dates","confidence_effect":0.1},{"after":"1985-10-17","field":"registration_date","before":{"model_year":1986,"vehicle_year":1986,"registration_date":"19851017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2" s="36" t="n">
        <x:v>46239.78067015046</x:v>
      </x:c>
      <x:c r="AA72" s="36" t="n">
        <x:v>46239.78067015046</x:v>
      </x:c>
    </x:row>
    <x:row r="73" ht="18" customHeight="1">
      <x:c r="A73" s="36" t="n">
        <x:v>2675</x:v>
      </x:c>
      <x:c r="B73" s="36" t="str">
        <x:v>ce37c903-229e-51ed-84b3-1c46c51b1703</x:v>
      </x:c>
      <x:c r="C73" s="36" t="str">
        <x:v>Transportstyrelsen</x:v>
      </x:c>
      <x:c r="D73" s="36" t="str">
        <x:v>normalization-review-passenger-250-v1-rules-20260805T184409855703Z</x:v>
      </x:c>
      <x:c r="E73" s="36" t="str">
        <x:v>staging.transportstyrelsen_raw</x:v>
      </x:c>
      <x:c r="F73" s="36" t="n">
        <x:v>2793</x:v>
      </x:c>
      <x:c r="G73" s="36" t="str">
        <x:v>ts-mapping-v1</x:v>
      </x:c>
      <x:c r="H73" s="36" t="str">
        <x:v>ts-review-20260805T184254528647Z</x:v>
      </x:c>
      <x:c r="I73" s="36" t="str">
        <x:v>normalization-pipeline-v4</x:v>
      </x:c>
      <x:c r="J73" s="36" t="str">
        <x:v>provisional</x:v>
      </x:c>
      <x:c r="K73" s="39" t="n">
        <x:v>0.8</x:v>
      </x:c>
      <x:c r="L73" s="36" t="str">
        <x:v>Honda</x:v>
      </x:c>
      <x:c r="M73" s="36" t="str">
        <x:v>CIVIC TOURER</x:v>
      </x:c>
      <x:c r="N73" s="36" t="str">
        <x:v>multi_purpose_vehicle</x:v>
      </x:c>
      <x:c r="O73" s="38" t="str">
        <x:v>["diesel"]</x:v>
      </x:c>
      <x:c r="P73" s="36" t="str">
        <x:v>manual</x:v>
      </x:c>
      <x:c r="Q73" s="36" t="n">
        <x:v>2014</x:v>
      </x:c>
      <x:c r="R73" s="38" t="str">
        <x:v>["MFR-BRAND-CONFIRMED","MFR-BRAND-MODEL","DATE-REGISTRATION-V1","DATE-PRODUCTION-YEAR-V1","UNIT-POWER-KW-V1","UNIT-DISPLACEMENT-CCM-V1","TRN-001","BDY-113","FUEL-002"]</x:v>
      </x:c>
      <x:c r="S73" s="38" t="str">
        <x:v>[]</x:v>
      </x:c>
      <x:c r="T73" s="38" t="str">
        <x:v>[]</x:v>
      </x:c>
      <x:c r="U73" s="38" t="str">
        <x:v>{"market":["SE"],"power_kw":88,"manufacturer":"Honda","bodywork_form":"multi_purpose_vehicle","energy_sources":["diesel"],"displacement_cc":1597,"production_year":2014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del_year","bodywork_registry_label_sv":"Fordon avsett för flera ändamål"}</x:v>
      </x:c>
      <x:c r="V73" s="38" t="str">
        <x:v>{"model_family":"CIVIC TOURER"}</x:v>
      </x:c>
      <x:c r="W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CIVIC TOURER","target":"normalized","rule_ids":["MODEL-CANDIDATE-V1"],"sequence":6,"transformer_id":"ts.model-family","confidence_effect":0.0},{"after":"CIVIC TOURER","field":"model_family","before":"CIVIC TOURER","target":"candidate","rule_ids":["MODEL-CANDIDATE-V1"],"sequence":7,"transformer_id":"ts.model-family","confidence_effect":0.05},{"after":"model_year","field":"production_date_precision","before":{"model_year":2014,"vehicle_year":2014,"registration_date":"20140328"},"target":"normalized","rule_ids":["DATE-REGISTRATION-V1","DATE-PRODUCTION-YEAR-V1"],"sequence":8,"transformer_id":"ts.dates","confidence_effect":0.1},{"after":2014,"field":"production_year","before":{"model_year":2014,"vehicle_year":2014,"registration_date":"20140328"},"target":"normalized","rule_ids":["DATE-REGISTRATION-V1","DATE-PRODUCTION-YEAR-V1"],"sequence":9,"transformer_id":"ts.dates","confidence_effect":0.1},{"after":"2014-03-28","field":"registration_date","before":{"model_year":2014,"vehicle_year":2014,"registration_date":"20140328"},"target":"normalized","rule_ids":["DATE-REGISTRATION-V1","DATE-PRODUCTION-YEAR-V1"],"sequence":10,"transformer_id":"ts.dates","confidence_effect":0.1},{"after":1597,"field":"displacement_cc","before":{"kw":88,"ccm":1597},"target":"normalized","rule_ids":["UNIT-POWER-KW-V1","UNIT-DISPLACEMENT-CCM-V1"],"sequence":11,"transformer_id":"ts.engine-measurements","confidence_effect":0.1},{"after":"ccm","field":"displacement_source_unit","before":{"kw":88,"ccm":1597},"target":"normalized","rule_ids":["UNIT-POWER-KW-V1","UNIT-DISPLACEMENT-CCM-V1"],"sequence":12,"transformer_id":"ts.engine-measurements","confidence_effect":0.1},{"after":88,"field":"power_kw","before":{"kw":88,"ccm":1597},"target":"normalized","rule_ids":["UNIT-POWER-KW-V1","UNIT-DISPLACEMENT-CCM-V1"],"sequence":13,"transformer_id":"ts.engine-measurements","confidence_effect":0.1},{"after":"kw","field":"power_source_unit","before":{"kw":88,"ccm":1597},"target":"normalized","rule_ids":["UNIT-POWER-KW-V1","UNIT-DISPLACEMENT-CCM-V1"],"sequence":14,"transformer_id":"ts.engine-measurements","confidence_effect":0.1},{"after":"manual","field":"transmission_type","before":{"model":"CIVIC TOURER","gearbox":"M","variant":"4","version":"1"},"target":"normalized","rule_ids":["TRN-001"],"sequence":15,"transformer_id":"ts.transmission","confidence_effect":0.1},{"after":"multi_purpose_vehicle","field":"bodywork_form","before":{"model":"CIVIC TOURER","variant":"4","version":"1","body_code":"AF","eu_category":"M1","vehicle_type":"PB"},"target":"normalized","rule_ids":["BDY-113"],"sequence":16,"transformer_id":"ts.bodywork","confidence_effect":0.1},{"after":"Fordon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ändamål","field":"bodywork_registry_label_sv","before":{"model":"CIVIC TOURER","variant":"4","version":"1","body_code":"AF","eu_category":"M1","vehicle_type":"PB"},"target":"normalized","rule_ids":["BDY-113"],"sequence":17,"transformer_id":"ts.bodywork","confidence_effect":0.1},{"after":["diesel"],"field":"energy_sources","before":{"fuel1":"2","fuel2":"0","fuel3":"0","model":"CIVIC TOURER","variant":"4","version":"1"},"target":"normalized","rule_ids":["FUEL-002"],"sequence":18,"transformer_id":"ts.fuel","confidence_effect":0.0}]</x:v>
      </x:c>
      <x:c r="X7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" s="38" t="str">
        <x:v>{"candidates":{"model_family":"CIVIC TOURER"},"confidence":0.8,"normalized":{"market":["SE"],"power_kw":88,"manufacturer":"Honda","bodywork_form":"multi_purpose_vehicle","energy_sources":["diesel"],"displacement_cc":1597,"production_year":2014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del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CIVIC TOURER","target":"normalized","rule_ids":["MODEL-CANDIDATE-V1"],"sequence":6,"transformer_id":"ts.model-family","confidence_effect":0.0},{"after":"CIVIC TOURER","field":"model_family","before":"CIVIC TOURER","target":"candidate","rule_ids":["MODEL-CANDIDATE-V1"],"sequence":7,"transformer_id":"ts.model-family","confidence_effect":0.05},{"after":"model_year","field":"production_date_precision","before":{"model_year":2014,"vehicle_year":2014,"registration_date":"20140328"},"target":"normalized","rule_ids":["DATE-REGISTRATION-V1","DATE-PRODUCTION-YEAR-V1"],"sequence":8,"transformer_id":"ts.dates","confidence_effect":0.1},{"after":2014,"field":"production_year","before":{"model_year":2014,"vehicle_year":2014,"registration_date":"20140328"},"target":"normalized","rule_ids":["DATE-REGISTRATION-V1","DATE-PRODUCTION-YEAR-V1"],"sequence":9,"transformer_id":"ts.dates","confidence_effect":0.1},{"after":"2014-03-28","field":"registration_date","before":{"model_year":2014,"vehicle_year":2014,"registration_date":"20140328"},"target":"normalized","rule_ids":["DATE-REGISTRATION-V1","DATE-PRODUCTION-YEAR-V1"],"sequence":10,"transformer_id":"ts.dates","confidence_effect":0.1},{"after":1597,"field":"displacement_cc","before":{"kw":88,"ccm":1597},"target":"normalized","rule_ids":["UNIT-POWER-KW-V1","UNIT-DISPLACEMENT-CCM-V1"],"sequence":11,"transformer_id":"ts.engine-measurements","confidence_effect":0.1},{"after":"ccm","field":"displacement_source_unit","before":{"kw":88,"ccm":1597},"target":"normalized","rule_ids":["UNIT-POWER-KW-V1","UNIT-DISPLACEMENT-CCM-V1"],"sequence":12,"transformer_id":"ts.engine-measurements","confidence_effect":0.1},{"after":88,"field":"power_kw","before":{"kw":88,"ccm":1597},"target":"normalized","rule_ids":["UNIT-POWER-KW-V1","UNIT-DISPLACEMENT-CCM-V1"],"sequence":13,"transformer_id":"ts.engine-measurements","confidence_effect":0.1},{"after":"kw","field":"power_source_unit","before":{"kw":88,"ccm":1597},"target":"normalized","rule_ids":["UNIT-POWER-KW-V1","UNIT-DISPLACEMENT-CCM-V1"],"sequence":14,"transformer_id":"ts.engine-measurements","confidence_effect":0.1},{"after":"manual","field":"transmission_type","before":{"model":"CIVIC TOURER","gearbox":"M","variant":"4","version":"1"},"target":"normalized","rule_ids":["TRN-001"],"sequence":15,"transformer_id":"ts.transmission","confidence_effect":0.1},{"after":"multi_purpose_vehicle","field":"bodywork_form","before":{"model":"CIVIC TOURER","variant":"4","version":"1","body_code":"AF","eu_category":"M1","vehicle_type":"PB"},"target":"normalized","rule_ids":["BDY-113"],"sequence":16,"transformer_id":"ts.bodywork","confidence_effect":0.1},{"after":"Fordon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ändamål","field":"bodywork_registry_label_sv","before":{"model":"CIVIC TOURER","variant":"4","version":"1","body_code":"AF","eu_category":"M1","vehicle_type":"PB"},"target":"normalized","rule_ids":["BDY-113"],"sequence":17,"transformer_id":"ts.bodywork","confidence_effect":0.1},{"after":["diesel"],"field":"energy_sources","before":{"fuel1":"2","fuel2":"0","fuel3":"0","model":"CIVIC TOURER","variant":"4","version":"1"},"target":"normalized","rule_ids":["FUEL-002"],"sequence":18,"transformer_id":"ts.fuel","confidence_effect":0.0}],"pipeline_version":"normalization-pipeline-v4","candidate_rule_ids":[]}</x:v>
      </x:c>
      <x:c r="Z73" s="36" t="n">
        <x:v>46239.78067015046</x:v>
      </x:c>
      <x:c r="AA73" s="36" t="n">
        <x:v>46239.78067015046</x:v>
      </x:c>
    </x:row>
    <x:row r="74" ht="18" customHeight="1">
      <x:c r="A74" s="36" t="n">
        <x:v>2676</x:v>
      </x:c>
      <x:c r="B74" s="36" t="str">
        <x:v>0f5c8a0d-2f04-573a-b8ef-266de8d20766</x:v>
      </x:c>
      <x:c r="C74" s="36" t="str">
        <x:v>Transportstyrelsen</x:v>
      </x:c>
      <x:c r="D74" s="36" t="str">
        <x:v>normalization-review-passenger-250-v1-rules-20260805T184409855703Z</x:v>
      </x:c>
      <x:c r="E74" s="36" t="str">
        <x:v>staging.transportstyrelsen_raw</x:v>
      </x:c>
      <x:c r="F74" s="36" t="n">
        <x:v>2794</x:v>
      </x:c>
      <x:c r="G74" s="36" t="str">
        <x:v>ts-mapping-v1</x:v>
      </x:c>
      <x:c r="H74" s="36" t="str">
        <x:v>ts-review-20260805T184254528647Z</x:v>
      </x:c>
      <x:c r="I74" s="36" t="str">
        <x:v>normalization-pipeline-v4</x:v>
      </x:c>
      <x:c r="J74" s="36" t="str">
        <x:v>provisional</x:v>
      </x:c>
      <x:c r="K74" s="39" t="n">
        <x:v>0.8</x:v>
      </x:c>
      <x:c r="L74" s="36" t="str">
        <x:v>Jeep</x:v>
      </x:c>
      <x:c r="M74" s="36"/>
      <x:c r="N74" s="36" t="str">
        <x:v>estate</x:v>
      </x:c>
      <x:c r="O74" s="38" t="str">
        <x:v>["petrol"]</x:v>
      </x:c>
      <x:c r="P74" s="36" t="str">
        <x:v>automatic</x:v>
      </x:c>
      <x:c r="Q74" s="36" t="n">
        <x:v>1999</x:v>
      </x:c>
      <x:c r="R74" s="38" t="str">
        <x:v>["DATE-REGISTRATION-V1","DATE-PRODUCTION-YEAR-V1","UNIT-POWER-KW-V1","TRN-002","BDY-103","FUEL-001"]</x:v>
      </x:c>
      <x:c r="S74" s="38" t="str">
        <x:v>["MFR-BRAND-PREFIX-FALLBACK","DRV-008"]</x:v>
      </x:c>
      <x:c r="T74" s="38" t="str">
        <x:v>[]</x:v>
      </x:c>
      <x:c r="U74" s="38" t="str">
        <x:v>{"market":["SE"],"power_kw":162,"manufacturer":"Jeep","bodywork_form":"estate","energy_sources":["petrol"],"production_year":1999,"manufacturer_role":"vehicle_manufacturer","power_source_unit":"kw","registration_date":"1999-05-05","transmission_type":"automatic","alias_types_present":["plate","vin"],"builder_converter_names":[],"production_date_precision":"model_year","bodywork_registry_label_sv":"Kombi"}</x:v>
      </x:c>
      <x:c r="V74" s="38" t="str">
        <x:v>{"drive_type":"awd","manufacturer_confirmation":{"source_fields":["brand"],"canonical_name":"Jeep"}}</x:v>
      </x:c>
      <x:c r="W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GRAND CHEROKEE","target":"normalized","rule_ids":["MFR-CLASSIFY-V1"],"sequence":3,"transformer_id":"ts.manufacturer","confidence_effect":0.2},{"after":"Jeep","field":"manufacturer","before":"JEEP GRAND CHEROKEE","target":"normalized","rule_ids":["MFR-CLASSIFY-V1"],"sequence":4,"transformer_id":"ts.manufacturer","confidence_effect":0.2},{"after":"vehicle_manufacturer","field":"manufacturer_role","before":"JEEP GRAND CHEROKEE","target":"normalized","rule_ids":["MFR-CLASSIFY-V1"],"sequence":5,"transformer_id":"ts.manufacturer","confidence_effect":0.2},{"after":{"source_fields":["brand"],"canonical_name":"Jeep"},"field":"manufacturer_confirmation","before":"JEEP GRAND CHEROKEE","target":"candidate","rule_ids":["MFR-BRAND-PREFIX-FALLBACK"],"sequence":6,"transformer_id":"ts.manufacturer","confidence_effect":0.05},{"after":"model_year","field":"production_date_precision","before":{"model_year":1999,"vehicle_year":1999,"registration_date":"19990505"},"target":"normalized","rule_ids":["DATE-REGISTRATION-V1","DATE-PRODUCTION-YEAR-V1"],"sequence":7,"transformer_id":"ts.dates","confidence_effect":0.1},{"after":1999,"field":"production_year","before":{"model_year":1999,"vehicle_year":1999,"registration_date":"19990505"},"target":"normalized","rule_ids":["DATE-REGISTRATION-V1","DATE-PRODUCTION-YEAR-V1"],"sequence":8,"transformer_id":"ts.dates","confidence_effect":0.1},{"after":"1999-05-05","field":"registration_date","before":{"model_year":1999,"vehicle_year":1999,"registration_date":"19990505"},"target":"normalized","rule_ids":["DATE-REGISTRATION-V1","DATE-PRODUCTION-YEAR-V1"],"sequence":9,"transformer_id":"ts.dates","confidence_effect":0.1},{"after":162,"field":"power_kw","before":162,"target":"normalized","rule_ids":["UNIT-POWER-KW-V1"],"sequence":10,"transformer_id":"ts.engine-measurements","confidence_effect":0.1},{"after":"kw","field":"power_source_unit","before":162,"target":"normalized","rule_ids":["UNIT-POWER-KW-V1"],"sequence":11,"transformer_id":"ts.engine-measurements","confidence_effect":0.1},{"after":"automatic","field":"transmission_type","before":{"gearbox":"A","variant":"8LNB","version":"X0"},"target":"normalized","rule_ids":["TRN-002"],"sequence":12,"transformer_id":"ts.transmission","confidence_effect":0.1},{"after":"estate","field":"bodywork_form","before":{"variant":"8LNB","version":"X0","body_code":"03","eu_category":"M1","vehicle_type":"PB"},"target":"normalized","rule_ids":["BDY-103"],"sequence":13,"transformer_id":"ts.bodywork","confidence_effect":0.1},{"after":"Kombi","field":"bodywork_registry_label_sv","before":{"variant":"8LNB","version":"X0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8LNB","version":"X0"},"target":"normalized","rule_ids":["FUEL-001"],"sequence":16,"transformer_id":"ts.fuel","confidence_effect":0.0}]</x:v>
      </x:c>
      <x:c r="X74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" s="38" t="str">
        <x:v>{"candidates":{"drive_type":"awd","manufacturer_confirmation":{"source_fields":["brand"],"canonical_name":"Jeep"}},"confidence":0.8,"normalized":{"market":["SE"],"power_kw":162,"manufacturer":"Jeep","bodywork_form":"estate","energy_sources":["petrol"],"production_year":1999,"manufacturer_role":"vehicle_manufacturer","power_source_unit":"kw","registration_date":"1999-05-05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GRAND CHEROKEE","target":"normalized","rule_ids":["MFR-CLASSIFY-V1"],"sequence":3,"transformer_id":"ts.manufacturer","confidence_effect":0.2},{"after":"Jeep","field":"manufacturer","before":"JEEP GRAND CHEROKEE","target":"normalized","rule_ids":["MFR-CLASSIFY-V1"],"sequence":4,"transformer_id":"ts.manufacturer","confidence_effect":0.2},{"after":"vehicle_manufacturer","field":"manufacturer_role","before":"JEEP GRAND CHEROKEE","target":"normalized","rule_ids":["MFR-CLASSIFY-V1"],"sequence":5,"transformer_id":"ts.manufacturer","confidence_effect":0.2},{"after":{"source_fields":["brand"],"canonical_name":"Jeep"},"field":"manufacturer_confirmation","before":"JEEP GRAND CHEROKEE","target":"candidate","rule_ids":["MFR-BRAND-PREFIX-FALLBACK"],"sequence":6,"transformer_id":"ts.manufacturer","confidence_effect":0.05},{"after":"model_year","field":"production_date_precision","before":{"model_year":1999,"vehicle_year":1999,"registration_date":"19990505"},"target":"normalized","rule_ids":["DATE-REGISTRATION-V1","DATE-PRODUCTION-YEAR-V1"],"sequence":7,"transformer_id":"ts.dates","confidence_effect":0.1},{"after":1999,"field":"production_year","before":{"model_year":1999,"vehicle_year":1999,"registration_date":"19990505"},"target":"normalized","rule_ids":["DATE-REGISTRATION-V1","DATE-PRODUCTION-YEAR-V1"],"sequence":8,"transformer_id":"ts.dates","confidence_effect":0.1},{"after":"1999-05-05","field":"registration_date","before":{"model_year":1999,"vehicle_year":1999,"registration_date":"19990505"},"target":"normalized","rule_ids":["DATE-REGISTRATION-V1","DATE-PRODUCTION-YEAR-V1"],"sequence":9,"transformer_id":"ts.dates","confidence_effect":0.1},{"after":162,"field":"power_kw","before":162,"target":"normalized","rule_ids":["UNIT-POWER-KW-V1"],"sequence":10,"transformer_id":"ts.engine-measurements","confidence_effect":0.1},{"after":"kw","field":"power_source_unit","before":162,"target":"normalized","rule_ids":["UNIT-POWER-KW-V1"],"sequence":11,"transformer_id":"ts.engine-measurements","confidence_effect":0.1},{"after":"automatic","field":"transmission_type","before":{"gearbox":"A","variant":"8LNB","version":"X0"},"target":"normalized","rule_ids":["TRN-002"],"sequence":12,"transformer_id":"ts.transmission","confidence_effect":0.1},{"after":"estate","field":"bodywork_form","before":{"variant":"8LNB","version":"X0","body_code":"03","eu_category":"M1","vehicle_type":"PB"},"target":"normalized","rule_ids":["BDY-103"],"sequence":13,"transformer_id":"ts.bodywork","confidence_effect":0.1},{"after":"Kombi","field":"bodywork_registry_label_sv","before":{"variant":"8LNB","version":"X0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8LNB","version":"X0"},"target":"normalized","rule_ids":["FUEL-001"],"sequence":16,"transformer_id":"ts.fuel","confidence_effect":0.0}],"pipeline_version":"normalization-pipeline-v4","candidate_rule_ids":["MFR-BRAND-PREFIX-FALLBACK","DRV-008"]}</x:v>
      </x:c>
      <x:c r="Z74" s="36" t="n">
        <x:v>46239.78067015046</x:v>
      </x:c>
      <x:c r="AA74" s="36" t="n">
        <x:v>46239.78067015046</x:v>
      </x:c>
    </x:row>
    <x:row r="75" ht="18" customHeight="1">
      <x:c r="A75" s="36" t="n">
        <x:v>2677</x:v>
      </x:c>
      <x:c r="B75" s="36" t="str">
        <x:v>6e3ccb24-5c9c-5b55-bbb3-d486511c4082</x:v>
      </x:c>
      <x:c r="C75" s="36" t="str">
        <x:v>Transportstyrelsen</x:v>
      </x:c>
      <x:c r="D75" s="36" t="str">
        <x:v>normalization-review-passenger-250-v1-rules-20260805T184409855703Z</x:v>
      </x:c>
      <x:c r="E75" s="36" t="str">
        <x:v>staging.transportstyrelsen_raw</x:v>
      </x:c>
      <x:c r="F75" s="36" t="n">
        <x:v>2795</x:v>
      </x:c>
      <x:c r="G75" s="36" t="str">
        <x:v>ts-mapping-v1</x:v>
      </x:c>
      <x:c r="H75" s="36" t="str">
        <x:v>ts-review-20260805T184254528647Z</x:v>
      </x:c>
      <x:c r="I75" s="36" t="str">
        <x:v>normalization-pipeline-v4</x:v>
      </x:c>
      <x:c r="J75" s="36" t="str">
        <x:v>provisional</x:v>
      </x:c>
      <x:c r="K75" s="39" t="n">
        <x:v>0.8</x:v>
      </x:c>
      <x:c r="L75" s="36" t="str">
        <x:v>Volvo</x:v>
      </x:c>
      <x:c r="M75" s="36" t="str">
        <x:v>XC40</x:v>
      </x:c>
      <x:c r="N75" s="36" t="str">
        <x:v>estate</x:v>
      </x:c>
      <x:c r="O75" s="38" t="str">
        <x:v>["petrol","electricity"]</x:v>
      </x:c>
      <x:c r="P75" s="36" t="str">
        <x:v>automatic</x:v>
      </x:c>
      <x:c r="Q75" s="36" t="n">
        <x:v>2023</x:v>
      </x:c>
      <x:c r="R75" s="38" t="str">
        <x:v>["MFR-102","DATE-REGISTRATION-V1","DATE-PRODUCTION-DAY-V1","UNIT-POWER-KW-V1","UNIT-DISPLACEMENT-CCM-V1","TRN-002","BDY-110","FUEL-001","ELEC-002"]</x:v>
      </x:c>
      <x:c r="S75" s="38" t="str">
        <x:v>[]</x:v>
      </x:c>
      <x:c r="T75" s="38" t="str">
        <x:v>[]</x:v>
      </x:c>
      <x:c r="U75" s="38" t="str">
        <x:v>{"market":["SE"],"power_kw":120,"manufacturer":"Volvo","bodywork_form":"estate","energy_sources":["petrol","electricity"],"displacement_cc":1969,"production_date":"2023-01-04","production_year":2023,"manufacturer_role":"vehicle_manufacturer","power_source_unit":"kw","registration_date":"2023-01-19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75" s="38" t="str">
        <x:v>{"model_family":"XC40"}</x:v>
      </x:c>
      <x:c r="W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2023-01-04","field":"production_date","before":{"build_date":"20230104","build_month":"202301","vehicle_year":2023,"registration_date":"20230119"},"target":"normalized","rule_ids":["DATE-REGISTRATION-V1","DATE-PRODUCTION-DAY-V1"],"sequence":8,"transformer_id":"ts.dates","confidence_effect":0.1},{"after":"day","field":"production_date_precision","before":{"build_date":"20230104","build_month":"202301","vehicle_year":2023,"registration_date":"20230119"},"target":"normalized","rule_ids":["DATE-REGISTRATION-V1","DATE-PRODUCTION-DAY-V1"],"sequence":9,"transformer_id":"ts.dates","confidence_effect":0.1},{"after":2023,"field":"production_year","before":{"build_date":"20230104","build_month":"202301","vehicle_year":2023,"registration_date":"20230119"},"target":"normalized","rule_ids":["DATE-REGISTRATION-V1","DATE-PRODUCTION-DAY-V1"],"sequence":10,"transformer_id":"ts.dates","confidence_effect":0.1},{"after":"2023-01-19","field":"registration_date","before":{"build_date":"20230104","build_month":"202301","vehicle_year":2023,"registration_date":"20230119"},"target":"normalized","rule_ids":["DATE-REGISTRATION-V1","DATE-PRODUCTION-DAY-V1"],"sequence":11,"transformer_id":"ts.dates","confidence_effect":0.1},{"after":1969,"field":"displacement_cc","before":{"kw":120,"ccm":1969},"target":"normalized","rule_ids":["UNIT-POWER-KW-V1","UNIT-DISPLACEMENT-CCM-V1"],"sequence":12,"transformer_id":"ts.engine-measurements","confidence_effect":0.1},{"after":"ccm","field":"displacement_source_unit","before":{"kw":120,"ccm":1969},"target":"normalized","rule_ids":["UNIT-POWER-KW-V1","UNIT-DISPLACEMENT-CCM-V1"],"sequence":13,"transformer_id":"ts.engine-measurements","confidence_effect":0.1},{"after":120,"field":"power_kw","before":{"kw":120,"ccm":1969},"target":"normalized","rule_ids":["UNIT-POWER-KW-V1","UNIT-DISPLACEMENT-CCM-V1"],"sequence":14,"transformer_id":"ts.engine-measurements","confidence_effect":0.1},{"after":"kw","field":"power_source_unit","before":{"kw":120,"ccm":1969},"target":"normalized","rule_ids":["UNIT-POWER-KW-V1","UNIT-DISPLACEMENT-CCM-V1"],"sequence":15,"transformer_id":"ts.engine-measurements","confidence_effect":0.1},{"after":"automatic","field":"transmission_type","before":{"model":"XC40","gearbox":"A","variant":"XZK7","version":"XZK7VF0?"},"target":"normalized","rule_ids":["TRN-002"],"sequence":16,"transformer_id":"ts.transmission","confidence_effect":0.1},{"after":"estate","field":"bodywork_form","before":{"model":"XC40","variant":"XZK7","version":"XZK7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7","version":"XZK7VF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7","version":"XZK7VF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7","version":"XZK7VF0?","ev_config":"ELHYBRID"},"target":"normalized","rule_ids":["FUEL-001","ELEC-002"],"sequence":20,"transformer_id":"ts.fuel","confidence_effect":0.0}]</x:v>
      </x:c>
      <x:c r="X7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5" s="38" t="str">
        <x:v>{"candidates":{"model_family":"XC40"},"confidence":0.8,"normalized":{"market":["SE"],"power_kw":120,"manufacturer":"Volvo","bodywork_form":"estate","energy_sources":["petrol","electricity"],"displacement_cc":1969,"production_date":"2023-01-04","production_year":2023,"manufacturer_role":"vehicle_manufacturer","power_source_unit":"kw","registration_date":"2023-01-19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2023-01-04","field":"production_date","before":{"build_date":"20230104","build_month":"202301","vehicle_year":2023,"registration_date":"20230119"},"target":"normalized","rule_ids":["DATE-REGISTRATION-V1","DATE-PRODUCTION-DAY-V1"],"sequence":8,"transformer_id":"ts.dates","confidence_effect":0.1},{"after":"day","field":"production_date_precision","before":{"build_date":"20230104","build_month":"202301","vehicle_year":2023,"registration_date":"20230119"},"target":"normalized","rule_ids":["DATE-REGISTRATION-V1","DATE-PRODUCTION-DAY-V1"],"sequence":9,"transformer_id":"ts.dates","confidence_effect":0.1},{"after":2023,"field":"production_year","before":{"build_date":"20230104","build_month":"202301","vehicle_year":2023,"registration_date":"20230119"},"target":"normalized","rule_ids":["DATE-REGISTRATION-V1","DATE-PRODUCTION-DAY-V1"],"sequence":10,"transformer_id":"ts.dates","confidence_effect":0.1},{"after":"2023-01-19","field":"registration_date","before":{"build_date":"20230104","build_month":"202301","vehicle_year":2023,"registration_date":"20230119"},"target":"normalized","rule_ids":["DATE-REGISTRATION-V1","DATE-PRODUCTION-DAY-V1"],"sequence":11,"transformer_id":"ts.dates","confidence_effect":0.1},{"after":1969,"field":"displacement_cc","before":{"kw":120,"ccm":1969},"target":"normalized","rule_ids":["UNIT-POWER-KW-V1","UNIT-DISPLACEMENT-CCM-V1"],"sequence":12,"transformer_id":"ts.engine-measurements","confidence_effect":0.1},{"after":"ccm","field":"displacement_source_unit","before":{"kw":120,"ccm":1969},"target":"normalized","rule_ids":["UNIT-POWER-KW-V1","UNIT-DISPLACEMENT-CCM-V1"],"sequence":13,"transformer_id":"ts.engine-measurements","confidence_effect":0.1},{"after":120,"field":"power_kw","before":{"kw":120,"ccm":1969},"target":"normalized","rule_ids":["UNIT-POWER-KW-V1","UNIT-DISPLACEMENT-CCM-V1"],"sequence":14,"transformer_id":"ts.engine-measurements","confidence_effect":0.1},{"after":"kw","field":"power_source_unit","before":{"kw":120,"ccm":1969},"target":"normalized","rule_ids":["UNIT-POWER-KW-V1","UNIT-DISPLACEMENT-CCM-V1"],"sequence":15,"transformer_id":"ts.engine-measurements","confidence_effect":0.1},{"after":"automatic","field":"transmission_type","before":{"model":"XC40","gearbox":"A","variant":"XZK7","version":"XZK7VF0?"},"target":"normalized","rule_ids":["TRN-002"],"sequence":16,"transformer_id":"ts.transmission","confidence_effect":0.1},{"after":"estate","field":"bodywork_form","before":{"model":"XC40","variant":"XZK7","version":"XZK7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7","version":"XZK7VF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7","version":"XZK7VF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7","version":"XZK7VF0?","ev_config":"ELHYBRID"},"target":"normalized","rule_ids":["FUEL-001","ELEC-002"],"sequence":20,"transformer_id":"ts.fuel","confidence_effect":0.0}],"pipeline_version":"normalization-pipeline-v4","candidate_rule_ids":[]}</x:v>
      </x:c>
      <x:c r="Z75" s="36" t="n">
        <x:v>46239.78067015046</x:v>
      </x:c>
      <x:c r="AA75" s="36" t="n">
        <x:v>46239.78067015046</x:v>
      </x:c>
    </x:row>
    <x:row r="76" ht="18" customHeight="1">
      <x:c r="A76" s="36" t="n">
        <x:v>2678</x:v>
      </x:c>
      <x:c r="B76" s="36" t="str">
        <x:v>d30e5ca7-44ac-56f8-9e84-83ca4d45b5b5</x:v>
      </x:c>
      <x:c r="C76" s="36" t="str">
        <x:v>Transportstyrelsen</x:v>
      </x:c>
      <x:c r="D76" s="36" t="str">
        <x:v>normalization-review-passenger-250-v1-rules-20260805T184409855703Z</x:v>
      </x:c>
      <x:c r="E76" s="36" t="str">
        <x:v>staging.transportstyrelsen_raw</x:v>
      </x:c>
      <x:c r="F76" s="36" t="n">
        <x:v>2796</x:v>
      </x:c>
      <x:c r="G76" s="36" t="str">
        <x:v>ts-mapping-v1</x:v>
      </x:c>
      <x:c r="H76" s="36" t="str">
        <x:v>ts-review-20260805T184254528647Z</x:v>
      </x:c>
      <x:c r="I76" s="36" t="str">
        <x:v>normalization-pipeline-v4</x:v>
      </x:c>
      <x:c r="J76" s="36" t="str">
        <x:v>provisional</x:v>
      </x:c>
      <x:c r="K76" s="39" t="n">
        <x:v>0.8</x:v>
      </x:c>
      <x:c r="L76" s="36" t="str">
        <x:v>Mercedes-Benz</x:v>
      </x:c>
      <x:c r="M76" s="36"/>
      <x:c r="N76" s="36" t="str">
        <x:v>sedan</x:v>
      </x:c>
      <x:c r="O76" s="38" t="str">
        <x:v>["petrol"]</x:v>
      </x:c>
      <x:c r="P76" s="36" t="str">
        <x:v>automatic</x:v>
      </x:c>
      <x:c r="Q76" s="36" t="n">
        <x:v>2007</x:v>
      </x:c>
      <x:c r="R76" s="38" t="str">
        <x:v>["DATE-REGISTRATION-V1","DATE-PRODUCTION-MONTH-V1","UNIT-POWER-KW-V1","UNIT-DISPLACEMENT-CCM-V1","TRN-002","BDY-101","FUEL-001"]</x:v>
      </x:c>
      <x:c r="S76" s="38" t="str">
        <x:v>["MFR-BRAND-PREFIX-FALLBACK"]</x:v>
      </x:c>
      <x:c r="T76" s="38" t="str">
        <x:v>[]</x:v>
      </x:c>
      <x:c r="U76" s="38" t="str">
        <x:v>{"market":["SE"],"power_kw":200,"manufacturer":"Mercedes-Benz","bodywork_form":"sedan","energy_sources":["petrol"],"displacement_cc":3498,"production_date":"2007-01","production_year":2007,"manufacturer_role":"vehicle_manufacturer","power_source_unit":"kw","registration_date":"2007-03-16","transmission_type":"automatic","alias_types_present":["plate","vin"],"builder_converter_names":[],"displacement_source_unit":"ccm","production_date_precision":"month","bodywork_registry_label_sv":"Sedan"}</x:v>
      </x:c>
      <x:c r="V76" s="38" t="str">
        <x:v>{"manufacturer_confirmation":{"source_fields":["brand"],"canonical_name":"Mercedes-Benz"}}</x:v>
      </x:c>
      <x:c r="W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S 350","target":"normalized","rule_ids":["MFR-CLASSIFY-V1"],"sequence":3,"transformer_id":"ts.manufacturer","confidence_effect":0.2},{"after":"Mercedes-Benz","field":"manufacturer","before":"MERCEDES-BENZ S 350","target":"normalized","rule_ids":["MFR-CLASSIFY-V1"],"sequence":4,"transformer_id":"ts.manufacturer","confidence_effect":0.2},{"after":"vehicle_manufacturer","field":"manufacturer_role","before":"MERCEDES-BENZ S 350","target":"normalized","rule_ids":["MFR-CLASSIFY-V1"],"sequence":5,"transformer_id":"ts.manufacturer","confidence_effect":0.2},{"after":{"source_fields":["brand"],"canonical_name":"Mercedes-Benz"},"field":"manufacturer_confirmation","before":"MERCEDES-BENZ S 350","target":"candidate","rule_ids":["MFR-BRAND-PREFIX-FALLBACK"],"sequence":6,"transformer_id":"ts.manufacturer","confidence_effect":0.05},{"after":"2007-01","field":"production_date","before":{"build_month":"200701","vehicle_year":2007,"registration_date":"20070316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20070316"},"target":"normalized","rule_ids":["DATE-REGISTRATION-V1","DATE-PRODUCTION-MONTH-V1"],"sequence":8,"transformer_id":"ts.dates","confidence_effect":0.1},{"after":2007,"field":"production_year","before":{"build_month":"200701","vehicle_year":2007,"registration_date":"20070316"},"target":"normalized","rule_ids":["DATE-REGISTRATION-V1","DATE-PRODUCTION-MONTH-V1"],"sequence":9,"transformer_id":"ts.dates","confidence_effect":0.1},{"after":"2007-03-16","field":"registration_date","before":{"build_month":"200701","vehicle_year":2007,"registration_date":"20070316"},"target":"normalized","rule_ids":["DATE-REGISTRATION-V1","DATE-PRODUCTION-MONTH-V1"],"sequence":10,"transformer_id":"ts.dates","confidence_effect":0.1},{"after":3498,"field":"displacement_cc","before":{"kw":200,"ccm":3498},"target":"normalized","rule_ids":["UNIT-POWER-KW-V1","UNIT-DISPLACEMENT-CCM-V1"],"sequence":11,"transformer_id":"ts.engine-measurements","confidence_effect":0.1},{"after":"ccm","field":"displacement_source_unit","before":{"kw":200,"ccm":3498},"target":"normalized","rule_ids":["UNIT-POWER-KW-V1","UNIT-DISPLACEMENT-CCM-V1"],"sequence":12,"transformer_id":"ts.engine-measurements","confidence_effect":0.1},{"after":200,"field":"power_kw","before":{"kw":200,"ccm":3498},"target":"normalized","rule_ids":["UNIT-POWER-KW-V1","UNIT-DISPLACEMENT-CCM-V1"],"sequence":13,"transformer_id":"ts.engine-measurements","confidence_effect":0.1},{"after":"kw","field":"power_source_unit","before":{"kw":200,"ccm":3498},"target":"normalized","rule_ids":["UNIT-POWER-KW-V1","UNIT-DISPLACEMENT-CCM-V1"],"sequence":14,"transformer_id":"ts.engine-measurements","confidence_effect":0.1},{"after":"automatic","field":"transmission_type","before":{"gearbox":"A","variant":"I056K0","version":"NZAAB501"},"target":"normalized","rule_ids":["TRN-002"],"sequence":15,"transformer_id":"ts.transmission","confidence_effect":0.1},{"after":"sedan","field":"bodywork_form","before":{"variant":"I056K0","version":"NZAAB501","body_code":"AA","eu_category":"M1","vehicle_type":"PB"},"target":"normalized","rule_ids":["BDY-101"],"sequence":16,"transformer_id":"ts.bodywork","confidence_effect":0.1},{"after":"Sedan","field":"bodywork_registry_label_sv","before":{"variant":"I056K0","version":"NZAAB501","body_code":"AA","eu_category":"M1","vehicle_type":"PB"},"target":"normalized","rule_ids":["BDY-101"],"sequence":17,"transformer_id":"ts.bodywork","confidence_effect":0.1},{"after":["petrol"],"field":"energy_sources","before":{"fuel1":"1","fuel2":"0","fuel3":"0","variant":"I056K0","version":"NZAAB501"},"target":"normalized","rule_ids":["FUEL-001"],"sequence":18,"transformer_id":"ts.fuel","confidence_effect":0.0}]</x:v>
      </x:c>
      <x:c r="X76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" s="38" t="str">
        <x:v>{"candidates":{"manufacturer_confirmation":{"source_fields":["brand"],"canonical_name":"Mercedes-Benz"}},"confidence":0.8,"normalized":{"market":["SE"],"power_kw":200,"manufacturer":"Mercedes-Benz","bodywork_form":"sedan","energy_sources":["petrol"],"displacement_cc":3498,"production_date":"2007-01","production_year":2007,"manufacturer_role":"vehicle_manufacturer","power_source_unit":"kw","registration_date":"2007-03-16","transmission_type":"automatic","alias_types_present":["plate","vin"]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S 350","target":"normalized","rule_ids":["MFR-CLASSIFY-V1"],"sequence":3,"transformer_id":"ts.manufacturer","confidence_effect":0.2},{"after":"Mercedes-Benz","field":"manufacturer","before":"MERCEDES-BENZ S 350","target":"normalized","rule_ids":["MFR-CLASSIFY-V1"],"sequence":4,"transformer_id":"ts.manufacturer","confidence_effect":0.2},{"after":"vehicle_manufacturer","field":"manufacturer_role","before":"MERCEDES-BENZ S 350","target":"normalized","rule_ids":["MFR-CLASSIFY-V1"],"sequence":5,"transformer_id":"ts.manufacturer","confidence_effect":0.2},{"after":{"source_fields":["brand"],"canonical_name":"Mercedes-Benz"},"field":"manufacturer_confirmation","before":"MERCEDES-BENZ S 350","target":"candidate","rule_ids":["MFR-BRAND-PREFIX-FALLBACK"],"sequence":6,"transformer_id":"ts.manufacturer","confidence_effect":0.05},{"after":"2007-01","field":"production_date","before":{"build_month":"200701","vehicle_year":2007,"registration_date":"20070316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20070316"},"target":"normalized","rule_ids":["DATE-REGISTRATION-V1","DATE-PRODUCTION-MONTH-V1"],"sequence":8,"transformer_id":"ts.dates","confidence_effect":0.1},{"after":2007,"field":"production_year","before":{"build_month":"200701","vehicle_year":2007,"registration_date":"20070316"},"target":"normalized","rule_ids":["DATE-REGISTRATION-V1","DATE-PRODUCTION-MONTH-V1"],"sequence":9,"transformer_id":"ts.dates","confidence_effect":0.1},{"after":"2007-03-16","field":"registration_date","before":{"build_month":"200701","vehicle_year":2007,"registration_date":"20070316"},"target":"normalized","rule_ids":["DATE-REGISTRATION-V1","DATE-PRODUCTION-MONTH-V1"],"sequence":10,"transformer_id":"ts.dates","confidence_effect":0.1},{"after":3498,"field":"displacement_cc","before":{"kw":200,"ccm":3498},"target":"normalized","rule_ids":["UNIT-POWER-KW-V1","UNIT-DISPLACEMENT-CCM-V1"],"sequence":11,"transformer_id":"ts.engine-measurements","confidence_effect":0.1},{"after":"ccm","field":"displacement_source_unit","before":{"kw":200,"ccm":3498},"target":"normalized","rule_ids":["UNIT-POWER-KW-V1","UNIT-DISPLACEMENT-CCM-V1"],"sequence":12,"transformer_id":"ts.engine-measurements","confidence_effect":0.1},{"after":200,"field":"power_kw","before":{"kw":200,"ccm":3498},"target":"normalized","rule_ids":["UNIT-POWER-KW-V1","UNIT-DISPLACEMENT-CCM-V1"],"sequence":13,"transformer_id":"ts.engine-measurements","confidence_effect":0.1},{"after":"kw","field":"power_source_unit","before":{"kw":200,"ccm":3498},"target":"normalized","rule_ids":["UNIT-POWER-KW-V1","UNIT-DISPLACEMENT-CCM-V1"],"sequence":14,"transformer_id":"ts.engine-measurements","confidence_effect":0.1},{"after":"automatic","field":"transmission_type","before":{"gearbox":"A","variant":"I056K0","version":"NZAAB501"},"target":"normalized","rule_ids":["TRN-002"],"sequence":15,"transformer_id":"ts.transmission","confidence_effect":0.1},{"after":"sedan","field":"bodywork_form","before":{"variant":"I056K0","version":"NZAAB501","body_code":"AA","eu_category":"M1","vehicle_type":"PB"},"target":"normalized","rule_ids":["BDY-101"],"sequence":16,"transformer_id":"ts.bodywork","confidence_effect":0.1},{"after":"Sedan","field":"bodywork_registry_label_sv","before":{"variant":"I056K0","version":"NZAAB501","body_code":"AA","eu_category":"M1","vehicle_type":"PB"},"target":"normalized","rule_ids":["BDY-101"],"sequence":17,"transformer_id":"ts.bodywork","confidence_effect":0.1},{"after":["petrol"],"field":"energy_sources","before":{"fuel1":"1","fuel2":"0","fuel3":"0","variant":"I056K0","version":"NZAAB501"},"target":"normalized","rule_ids":["FUEL-001"],"sequence":18,"transformer_id":"ts.fuel","confidence_effect":0.0}],"pipeline_version":"normalization-pipeline-v4","candidate_rule_ids":["MFR-BRAND-PREFIX-FALLBACK"]}</x:v>
      </x:c>
      <x:c r="Z76" s="36" t="n">
        <x:v>46239.78067015046</x:v>
      </x:c>
      <x:c r="AA76" s="36" t="n">
        <x:v>46239.78067015046</x:v>
      </x:c>
    </x:row>
    <x:row r="77" ht="18" customHeight="1">
      <x:c r="A77" s="36" t="n">
        <x:v>2679</x:v>
      </x:c>
      <x:c r="B77" s="36" t="str">
        <x:v>264ba4d0-5697-556a-98ba-ab15385eab6a</x:v>
      </x:c>
      <x:c r="C77" s="36" t="str">
        <x:v>Transportstyrelsen</x:v>
      </x:c>
      <x:c r="D77" s="36" t="str">
        <x:v>normalization-review-passenger-250-v1-rules-20260805T184409855703Z</x:v>
      </x:c>
      <x:c r="E77" s="36" t="str">
        <x:v>staging.transportstyrelsen_raw</x:v>
      </x:c>
      <x:c r="F77" s="36" t="n">
        <x:v>2797</x:v>
      </x:c>
      <x:c r="G77" s="36" t="str">
        <x:v>ts-mapping-v1</x:v>
      </x:c>
      <x:c r="H77" s="36" t="str">
        <x:v>ts-review-20260805T184254528647Z</x:v>
      </x:c>
      <x:c r="I77" s="36" t="str">
        <x:v>normalization-pipeline-v4</x:v>
      </x:c>
      <x:c r="J77" s="36" t="str">
        <x:v>provisional</x:v>
      </x:c>
      <x:c r="K77" s="39" t="n">
        <x:v>0.8</x:v>
      </x:c>
      <x:c r="L77" s="36" t="str">
        <x:v>Volkswagen</x:v>
      </x:c>
      <x:c r="M77" s="36" t="str">
        <x:v>GOLF</x:v>
      </x:c>
      <x:c r="N77" s="36" t="str">
        <x:v>estate</x:v>
      </x:c>
      <x:c r="O77" s="38" t="str">
        <x:v>["petrol"]</x:v>
      </x:c>
      <x:c r="P77" s="36" t="str">
        <x:v>manual</x:v>
      </x:c>
      <x:c r="Q77" s="36" t="n">
        <x:v>2014</x:v>
      </x:c>
      <x:c r="R77" s="38" t="str">
        <x:v>["MFR-BRAND-CONFIRMED","MFR-BRAND-MODEL","MFR-BRAND-VIN-WMI","DATE-REGISTRATION-V1","DATE-PRODUCTION-MONTH-V1","UNIT-POWER-KW-V1","UNIT-DISPLACEMENT-CCM-V1","TRN-001","BDY-110","FUEL-001"]</x:v>
      </x:c>
      <x:c r="S77" s="38" t="str">
        <x:v>[]</x:v>
      </x:c>
      <x:c r="T77" s="38" t="str">
        <x:v>[]</x:v>
      </x:c>
      <x:c r="U77" s="38" t="str">
        <x:v>{"market":["SE"],"power_kw":77,"manufacturer":"Volkswagen","bodywork_form":"estate","energy_sources":["petrol"],"displacement_cc":1197,"production_date":"2014-09","production_year":2014,"manufacturer_role":"vehicle_manufacturer","power_source_unit":"kw","registration_date":"2014-10-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7" s="38" t="str">
        <x:v>{"model_family":"GOLF"}</x:v>
      </x:c>
      <x:c r="W77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-09","field":"production_date","before":{"build_month":"201409","vehicle_year":2014,"registration_date":"20141030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20141030"},"target":"normalized","rule_ids":["DATE-REGISTRATION-V1","DATE-PRODUCTION-MONTH-V1"],"sequence":10,"transformer_id":"ts.dates","confidence_effect":0.1},{"after":2014,"field":"production_year","before":{"build_month":"201409","vehicle_year":2014,"registration_date":"20141030"},"target":"normalized","rule_ids":["DATE-REGISTRATION-V1","DATE-PRODUCTION-MONTH-V1"],"sequence":11,"transformer_id":"ts.dates","confidence_effect":0.1},{"after":"2014-10-30","field":"registration_date","before":{"build_month":"201409","vehicle_year":2014,"registration_date":"20141030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GAC4CJZAX0","version":"FM6FM6AJ009N7MJON1VL00VR2"},"target":"normalized","rule_ids":["TRN-001"],"sequence":17,"transformer_id":"ts.transmission","confidence_effect":0.1},{"after":"estate","field":"bodywork_form","before":{"model":"GOLF","variant":"GAC4CJZAX0","version":"FM6FM6AJ009N7MJON1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JZAX0","version":"FM6FM6AJ009N7MJON1V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GAC4CJZAX0","version":"FM6FM6AJ009N7MJON1VL00VR2"},"target":"normalized","rule_ids":["FUEL-001"],"sequence":20,"transformer_id":"ts.fuel","confidence_effect":0.0}]</x:v>
      </x:c>
      <x:c r="X7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" s="38" t="str">
        <x:v>{"candidates":{"model_family":"GOLF"},"confidence":0.8,"normalized":{"market":["SE"],"power_kw":77,"manufacturer":"Volkswagen","bodywork_form":"estate","energy_sources":["petrol"],"displacement_cc":1197,"production_date":"2014-09","production_year":2014,"manufacturer_role":"vehicle_manufacturer","power_source_unit":"kw","registration_date":"2014-10-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-09","field":"production_date","before":{"build_month":"201409","vehicle_year":2014,"registration_date":"20141030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20141030"},"target":"normalized","rule_ids":["DATE-REGISTRATION-V1","DATE-PRODUCTION-MONTH-V1"],"sequence":10,"transformer_id":"ts.dates","confidence_effect":0.1},{"after":2014,"field":"production_year","before":{"build_month":"201409","vehicle_year":2014,"registration_date":"20141030"},"target":"normalized","rule_ids":["DATE-REGISTRATION-V1","DATE-PRODUCTION-MONTH-V1"],"sequence":11,"transformer_id":"ts.dates","confidence_effect":0.1},{"after":"2014-10-30","field":"registration_date","before":{"build_month":"201409","vehicle_year":2014,"registration_date":"20141030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GAC4CJZAX0","version":"FM6FM6AJ009N7MJON1VL00VR2"},"target":"normalized","rule_ids":["TRN-001"],"sequence":17,"transformer_id":"ts.transmission","confidence_effect":0.1},{"after":"estate","field":"bodywork_form","before":{"model":"GOLF","variant":"GAC4CJZAX0","version":"FM6FM6AJ009N7MJON1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JZAX0","version":"FM6FM6AJ009N7MJON1V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GAC4CJZAX0","version":"FM6FM6AJ009N7MJON1VL00VR2"},"target":"normalized","rule_ids":["FUEL-001"],"sequence":20,"transformer_id":"ts.fuel","confidence_effect":0.0}],"pipeline_version":"normalization-pipeline-v4","candidate_rule_ids":[]}</x:v>
      </x:c>
      <x:c r="Z77" s="36" t="n">
        <x:v>46239.78067015046</x:v>
      </x:c>
      <x:c r="AA77" s="36" t="n">
        <x:v>46239.78067015046</x:v>
      </x:c>
    </x:row>
    <x:row r="78" ht="18" customHeight="1">
      <x:c r="A78" s="36" t="n">
        <x:v>2680</x:v>
      </x:c>
      <x:c r="B78" s="36" t="str">
        <x:v>d0d196a3-09d6-50aa-a32a-2b2658af029b</x:v>
      </x:c>
      <x:c r="C78" s="36" t="str">
        <x:v>Transportstyrelsen</x:v>
      </x:c>
      <x:c r="D78" s="36" t="str">
        <x:v>normalization-review-passenger-250-v1-rules-20260805T184409855703Z</x:v>
      </x:c>
      <x:c r="E78" s="36" t="str">
        <x:v>staging.transportstyrelsen_raw</x:v>
      </x:c>
      <x:c r="F78" s="36" t="n">
        <x:v>2798</x:v>
      </x:c>
      <x:c r="G78" s="36" t="str">
        <x:v>ts-mapping-v1</x:v>
      </x:c>
      <x:c r="H78" s="36" t="str">
        <x:v>ts-review-20260805T184254528647Z</x:v>
      </x:c>
      <x:c r="I78" s="36" t="str">
        <x:v>normalization-pipeline-v4</x:v>
      </x:c>
      <x:c r="J78" s="36" t="str">
        <x:v>resolved</x:v>
      </x:c>
      <x:c r="K78" s="39" t="n">
        <x:v>0.95</x:v>
      </x:c>
      <x:c r="L78" s="36" t="str">
        <x:v>Studebaker</x:v>
      </x:c>
      <x:c r="M78" s="36"/>
      <x:c r="N78" s="36" t="str">
        <x:v>covered_body</x:v>
      </x:c>
      <x:c r="O78" s="38" t="str">
        <x:v>["petrol"]</x:v>
      </x:c>
      <x:c r="P78" s="36" t="str">
        <x:v>manual</x:v>
      </x:c>
      <x:c r="Q78" s="36" t="n">
        <x:v>1955</x:v>
      </x:c>
      <x:c r="R78" s="38" t="str">
        <x:v>["MFR-BRAND-LEGACY-EXACT","DATE-REGISTRATION-V1","DATE-PRODUCTION-YEAR-V1","UNIT-POWER-KW-V1","TRN-001","BDY-102","FUEL-001"]</x:v>
      </x:c>
      <x:c r="S78" s="38" t="str">
        <x:v>[]</x:v>
      </x:c>
      <x:c r="T78" s="38" t="str">
        <x:v>[]</x:v>
      </x:c>
      <x:c r="U78" s="38" t="str">
        <x:v>{"market":["SE"],"power_kw":129,"manufacturer":"Studebaker","bodywork_form":"covered_body","energy_sources":["petrol"],"production_year":1955,"manufacturer_role":"vehicle_manufacturer","power_source_unit":"kw","registration_date":"2009-06-26","transmission_type":"manual","alias_types_present":["plate","vin"],"builder_converter_names":[],"production_date_precision":"model_year","bodywork_registry_label_sv":"Täckt"}</x:v>
      </x:c>
      <x:c r="V78" s="38" t="str">
        <x:v>{}</x:v>
      </x:c>
      <x:c r="W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TUDEBAKER PRESIDENT","target":"normalized","rule_ids":["MFR-BRAND-LEGACY-EXACT"],"sequence":3,"transformer_id":"ts.manufacturer","confidence_effect":0.2},{"after":"Studebaker","field":"manufacturer","before":"STUDEBAKER PRESIDENT","target":"normalized","rule_ids":["MFR-BRAND-LEGACY-EXACT"],"sequence":4,"transformer_id":"ts.manufacturer","confidence_effect":0.2},{"after":"vehicle_manufacturer","field":"manufacturer_role","before":"STUDEBAKER PRESIDENT","target":"normalized","rule_ids":["MFR-BRAND-LEGACY-EXACT"],"sequence":5,"transformer_id":"ts.manufacturer","confidence_effect":0.2},{"after":"model_year","field":"production_date_precision","before":{"model_year":1955,"vehicle_year":1955,"registration_date":"20090626"},"target":"normalized","rule_ids":["DATE-REGISTRATION-V1","DATE-PRODUCTION-YEAR-V1"],"sequence":6,"transformer_id":"ts.dates","confidence_effect":0.1},{"after":1955,"field":"production_year","before":{"model_year":1955,"vehicle_year":1955,"registration_date":"20090626"},"target":"normalized","rule_ids":["DATE-REGISTRATION-V1","DATE-PRODUCTION-YEAR-V1"],"sequence":7,"transformer_id":"ts.dates","confidence_effect":0.1},{"after":"2009-06-26","field":"registration_date","before":{"model_year":1955,"vehicle_year":1955,"registration_date":"20090626"},"target":"normalized","rule_ids":["DATE-REGISTRATION-V1","DATE-PRODUCTION-YEAR-V1"],"sequence":8,"transformer_id":"ts.dates","confidence_effect":0.1},{"after":129,"field":"power_kw","before":129,"target":"normalized","rule_ids":["UNIT-POWER-KW-V1"],"sequence":9,"transformer_id":"ts.engine-measurements","confidence_effect":0.1},{"after":"kw","field":"power_source_unit","before":129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7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" s="38" t="str">
        <x:v>{"candidates":{},"confidence":0.95,"normalized":{"market":["SE"],"power_kw":129,"manufacturer":"Studebaker","bodywork_form":"covered_body","energy_sources":["petrol"],"production_year":1955,"manufacturer_role":"vehicle_manufacturer","power_source_unit":"kw","registration_date":"2009-06-26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TUDEBAKER PRESIDENT","target":"normalized","rule_ids":["MFR-BRAND-LEGACY-EXACT"],"sequence":3,"transformer_id":"ts.manufacturer","confidence_effect":0.2},{"after":"Studebaker","field":"manufacturer","before":"STUDEBAKER PRESIDENT","target":"normalized","rule_ids":["MFR-BRAND-LEGACY-EXACT"],"sequence":4,"transformer_id":"ts.manufacturer","confidence_effect":0.2},{"after":"vehicle_manufacturer","field":"manufacturer_role","before":"STUDEBAKER PRESIDENT","target":"normalized","rule_ids":["MFR-BRAND-LEGACY-EXACT"],"sequence":5,"transformer_id":"ts.manufacturer","confidence_effect":0.2},{"after":"model_year","field":"production_date_precision","before":{"model_year":1955,"vehicle_year":1955,"registration_date":"20090626"},"target":"normalized","rule_ids":["DATE-REGISTRATION-V1","DATE-PRODUCTION-YEAR-V1"],"sequence":6,"transformer_id":"ts.dates","confidence_effect":0.1},{"after":1955,"field":"production_year","before":{"model_year":1955,"vehicle_year":1955,"registration_date":"20090626"},"target":"normalized","rule_ids":["DATE-REGISTRATION-V1","DATE-PRODUCTION-YEAR-V1"],"sequence":7,"transformer_id":"ts.dates","confidence_effect":0.1},{"after":"2009-06-26","field":"registration_date","before":{"model_year":1955,"vehicle_year":1955,"registration_date":"20090626"},"target":"normalized","rule_ids":["DATE-REGISTRATION-V1","DATE-PRODUCTION-YEAR-V1"],"sequence":8,"transformer_id":"ts.dates","confidence_effect":0.1},{"after":129,"field":"power_kw","before":129,"target":"normalized","rule_ids":["UNIT-POWER-KW-V1"],"sequence":9,"transformer_id":"ts.engine-measurements","confidence_effect":0.1},{"after":"kw","field":"power_source_unit","before":129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78" s="36" t="n">
        <x:v>46239.78067015046</x:v>
      </x:c>
      <x:c r="AA78" s="36" t="n">
        <x:v>46239.78067015046</x:v>
      </x:c>
    </x:row>
    <x:row r="79" ht="18" customHeight="1">
      <x:c r="A79" s="36" t="n">
        <x:v>2681</x:v>
      </x:c>
      <x:c r="B79" s="36" t="str">
        <x:v>8c01d088-1679-5ea1-bfaf-65567e61b627</x:v>
      </x:c>
      <x:c r="C79" s="36" t="str">
        <x:v>Transportstyrelsen</x:v>
      </x:c>
      <x:c r="D79" s="36" t="str">
        <x:v>normalization-review-passenger-250-v1-rules-20260805T184409855703Z</x:v>
      </x:c>
      <x:c r="E79" s="36" t="str">
        <x:v>staging.transportstyrelsen_raw</x:v>
      </x:c>
      <x:c r="F79" s="36" t="n">
        <x:v>2799</x:v>
      </x:c>
      <x:c r="G79" s="36" t="str">
        <x:v>ts-mapping-v1</x:v>
      </x:c>
      <x:c r="H79" s="36" t="str">
        <x:v>ts-review-20260805T184254528647Z</x:v>
      </x:c>
      <x:c r="I79" s="36" t="str">
        <x:v>normalization-pipeline-v4</x:v>
      </x:c>
      <x:c r="J79" s="36" t="str">
        <x:v>provisional</x:v>
      </x:c>
      <x:c r="K79" s="39" t="n">
        <x:v>0.8</x:v>
      </x:c>
      <x:c r="L79" s="36" t="str">
        <x:v>Volvo</x:v>
      </x:c>
      <x:c r="M79" s="36" t="str">
        <x:v>V60</x:v>
      </x:c>
      <x:c r="N79" s="36" t="str">
        <x:v>estate</x:v>
      </x:c>
      <x:c r="O79" s="38" t="str">
        <x:v>["petrol"]</x:v>
      </x:c>
      <x:c r="P79" s="36" t="str">
        <x:v>manual</x:v>
      </x:c>
      <x:c r="Q79" s="36" t="n">
        <x:v>2011</x:v>
      </x:c>
      <x:c r="R79" s="38" t="str">
        <x:v>["MFR-BRAND-CONFIRMED","MFR-BRAND-MODEL","MFR-BRAND-VIN-WMI","DATE-REGISTRATION-V1","DATE-PRODUCTION-MONTH-V1","UNIT-POWER-KW-V1","UNIT-DISPLACEMENT-CCM-V1","TRN-001","BDY-110","FUEL-001"]</x:v>
      </x:c>
      <x:c r="S79" s="38" t="str">
        <x:v>[]</x:v>
      </x:c>
      <x:c r="T79" s="38" t="str">
        <x:v>[]</x:v>
      </x:c>
      <x:c r="U79" s="38" t="str">
        <x:v>{"market":["SE"],"power_kw":132,"manufacturer":"Volvo","bodywork_form":"estate","energy_sources":["petrol"],"displacement_cc":1596,"production_date":"2011-08","production_year":2011,"manufacturer_role":"vehicle_manufacturer","power_source_unit":"kw","registration_date":"2011-09-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9" s="38" t="str">
        <x:v>{"model_family":"V60"}</x:v>
      </x:c>
      <x:c r="W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2011-08","field":"production_date","before":{"build_month":"201108","vehicle_year":2011,"registration_date":"20110902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20110902"},"target":"normalized","rule_ids":["DATE-REGISTRATION-V1","DATE-PRODUCTION-MONTH-V1"],"sequence":9,"transformer_id":"ts.dates","confidence_effect":0.1},{"after":2011,"field":"production_year","before":{"build_month":"201108","vehicle_year":2011,"registration_date":"20110902"},"target":"normalized","rule_ids":["DATE-REGISTRATION-V1","DATE-PRODUCTION-MONTH-V1"],"sequence":10,"transformer_id":"ts.dates","confidence_effect":0.1},{"after":"2011-09-02","field":"registration_date","before":{"build_month":"201108","vehicle_year":2011,"registration_date":"20110902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60","gearbox":"M","variant":"FW48","version":"FW48A1??"},"target":"normalized","rule_ids":["TRN-001"],"sequence":16,"transformer_id":"ts.transmission","confidence_effect":0.1},{"after":"estate","field":"bodywork_form","before":{"model":"V60","variant":"FW48","version":"FW48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48","version":"FW48A1?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FW48","version":"FW48A1??"},"target":"normalized","rule_ids":["FUEL-001"],"sequence":19,"transformer_id":"ts.fuel","confidence_effect":0.0}]</x:v>
      </x:c>
      <x:c r="X7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" s="38" t="str">
        <x:v>{"candidates":{"model_family":"V60"},"confidence":0.8,"normalized":{"market":["SE"],"power_kw":132,"manufacturer":"Volvo","bodywork_form":"estate","energy_sources":["petrol"],"displacement_cc":1596,"production_date":"2011-08","production_year":2011,"manufacturer_role":"vehicle_manufacturer","power_source_unit":"kw","registration_date":"2011-09-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2011-08","field":"production_date","before":{"build_month":"201108","vehicle_year":2011,"registration_date":"20110902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20110902"},"target":"normalized","rule_ids":["DATE-REGISTRATION-V1","DATE-PRODUCTION-MONTH-V1"],"sequence":9,"transformer_id":"ts.dates","confidence_effect":0.1},{"after":2011,"field":"production_year","before":{"build_month":"201108","vehicle_year":2011,"registration_date":"20110902"},"target":"normalized","rule_ids":["DATE-REGISTRATION-V1","DATE-PRODUCTION-MONTH-V1"],"sequence":10,"transformer_id":"ts.dates","confidence_effect":0.1},{"after":"2011-09-02","field":"registration_date","before":{"build_month":"201108","vehicle_year":2011,"registration_date":"20110902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60","gearbox":"M","variant":"FW48","version":"FW48A1??"},"target":"normalized","rule_ids":["TRN-001"],"sequence":16,"transformer_id":"ts.transmission","confidence_effect":0.1},{"after":"estate","field":"bodywork_form","before":{"model":"V60","variant":"FW48","version":"FW48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48","version":"FW48A1?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FW48","version":"FW48A1??"},"target":"normalized","rule_ids":["FUEL-001"],"sequence":19,"transformer_id":"ts.fuel","confidence_effect":0.0}],"pipeline_version":"normalization-pipeline-v4","candidate_rule_ids":[]}</x:v>
      </x:c>
      <x:c r="Z79" s="36" t="n">
        <x:v>46239.78067015046</x:v>
      </x:c>
      <x:c r="AA79" s="36" t="n">
        <x:v>46239.78067015046</x:v>
      </x:c>
    </x:row>
    <x:row r="80" ht="18" customHeight="1">
      <x:c r="A80" s="36" t="n">
        <x:v>2682</x:v>
      </x:c>
      <x:c r="B80" s="36" t="str">
        <x:v>ef562a42-20ba-5505-b79a-f04cb06577ec</x:v>
      </x:c>
      <x:c r="C80" s="36" t="str">
        <x:v>Transportstyrelsen</x:v>
      </x:c>
      <x:c r="D80" s="36" t="str">
        <x:v>normalization-review-passenger-250-v1-rules-20260805T184409855703Z</x:v>
      </x:c>
      <x:c r="E80" s="36" t="str">
        <x:v>staging.transportstyrelsen_raw</x:v>
      </x:c>
      <x:c r="F80" s="36" t="n">
        <x:v>2800</x:v>
      </x:c>
      <x:c r="G80" s="36" t="str">
        <x:v>ts-mapping-v1</x:v>
      </x:c>
      <x:c r="H80" s="36" t="str">
        <x:v>ts-review-20260805T184254528647Z</x:v>
      </x:c>
      <x:c r="I80" s="36" t="str">
        <x:v>normalization-pipeline-v4</x:v>
      </x:c>
      <x:c r="J80" s="36" t="str">
        <x:v>provisional</x:v>
      </x:c>
      <x:c r="K80" s="39" t="n">
        <x:v>0.8</x:v>
      </x:c>
      <x:c r="L80" s="36" t="str">
        <x:v>Ford</x:v>
      </x:c>
      <x:c r="M80" s="36"/>
      <x:c r="N80" s="36" t="str">
        <x:v>covered_body</x:v>
      </x:c>
      <x:c r="O80" s="38" t="str">
        <x:v>["petrol"]</x:v>
      </x:c>
      <x:c r="P80" s="36" t="str">
        <x:v>manual</x:v>
      </x:c>
      <x:c r="Q80" s="36" t="n">
        <x:v>1926</x:v>
      </x:c>
      <x:c r="R80" s="38" t="str">
        <x:v>["DATE-REGISTRATION-V1","DATE-PRODUCTION-YEAR-V1","UNIT-POWER-KW-V1","TRN-001","BDY-102","FUEL-001"]</x:v>
      </x:c>
      <x:c r="S80" s="38" t="str">
        <x:v>["MFR-BRAND-PREFIX-FALLBACK"]</x:v>
      </x:c>
      <x:c r="T80" s="38" t="str">
        <x:v>[]</x:v>
      </x:c>
      <x:c r="U80" s="38" t="str">
        <x:v>{"market":["SE"],"power_kw":15,"manufacturer":"Ford","bodywork_form":"covered_body","energy_sources":["petrol"],"production_year":1926,"manufacturer_role":"vehicle_manufacturer","power_source_unit":"kw","registration_date":"2006-04-01","transmission_type":"manual","alias_types_present":["plate","vin"],"builder_converter_names":[],"production_date_precision":"model_year","bodywork_registry_label_sv":"Täckt"}</x:v>
      </x:c>
      <x:c r="V80" s="38" t="str">
        <x:v>{"manufacturer_confirmation":{"source_fields":["brand"],"canonical_name":"Ford"}}</x:v>
      </x:c>
      <x:c r="W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MODEL T","target":"normalized","rule_ids":["MFR-CLASSIFY-V1"],"sequence":3,"transformer_id":"ts.manufacturer","confidence_effect":0.2},{"after":"Ford","field":"manufacturer","before":"FORD MODEL T","target":"normalized","rule_ids":["MFR-CLASSIFY-V1"],"sequence":4,"transformer_id":"ts.manufacturer","confidence_effect":0.2},{"after":"vehicle_manufacturer","field":"manufacturer_role","before":"FORD MODEL T","target":"normalized","rule_ids":["MFR-CLASSIFY-V1"],"sequence":5,"transformer_id":"ts.manufacturer","confidence_effect":0.2},{"after":{"source_fields":["brand"],"canonical_name":"Ford"},"field":"manufacturer_confirmation","before":"FORD MODEL T","target":"candidate","rule_ids":["MFR-BRAND-PREFIX-FALLBACK"],"sequence":6,"transformer_id":"ts.manufacturer","confidence_effect":0.05},{"after":"model_year","field":"production_date_precision","before":{"model_year":1926,"vehicle_year":1926,"registration_date":"20060401"},"target":"normalized","rule_ids":["DATE-REGISTRATION-V1","DATE-PRODUCTION-YEAR-V1"],"sequence":7,"transformer_id":"ts.dates","confidence_effect":0.1},{"after":1926,"field":"production_year","before":{"model_year":1926,"vehicle_year":1926,"registration_date":"20060401"},"target":"normalized","rule_ids":["DATE-REGISTRATION-V1","DATE-PRODUCTION-YEAR-V1"],"sequence":8,"transformer_id":"ts.dates","confidence_effect":0.1},{"after":"2006-04-01","field":"registration_date","before":{"model_year":1926,"vehicle_year":1926,"registration_date":"20060401"},"target":"normalized","rule_ids":["DATE-REGISTRATION-V1","DATE-PRODUCTION-YEAR-V1"],"sequence":9,"transformer_id":"ts.dates","confidence_effect":0.1},{"after":15,"field":"power_kw","before":15,"target":"normalized","rule_ids":["UNIT-POWER-KW-V1"],"sequence":10,"transformer_id":"ts.engine-measurements","confidence_effect":0.1},{"after":"kw","field":"power_source_unit","before":15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" s="38" t="str">
        <x:v>{"candidates":{"manufacturer_confirmation":{"source_fields":["brand"],"canonical_name":"Ford"}},"confidence":0.8,"normalized":{"market":["SE"],"power_kw":15,"manufacturer":"Ford","bodywork_form":"covered_body","energy_sources":["petrol"],"production_year":1926,"manufacturer_role":"vehicle_manufacturer","power_source_unit":"kw","registration_date":"2006-04-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MODEL T","target":"normalized","rule_ids":["MFR-CLASSIFY-V1"],"sequence":3,"transformer_id":"ts.manufacturer","confidence_effect":0.2},{"after":"Ford","field":"manufacturer","before":"FORD MODEL T","target":"normalized","rule_ids":["MFR-CLASSIFY-V1"],"sequence":4,"transformer_id":"ts.manufacturer","confidence_effect":0.2},{"after":"vehicle_manufacturer","field":"manufacturer_role","before":"FORD MODEL T","target":"normalized","rule_ids":["MFR-CLASSIFY-V1"],"sequence":5,"transformer_id":"ts.manufacturer","confidence_effect":0.2},{"after":{"source_fields":["brand"],"canonical_name":"Ford"},"field":"manufacturer_confirmation","before":"FORD MODEL T","target":"candidate","rule_ids":["MFR-BRAND-PREFIX-FALLBACK"],"sequence":6,"transformer_id":"ts.manufacturer","confidence_effect":0.05},{"after":"model_year","field":"production_date_precision","before":{"model_year":1926,"vehicle_year":1926,"registration_date":"20060401"},"target":"normalized","rule_ids":["DATE-REGISTRATION-V1","DATE-PRODUCTION-YEAR-V1"],"sequence":7,"transformer_id":"ts.dates","confidence_effect":0.1},{"after":1926,"field":"production_year","before":{"model_year":1926,"vehicle_year":1926,"registration_date":"20060401"},"target":"normalized","rule_ids":["DATE-REGISTRATION-V1","DATE-PRODUCTION-YEAR-V1"],"sequence":8,"transformer_id":"ts.dates","confidence_effect":0.1},{"after":"2006-04-01","field":"registration_date","before":{"model_year":1926,"vehicle_year":1926,"registration_date":"20060401"},"target":"normalized","rule_ids":["DATE-REGISTRATION-V1","DATE-PRODUCTION-YEAR-V1"],"sequence":9,"transformer_id":"ts.dates","confidence_effect":0.1},{"after":15,"field":"power_kw","before":15,"target":"normalized","rule_ids":["UNIT-POWER-KW-V1"],"sequence":10,"transformer_id":"ts.engine-measurements","confidence_effect":0.1},{"after":"kw","field":"power_source_unit","before":15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0" s="36" t="n">
        <x:v>46239.78067015046</x:v>
      </x:c>
      <x:c r="AA80" s="36" t="n">
        <x:v>46239.78067015046</x:v>
      </x:c>
    </x:row>
    <x:row r="81" ht="18" customHeight="1">
      <x:c r="A81" s="36" t="n">
        <x:v>2683</x:v>
      </x:c>
      <x:c r="B81" s="36" t="str">
        <x:v>4e2537d5-9787-58c8-9722-cf0c30983eff</x:v>
      </x:c>
      <x:c r="C81" s="36" t="str">
        <x:v>Transportstyrelsen</x:v>
      </x:c>
      <x:c r="D81" s="36" t="str">
        <x:v>normalization-review-passenger-250-v1-rules-20260805T184409855703Z</x:v>
      </x:c>
      <x:c r="E81" s="36" t="str">
        <x:v>staging.transportstyrelsen_raw</x:v>
      </x:c>
      <x:c r="F81" s="36" t="n">
        <x:v>2801</x:v>
      </x:c>
      <x:c r="G81" s="36" t="str">
        <x:v>ts-mapping-v1</x:v>
      </x:c>
      <x:c r="H81" s="36" t="str">
        <x:v>ts-review-20260805T184254528647Z</x:v>
      </x:c>
      <x:c r="I81" s="36" t="str">
        <x:v>normalization-pipeline-v4</x:v>
      </x:c>
      <x:c r="J81" s="36" t="str">
        <x:v>provisional</x:v>
      </x:c>
      <x:c r="K81" s="39" t="n">
        <x:v>0.8</x:v>
      </x:c>
      <x:c r="L81" s="36" t="str">
        <x:v>Volvo</x:v>
      </x:c>
      <x:c r="M81" s="36"/>
      <x:c r="N81" s="36" t="str">
        <x:v>estate</x:v>
      </x:c>
      <x:c r="O81" s="38" t="str">
        <x:v>["petrol"]</x:v>
      </x:c>
      <x:c r="P81" s="36" t="str">
        <x:v>automatic</x:v>
      </x:c>
      <x:c r="Q81" s="36" t="n">
        <x:v>1996</x:v>
      </x:c>
      <x:c r="R81" s="38" t="str">
        <x:v>["DATE-REGISTRATION-V1","DATE-PRODUCTION-YEAR-V1","UNIT-POWER-KW-V1","TRN-008","BDY-103","FUEL-001"]</x:v>
      </x:c>
      <x:c r="S81" s="38" t="str">
        <x:v>["MFR-BRAND-PREFIX-FALLBACK"]</x:v>
      </x:c>
      <x:c r="T81" s="38" t="str">
        <x:v>[]</x:v>
      </x:c>
      <x:c r="U81" s="38" t="str">
        <x:v>{"market":["SE"],"power_kw":99,"manufacturer":"Volvo","bodywork_form":"estate","energy_sources":["petrol"],"production_year":1996,"manufacturer_role":"vehicle_manufacturer","power_source_unit":"kw","registration_date":"1995-09-26","transmission_type":"automatic","alias_types_present":["plate","vin"],"builder_converter_names":[],"production_date_precision":"model_year","bodywork_registry_label_sv":"Kombi"}</x:v>
      </x:c>
      <x:c r="V81" s="38" t="str">
        <x:v>{"manufacturer_confirmation":{"source_fields":["brand"],"canonical_name":"Volvo"}}</x:v>
      </x:c>
      <x:c r="W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945-816 SE 2.3","target":"normalized","rule_ids":["MFR-CLASSIFY-V1"],"sequence":3,"transformer_id":"ts.manufacturer","confidence_effect":0.2},{"after":"Volvo","field":"manufacturer","before":"VOLVO 945-816 SE 2.3","target":"normalized","rule_ids":["MFR-CLASSIFY-V1"],"sequence":4,"transformer_id":"ts.manufacturer","confidence_effect":0.2},{"after":"vehicle_manufacturer","field":"manufacturer_role","before":"VOLVO 945-816 SE 2.3","target":"normalized","rule_ids":["MFR-CLASSIFY-V1"],"sequence":5,"transformer_id":"ts.manufacturer","confidence_effect":0.2},{"after":{"source_fields":["brand"],"canonical_name":"Volvo"},"field":"manufacturer_confirmation","before":"VOLVO 945-816 SE 2.3","target":"candidate","rule_ids":["MFR-BRAND-PREFIX-FALLBACK"],"sequence":6,"transformer_id":"ts.manufacturer","confidence_effect":0.05},{"after":"model_year","field":"production_date_precision","before":{"model_year":1996,"vehicle_year":1996,"registration_date":"19950926"},"target":"normalized","rule_ids":["DATE-REGISTRATION-V1","DATE-PRODUCTION-YEAR-V1"],"sequence":7,"transformer_id":"ts.dates","confidence_effect":0.1},{"after":1996,"field":"production_year","before":{"model_year":1996,"vehicle_year":1996,"registration_date":"19950926"},"target":"normalized","rule_ids":["DATE-REGISTRATION-V1","DATE-PRODUCTION-YEAR-V1"],"sequence":8,"transformer_id":"ts.dates","confidence_effect":0.1},{"after":"1995-09-26","field":"registration_date","before":{"model_year":1996,"vehicle_year":1996,"registration_date":"19950926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1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1996,"manufacturer_role":"vehicle_manufacturer","power_source_unit":"kw","registration_date":"1995-09-26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945-816 SE 2.3","target":"normalized","rule_ids":["MFR-CLASSIFY-V1"],"sequence":3,"transformer_id":"ts.manufacturer","confidence_effect":0.2},{"after":"Volvo","field":"manufacturer","before":"VOLVO 945-816 SE 2.3","target":"normalized","rule_ids":["MFR-CLASSIFY-V1"],"sequence":4,"transformer_id":"ts.manufacturer","confidence_effect":0.2},{"after":"vehicle_manufacturer","field":"manufacturer_role","before":"VOLVO 945-816 SE 2.3","target":"normalized","rule_ids":["MFR-CLASSIFY-V1"],"sequence":5,"transformer_id":"ts.manufacturer","confidence_effect":0.2},{"after":{"source_fields":["brand"],"canonical_name":"Volvo"},"field":"manufacturer_confirmation","before":"VOLVO 945-816 SE 2.3","target":"candidate","rule_ids":["MFR-BRAND-PREFIX-FALLBACK"],"sequence":6,"transformer_id":"ts.manufacturer","confidence_effect":0.05},{"after":"model_year","field":"production_date_precision","before":{"model_year":1996,"vehicle_year":1996,"registration_date":"19950926"},"target":"normalized","rule_ids":["DATE-REGISTRATION-V1","DATE-PRODUCTION-YEAR-V1"],"sequence":7,"transformer_id":"ts.dates","confidence_effect":0.1},{"after":1996,"field":"production_year","before":{"model_year":1996,"vehicle_year":1996,"registration_date":"19950926"},"target":"normalized","rule_ids":["DATE-REGISTRATION-V1","DATE-PRODUCTION-YEAR-V1"],"sequence":8,"transformer_id":"ts.dates","confidence_effect":0.1},{"after":"1995-09-26","field":"registration_date","before":{"model_year":1996,"vehicle_year":1996,"registration_date":"19950926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1" s="36" t="n">
        <x:v>46239.78067015046</x:v>
      </x:c>
      <x:c r="AA81" s="36" t="n">
        <x:v>46239.78067015046</x:v>
      </x:c>
    </x:row>
    <x:row r="82" ht="18" customHeight="1">
      <x:c r="A82" s="36" t="n">
        <x:v>2684</x:v>
      </x:c>
      <x:c r="B82" s="36" t="str">
        <x:v>8bce7ec1-21df-574b-9f1d-3e340c0ebcfc</x:v>
      </x:c>
      <x:c r="C82" s="36" t="str">
        <x:v>Transportstyrelsen</x:v>
      </x:c>
      <x:c r="D82" s="36" t="str">
        <x:v>normalization-review-passenger-250-v1-rules-20260805T184409855703Z</x:v>
      </x:c>
      <x:c r="E82" s="36" t="str">
        <x:v>staging.transportstyrelsen_raw</x:v>
      </x:c>
      <x:c r="F82" s="36" t="n">
        <x:v>2802</x:v>
      </x:c>
      <x:c r="G82" s="36" t="str">
        <x:v>ts-mapping-v1</x:v>
      </x:c>
      <x:c r="H82" s="36" t="str">
        <x:v>ts-review-20260805T184254528647Z</x:v>
      </x:c>
      <x:c r="I82" s="36" t="str">
        <x:v>normalization-pipeline-v4</x:v>
      </x:c>
      <x:c r="J82" s="36" t="str">
        <x:v>resolved</x:v>
      </x:c>
      <x:c r="K82" s="39" t="n">
        <x:v>0.95</x:v>
      </x:c>
      <x:c r="L82" s="36" t="str">
        <x:v>Fiat</x:v>
      </x:c>
      <x:c r="M82" s="36"/>
      <x:c r="N82" s="36" t="str">
        <x:v>multi_purpose_vehicle</x:v>
      </x:c>
      <x:c r="O82" s="38" t="str">
        <x:v>["diesel"]</x:v>
      </x:c>
      <x:c r="P82" s="36" t="str">
        <x:v>automatic</x:v>
      </x:c>
      <x:c r="Q82" s="36" t="n">
        <x:v>2020</x:v>
      </x:c>
      <x:c r="R82" s="38" t="str">
        <x:v>["MFR-107","DATE-REGISTRATION-V1","DATE-PRODUCTION-MONTH-V1","UNIT-POWER-KW-V1","UNIT-DISPLACEMENT-CCM-V1","TRN-002","BDY-113","FUEL-002"]</x:v>
      </x:c>
      <x:c r="S82" s="38" t="str">
        <x:v>[]</x:v>
      </x:c>
      <x:c r="T82" s="38" t="str">
        <x:v>[]</x:v>
      </x:c>
      <x:c r="U82" s="38" t="str">
        <x:v>{"market":["SE"],"power_kw":103,"manufacturer":"Fiat","bodywork_form":"multi_purpose_vehicle","energy_sources":["diesel"],"displacement_cc":2287,"production_date":"2020-10","production_year":2020,"manufacturer_role":"bodybuilder_converter","power_source_unit":"kw","registration_date":"2020-12-01","transmission_type":"automatic","alias_types_present":["plate","vin"],"builder_converter_names":["KABE"],"displacement_source_unit":"ccm","production_date_precision":"month","bodywork_registry_label_sv":"Fordon avsett för flera ändamål"}</x:v>
      </x:c>
      <x:c r="V82" s="38" t="str">
        <x:v>{}</x:v>
      </x:c>
      <x:c r="W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KABE"],"field":"builder_converter_names","before":{"brand":"KABE","manufacturer":"KABE AB BOX 14 561 06 TENHULT","base_manufacturer":"FCA ITALY S.P.A. C. SO G. AGNELLI 200 10135 TURIN ITALY"},"target":"normalized","rule_ids":["MFR-107"],"sequence":3,"transformer_id":"ts.manufacturer","confidence_effect":0.2},{"after":"Fiat","field":"manufacturer","before":{"brand":"KABE","manufacturer":"KABE AB BOX 14 561 06 TENHULT","base_manufacturer":"FCA ITALY S.P.A. C. SO G. AGNELLI 200 10135 TURIN ITALY"},"target":"normalized","rule_ids":["MFR-107"],"sequence":4,"transformer_id":"ts.manufacturer","confidence_effect":0.2},{"after":"bodybuilder_converter","field":"manufacturer_role","before":{"brand":"KABE","manufacturer":"KABE AB BOX 14 561 06 TENHULT","base_manufacturer":"FCA ITALY S.P.A. C. SO G. AGNELLI 200 10135 TURIN ITALY"},"target":"normalized","rule_ids":["MFR-107"],"sequence":5,"transformer_id":"ts.manufacturer","confidence_effect":0.2},{"after":"2020-10","field":"production_date","before":{"build_month":"202010","vehicle_year":2020,"registration_date":"20201201"},"target":"normalized","rule_ids":["DATE-REGISTRATION-V1","DATE-PRODUCTION-MONTH-V1"],"sequence":6,"transformer_id":"ts.dates","confidence_effect":0.1},{"after":"month","field":"production_date_precision","before":{"build_month":"202010","vehicle_year":2020,"registration_date":"20201201"},"target":"normalized","rule_ids":["DATE-REGISTRATION-V1","DATE-PRODUCTION-MONTH-V1"],"sequence":7,"transformer_id":"ts.dates","confidence_effect":0.1},{"after":2020,"field":"production_year","before":{"build_month":"202010","vehicle_year":2020,"registration_date":"20201201"},"target":"normalized","rule_ids":["DATE-REGISTRATION-V1","DATE-PRODUCTION-MONTH-V1"],"sequence":8,"transformer_id":"ts.dates","confidence_effect":0.1},{"after":"2020-12-01","field":"registration_date","before":{"build_month":"202010","vehicle_year":2020,"registration_date":"20201201"},"target":"normalized","rule_ids":["DATE-REGISTRATION-V1","DATE-PRODUCTION-MONTH-V1"],"sequence":9,"transformer_id":"ts.dates","confidence_effect":0.1},{"after":2287,"field":"displacement_cc","before":{"kw":103,"ccm":2287},"target":"normalized","rule_ids":["UNIT-POWER-KW-V1","UNIT-DISPLACEMENT-CCM-V1"],"sequence":10,"transformer_id":"ts.engine-measurements","confidence_effect":0.1},{"after":"ccm","field":"displacement_source_unit","before":{"kw":103,"ccm":2287},"target":"normalized","rule_ids":["UNIT-POWER-KW-V1","UNIT-DISPLACEMENT-CCM-V1"],"sequence":11,"transformer_id":"ts.engine-measurements","confidence_effect":0.1},{"after":103,"field":"power_kw","before":{"kw":103,"ccm":2287},"target":"normalized","rule_ids":["UNIT-POWER-KW-V1","UNIT-DISPLACEMENT-CCM-V1"],"sequence":12,"transformer_id":"ts.engine-measurements","confidence_effect":0.1},{"after":"kw","field":"power_source_unit","before":{"kw":103,"ccm":2287},"target":"normalized","rule_ids":["UNIT-POWER-KW-V1","UNIT-DISPLACEMENT-CCM-V1"],"sequence":13,"transformer_id":"ts.engine-measurements","confidence_effect":0.1},{"after":"automatic","field":"transmission_type","before":"A","target":"normalized","rule_ids":["TRN-002"],"sequence":14,"transformer_id":"ts.transmission","confidence_effect":0.1},{"after":"multi_purpose_vehicle","field":"bodywork_form","before":{"body_code":"AF","eu_category":"M1","vehicle_type":"PB"},"target":"normalized","rule_ids":["BDY-113"],"sequence":15,"transformer_id":"ts.bodywork","confidence_effect":0.1},{"after":"Fordon avsett för flera ändamål","field":"bodywork_registry_label_sv","before":{"body_code":"AF","eu_category":"M1","vehicle_type":"PB"},"target":"normalized","rule_ids":["BDY-113"],"sequence":16,"transformer_id":"ts.bodywork","confidence_effect":0.1},{"after":["diesel"],"field":"energy_sources","before":{"fuel1":"2","fuel2":"0","fuel3":"0"},"target":"normalized","rule_ids":["FUEL-002"],"sequence":17,"transformer_id":"ts.fuel","confidence_effect":0.0}]</x:v>
      </x:c>
      <x:c r="X8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" s="38" t="str">
        <x:v>{"candidates":{},"confidence":0.95,"normalized":{"market":["SE"],"power_kw":103,"manufacturer":"Fiat","bodywork_form":"multi_purpose_vehicle","energy_sources":["diesel"],"displacement_cc":2287,"production_date":"2020-10","production_year":2020,"manufacturer_role":"bodybuilder_converter","power_source_unit":"kw","registration_date":"2020-12-01","transmission_type":"automatic","alias_types_present":["plate","vin"],"builder_converter_names":["KABE"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KABE"],"field":"builder_converter_names","before":{"brand":"KABE","manufacturer":"KABE AB BOX 14 561 06 TENHULT","base_manufacturer":"FCA ITALY S.P.A. C. SO G. AGNELLI 200 10135 TURIN ITALY"},"target":"normalized","rule_ids":["MFR-107"],"sequence":3,"transformer_id":"ts.manufacturer","confidence_effect":0.2},{"after":"Fiat","field":"manufacturer","before":{"brand":"KABE","manufacturer":"KABE AB BOX 14 561 06 TENHULT","base_manufacturer":"FCA ITALY S.P.A. C. SO G. AGNELLI 200 10135 TURIN ITALY"},"target":"normalized","rule_ids":["MFR-107"],"sequence":4,"transformer_id":"ts.manufacturer","confidence_effect":0.2},{"after":"bodybuilder_converter","field":"manufacturer_role","before":{"brand":"KABE","manufacturer":"KABE AB BOX 14 561 06 TENHULT","base_manufacturer":"FCA ITALY S.P.A. C. SO G. AGNELLI 200 10135 TURIN ITALY"},"target":"normalized","rule_ids":["MFR-107"],"sequence":5,"transformer_id":"ts.manufacturer","confidence_effect":0.2},{"after":"2020-10","field":"production_date","before":{"build_month":"202010","vehicle_year":2020,"registration_date":"20201201"},"target":"normalized","rule_ids":["DATE-REGISTRATION-V1","DATE-PRODUCTION-MONTH-V1"],"sequence":6,"transformer_id":"ts.dates","confidence_effect":0.1},{"after":"month","field":"production_date_precision","before":{"build_month":"202010","vehicle_year":2020,"registration_date":"20201201"},"target":"normalized","rule_ids":["DATE-REGISTRATION-V1","DATE-PRODUCTION-MONTH-V1"],"sequence":7,"transformer_id":"ts.dates","confidence_effect":0.1},{"after":2020,"field":"production_year","before":{"build_month":"202010","vehicle_year":2020,"registration_date":"20201201"},"target":"normalized","rule_ids":["DATE-REGISTRATION-V1","DATE-PRODUCTION-MONTH-V1"],"sequence":8,"transformer_id":"ts.dates","confidence_effect":0.1},{"after":"2020-12-01","field":"registration_date","before":{"build_month":"202010","vehicle_year":2020,"registration_date":"20201201"},"target":"normalized","rule_ids":["DATE-REGISTRATION-V1","DATE-PRODUCTION-MONTH-V1"],"sequence":9,"transformer_id":"ts.dates","confidence_effect":0.1},{"after":2287,"field":"displacement_cc","before":{"kw":103,"ccm":2287},"target":"normalized","rule_ids":["UNIT-POWER-KW-V1","UNIT-DISPLACEMENT-CCM-V1"],"sequence":10,"transformer_id":"ts.engine-measurements","confidence_effect":0.1},{"after":"ccm","field":"displacement_source_unit","before":{"kw":103,"ccm":2287},"target":"normalized","rule_ids":["UNIT-POWER-KW-V1","UNIT-DISPLACEMENT-CCM-V1"],"sequence":11,"transformer_id":"ts.engine-measurements","confidence_effect":0.1},{"after":103,"field":"power_kw","before":{"kw":103,"ccm":2287},"target":"normalized","rule_ids":["UNIT-POWER-KW-V1","UNIT-DISPLACEMENT-CCM-V1"],"sequence":12,"transformer_id":"ts.engine-measurements","confidence_effect":0.1},{"after":"kw","field":"power_source_unit","before":{"kw":103,"ccm":2287},"target":"normalized","rule_ids":["UNIT-POWER-KW-V1","UNIT-DISPLACEMENT-CCM-V1"],"sequence":13,"transformer_id":"ts.engine-measurements","confidence_effect":0.1},{"after":"automatic","field":"transmission_type","before":"A","target":"normalized","rule_ids":["TRN-002"],"sequence":14,"transformer_id":"ts.transmission","confidence_effect":0.1},{"after":"multi_purpose_vehicle","field":"bodywork_form","before":{"body_code":"AF","eu_category":"M1","vehicle_type":"PB"},"target":"normalized","rule_ids":["BDY-113"],"sequence":15,"transformer_id":"ts.bodywork","confidence_effect":0.1},{"after":"Fordon avsett för flera ändamål","field":"bodywork_registry_label_sv","before":{"body_code":"AF","eu_category":"M1","vehicle_type":"PB"},"target":"normalized","rule_ids":["BDY-113"],"sequence":16,"transformer_id":"ts.bodywork","confidence_effect":0.1},{"after":["diesel"],"field":"energy_sources","before":{"fuel1":"2","fuel2":"0","fuel3":"0"},"target":"normalized","rule_ids":["FUEL-002"],"sequence":17,"transformer_id":"ts.fuel","confidence_effect":0.0}],"pipeline_version":"normalization-pipeline-v4","candidate_rule_ids":[]}</x:v>
      </x:c>
      <x:c r="Z82" s="36" t="n">
        <x:v>46239.78067015046</x:v>
      </x:c>
      <x:c r="AA82" s="36" t="n">
        <x:v>46239.78067015046</x:v>
      </x:c>
    </x:row>
    <x:row r="83" ht="18" customHeight="1">
      <x:c r="A83" s="36" t="n">
        <x:v>2685</x:v>
      </x:c>
      <x:c r="B83" s="36" t="str">
        <x:v>1670ce2c-569f-5afc-ab11-2bcaf30ca4af</x:v>
      </x:c>
      <x:c r="C83" s="36" t="str">
        <x:v>Transportstyrelsen</x:v>
      </x:c>
      <x:c r="D83" s="36" t="str">
        <x:v>normalization-review-passenger-250-v1-rules-20260805T184409855703Z</x:v>
      </x:c>
      <x:c r="E83" s="36" t="str">
        <x:v>staging.transportstyrelsen_raw</x:v>
      </x:c>
      <x:c r="F83" s="36" t="n">
        <x:v>2803</x:v>
      </x:c>
      <x:c r="G83" s="36" t="str">
        <x:v>ts-mapping-v1</x:v>
      </x:c>
      <x:c r="H83" s="36" t="str">
        <x:v>ts-review-20260805T184254528647Z</x:v>
      </x:c>
      <x:c r="I83" s="36" t="str">
        <x:v>normalization-pipeline-v4</x:v>
      </x:c>
      <x:c r="J83" s="36" t="str">
        <x:v>provisional</x:v>
      </x:c>
      <x:c r="K83" s="39" t="n">
        <x:v>0.8</x:v>
      </x:c>
      <x:c r="L83" s="36" t="str">
        <x:v>Hyundai</x:v>
      </x:c>
      <x:c r="M83" s="36" t="str">
        <x:v>KONA</x:v>
      </x:c>
      <x:c r="N83" s="36" t="str">
        <x:v>multi_purpose_vehicle</x:v>
      </x:c>
      <x:c r="O83" s="38" t="str">
        <x:v>["electricity"]</x:v>
      </x:c>
      <x:c r="P83" s="36"/>
      <x:c r="Q83" s="36" t="n">
        <x:v>2020</x:v>
      </x:c>
      <x:c r="R83" s="38" t="str">
        <x:v>["MFR-102","DATE-REGISTRATION-V1","DATE-PRODUCTION-MONTH-V1","BDY-113","FUEL-003","ELEC-001"]</x:v>
      </x:c>
      <x:c r="S83" s="38" t="str">
        <x:v>[]</x:v>
      </x:c>
      <x:c r="T83" s="38" t="str">
        <x:v>[]</x:v>
      </x:c>
      <x:c r="U83" s="38" t="str">
        <x:v>{"market":["SE"],"manufacturer":"Hyundai","bodywork_form":"multi_purpose_vehicle","energy_sources":["electricity"],"production_date":"2020-06","production_year":2020,"manufacturer_role":"vehicle_manufacturer","registration_date":"2020-09-03","alias_types_present":["plate","vin","model_name"],"electrification_type":"battery_electric","model_family_candidate":true,"builder_converter_names":[],"production_date_precision":"month","bodywork_registry_label_sv":"Fordon avsett för flera ändamål"}</x:v>
      </x:c>
      <x:c r="V83" s="38" t="str">
        <x:v>{"model_family":"KONA"}</x:v>
      </x:c>
      <x:c r="W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12,HEOLLEUNG-RO,SEOCHO-GU,SEOUL,KOREA"},"target":"normalized","rule_ids":["MFR-102"],"sequence":3,"transformer_id":"ts.manufacturer","confidence_effect":0.2},{"after":"Hyundai","field":"manufacturer","before":{"brand":"HYUNDAI","manufacturer":"HYUNDAI MOTOR COMPANY 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5,"transformer_id":"ts.manufacturer","confidence_effect":0.2},{"after":true,"field":"model_family_candidate","before":"KONA","target":"normalized","rule_ids":["MODEL-CANDIDATE-V1"],"sequence":6,"transformer_id":"ts.model-family","confidence_effect":0.0},{"after":"KONA","field":"model_family","before":"KONA","target":"candidate","rule_ids":["MODEL-CANDIDATE-V1"],"sequence":7,"transformer_id":"ts.model-family","confidence_effect":0.05},{"after":"2020-06","field":"production_date","before":{"build_month":"202006","vehicle_year":2020,"registration_date":"20200903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20200903"},"target":"normalized","rule_ids":["DATE-REGISTRATION-V1","DATE-PRODUCTION-MONTH-V1"],"sequence":9,"transformer_id":"ts.dates","confidence_effect":0.1},{"after":2020,"field":"production_year","before":{"build_month":"202006","vehicle_year":2020,"registration_date":"20200903"},"target":"normalized","rule_ids":["DATE-REGISTRATION-V1","DATE-PRODUCTION-MONTH-V1"],"sequence":10,"transformer_id":"ts.dates","confidence_effect":0.1},{"after":"2020-09-03","field":"registration_date","before":{"build_month":"202006","vehicle_year":2020,"registration_date":"20200903"},"target":"normalized","rule_ids":["DATE-REGISTRATION-V1","DATE-PRODUCTION-MONTH-V1"],"sequence":11,"transformer_id":"ts.dates","confidence_effect":0.1},{"after":"multi_purpose_vehicle","field":"bodywork_form","before":{"model":"KONA","variant":"F5E11","version":"E11D11","body_code":"AF","eu_category":"M1","vehicle_type":"PB"},"target":"normalized","rule_ids":["BDY-113"],"sequence":12,"transformer_id":"ts.bodywork","confidence_effect":0.1},{"after":"Fordon avsett för flera ändamål","field":"bodywork_registry_label_sv","before":{"model":"KONA","variant":"F5E11","version":"E11D11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KONA","variant":"F5E11","version":"E11D11","ev_config":"EL"},"target":"normalized","rule_ids":["FUEL-003","ELEC-001"],"sequence":14,"transformer_id":"ts.fuel","confidence_effect":0.0},{"after":["electricity"],"field":"energy_sources","before":{"fuel1":"3","fuel2":"0","fuel3":"0","model":"KONA","variant":"F5E11","version":"E11D11","ev_config":"EL"},"target":"normalized","rule_ids":["FUEL-003","ELEC-001"],"sequence":15,"transformer_id":"ts.fuel","confidence_effect":0.0}]</x:v>
      </x:c>
      <x:c r="X83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3" s="38" t="str">
        <x:v>{"candidates":{"model_family":"KONA"},"confidence":0.8,"normalized":{"market":["SE"],"manufacturer":"Hyundai","bodywork_form":"multi_purpose_vehicle","energy_sources":["electricity"],"production_date":"2020-06","production_year":2020,"manufacturer_role":"vehicle_manufacturer","registration_date":"2020-09-03","alias_types_present":["plate","vin","model_name"],"electrification_type":"battery_electric","model_family_candidate":true,"builder_converter_names":[]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12,HEOLLEUNG-RO,SEOCHO-GU,SEOUL,KOREA"},"target":"normalized","rule_ids":["MFR-102"],"sequence":3,"transformer_id":"ts.manufacturer","confidence_effect":0.2},{"after":"Hyundai","field":"manufacturer","before":{"brand":"HYUNDAI","manufacturer":"HYUNDAI MOTOR COMPANY 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5,"transformer_id":"ts.manufacturer","confidence_effect":0.2},{"after":true,"field":"model_family_candidate","before":"KONA","target":"normalized","rule_ids":["MODEL-CANDIDATE-V1"],"sequence":6,"transformer_id":"ts.model-family","confidence_effect":0.0},{"after":"KONA","field":"model_family","before":"KONA","target":"candidate","rule_ids":["MODEL-CANDIDATE-V1"],"sequence":7,"transformer_id":"ts.model-family","confidence_effect":0.05},{"after":"2020-06","field":"production_date","before":{"build_month":"202006","vehicle_year":2020,"registration_date":"20200903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20200903"},"target":"normalized","rule_ids":["DATE-REGISTRATION-V1","DATE-PRODUCTION-MONTH-V1"],"sequence":9,"transformer_id":"ts.dates","confidence_effect":0.1},{"after":2020,"field":"production_year","before":{"build_month":"202006","vehicle_year":2020,"registration_date":"20200903"},"target":"normalized","rule_ids":["DATE-REGISTRATION-V1","DATE-PRODUCTION-MONTH-V1"],"sequence":10,"transformer_id":"ts.dates","confidence_effect":0.1},{"after":"2020-09-03","field":"registration_date","before":{"build_month":"202006","vehicle_year":2020,"registration_date":"20200903"},"target":"normalized","rule_ids":["DATE-REGISTRATION-V1","DATE-PRODUCTION-MONTH-V1"],"sequence":11,"transformer_id":"ts.dates","confidence_effect":0.1},{"after":"multi_purpose_vehicle","field":"bodywork_form","before":{"model":"KONA","variant":"F5E11","version":"E11D11","body_code":"AF","eu_category":"M1","vehicle_type":"PB"},"target":"normalized","rule_ids":["BDY-113"],"sequence":12,"transformer_id":"ts.bodywork","confidence_effect":0.1},{"after":"Fordon avsett för flera ändamål","field":"bodywork_registry_label_sv","before":{"model":"KONA","variant":"F5E11","version":"E11D11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KONA","variant":"F5E11","version":"E11D11","ev_config":"EL"},"target":"normalized","rule_ids":["FUEL-003","ELEC-001"],"sequence":14,"transformer_id":"ts.fuel","confidence_effect":0.0},{"after":["electricity"],"field":"energy_sources","before":{"fuel1":"3","fuel2":"0","fuel3":"0","model":"KONA","variant":"F5E11","version":"E11D11","ev_config":"EL"},"target":"normalized","rule_ids":["FUEL-003","ELEC-001"],"sequence":15,"transformer_id":"ts.fuel","confidence_effect":0.0}],"pipeline_version":"normalization-pipeline-v4","candidate_rule_ids":[]}</x:v>
      </x:c>
      <x:c r="Z83" s="36" t="n">
        <x:v>46239.78067015046</x:v>
      </x:c>
      <x:c r="AA83" s="36" t="n">
        <x:v>46239.78067015046</x:v>
      </x:c>
    </x:row>
    <x:row r="84" ht="18" customHeight="1">
      <x:c r="A84" s="36" t="n">
        <x:v>2686</x:v>
      </x:c>
      <x:c r="B84" s="36" t="str">
        <x:v>6d9268a1-fed0-500b-a7d6-2a53cd1d8030</x:v>
      </x:c>
      <x:c r="C84" s="36" t="str">
        <x:v>Transportstyrelsen</x:v>
      </x:c>
      <x:c r="D84" s="36" t="str">
        <x:v>normalization-review-passenger-250-v1-rules-20260805T184409855703Z</x:v>
      </x:c>
      <x:c r="E84" s="36" t="str">
        <x:v>staging.transportstyrelsen_raw</x:v>
      </x:c>
      <x:c r="F84" s="36" t="n">
        <x:v>2804</x:v>
      </x:c>
      <x:c r="G84" s="36" t="str">
        <x:v>ts-mapping-v1</x:v>
      </x:c>
      <x:c r="H84" s="36" t="str">
        <x:v>ts-review-20260805T184254528647Z</x:v>
      </x:c>
      <x:c r="I84" s="36" t="str">
        <x:v>normalization-pipeline-v4</x:v>
      </x:c>
      <x:c r="J84" s="36" t="str">
        <x:v>resolved</x:v>
      </x:c>
      <x:c r="K84" s="39" t="n">
        <x:v>0.95</x:v>
      </x:c>
      <x:c r="L84" s="36" t="str">
        <x:v>Chevrolet</x:v>
      </x:c>
      <x:c r="M84" s="36"/>
      <x:c r="N84" s="36" t="str">
        <x:v>sedan</x:v>
      </x:c>
      <x:c r="O84" s="38" t="str">
        <x:v>["petrol"]</x:v>
      </x:c>
      <x:c r="P84" s="36" t="str">
        <x:v>automatic</x:v>
      </x:c>
      <x:c r="Q84" s="36" t="n">
        <x:v>1968</x:v>
      </x:c>
      <x:c r="R84" s="38" t="str">
        <x:v>["MFR-BRAND-LEGACY-EXACT","DATE-REGISTRATION-V1","DATE-PRODUCTION-YEAR-V1","UNIT-POWER-KW-V1","TRN-002","BDY-101","FUEL-001"]</x:v>
      </x:c>
      <x:c r="S84" s="38" t="str">
        <x:v>[]</x:v>
      </x:c>
      <x:c r="T84" s="38" t="str">
        <x:v>[]</x:v>
      </x:c>
      <x:c r="U84" s="38" t="str">
        <x:v>{"market":["SE"],"power_kw":187,"manufacturer":"Chevrolet","bodywork_form":"sedan","energy_sources":["petrol"],"production_year":1968,"manufacturer_role":"vehicle_manufacturer","power_source_unit":"kw","registration_date":"2020-07-27","transmission_type":"automatic","alias_types_present":["plate","vin"],"builder_converter_names":[],"production_date_precision":"model_year","bodywork_registry_label_sv":"Sedan"}</x:v>
      </x:c>
      <x:c r="V84" s="38" t="str">
        <x:v>{}</x:v>
      </x:c>
      <x:c r="W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IMPALA","target":"normalized","rule_ids":["MFR-BRAND-LEGACY-EXACT"],"sequence":3,"transformer_id":"ts.manufacturer","confidence_effect":0.2},{"after":"Chevrolet","field":"manufacturer","before":"CHEVROLET IMPALA","target":"normalized","rule_ids":["MFR-BRAND-LEGACY-EXACT"],"sequence":4,"transformer_id":"ts.manufacturer","confidence_effect":0.2},{"after":"vehicle_manufacturer","field":"manufacturer_role","before":"CHEVROLET IMPALA","target":"normalized","rule_ids":["MFR-BRAND-LEGACY-EXACT"],"sequence":5,"transformer_id":"ts.manufacturer","confidence_effect":0.2},{"after":"model_year","field":"production_date_precision","before":{"model_year":1968,"vehicle_year":1968,"registration_date":"20200727"},"target":"normalized","rule_ids":["DATE-REGISTRATION-V1","DATE-PRODUCTION-YEAR-V1"],"sequence":6,"transformer_id":"ts.dates","confidence_effect":0.1},{"after":1968,"field":"production_year","before":{"model_year":1968,"vehicle_year":1968,"registration_date":"20200727"},"target":"normalized","rule_ids":["DATE-REGISTRATION-V1","DATE-PRODUCTION-YEAR-V1"],"sequence":7,"transformer_id":"ts.dates","confidence_effect":0.1},{"after":"2020-07-27","field":"registration_date","before":{"model_year":1968,"vehicle_year":1968,"registration_date":"20200727"},"target":"normalized","rule_ids":["DATE-REGISTRATION-V1","DATE-PRODUCTION-YEAR-V1"],"sequence":8,"transformer_id":"ts.dates","confidence_effect":0.1},{"after":187,"field":"power_kw","before":187,"target":"normalized","rule_ids":["UNIT-POWER-KW-V1"],"sequence":9,"transformer_id":"ts.engine-measurements","confidence_effect":0.1},{"after":"kw","field":"power_source_unit","before":187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sedan","field":"bodywork_form","before":{"body_code":"AA","eu_category":"M1","vehicle_type":"PB"},"target":"normalized","rule_ids":["BDY-101"],"sequence":12,"transformer_id":"ts.bodywork","confidence_effect":0.1},{"after":"Sedan","field":"bodywork_registry_label_sv","before":{"body_code":"AA","eu_category":"M1","vehicle_type":"PB"},"target":"normalized","rule_ids":["BDY-101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84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" s="38" t="str">
        <x:v>{"candidates":{},"confidence":0.95,"normalized":{"market":["SE"],"power_kw":187,"manufacturer":"Chevrolet","bodywork_form":"sedan","energy_sources":["petrol"],"production_year":1968,"manufacturer_role":"vehicle_manufacturer","power_source_unit":"kw","registration_date":"2020-07-27","transmission_type":"automatic","alias_types_present":["plate","vin"],"builder_converter_names":[],"production_date_precision":"model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IMPALA","target":"normalized","rule_ids":["MFR-BRAND-LEGACY-EXACT"],"sequence":3,"transformer_id":"ts.manufacturer","confidence_effect":0.2},{"after":"Chevrolet","field":"manufacturer","before":"CHEVROLET IMPALA","target":"normalized","rule_ids":["MFR-BRAND-LEGACY-EXACT"],"sequence":4,"transformer_id":"ts.manufacturer","confidence_effect":0.2},{"after":"vehicle_manufacturer","field":"manufacturer_role","before":"CHEVROLET IMPALA","target":"normalized","rule_ids":["MFR-BRAND-LEGACY-EXACT"],"sequence":5,"transformer_id":"ts.manufacturer","confidence_effect":0.2},{"after":"model_year","field":"production_date_precision","before":{"model_year":1968,"vehicle_year":1968,"registration_date":"20200727"},"target":"normalized","rule_ids":["DATE-REGISTRATION-V1","DATE-PRODUCTION-YEAR-V1"],"sequence":6,"transformer_id":"ts.dates","confidence_effect":0.1},{"after":1968,"field":"production_year","before":{"model_year":1968,"vehicle_year":1968,"registration_date":"20200727"},"target":"normalized","rule_ids":["DATE-REGISTRATION-V1","DATE-PRODUCTION-YEAR-V1"],"sequence":7,"transformer_id":"ts.dates","confidence_effect":0.1},{"after":"2020-07-27","field":"registration_date","before":{"model_year":1968,"vehicle_year":1968,"registration_date":"20200727"},"target":"normalized","rule_ids":["DATE-REGISTRATION-V1","DATE-PRODUCTION-YEAR-V1"],"sequence":8,"transformer_id":"ts.dates","confidence_effect":0.1},{"after":187,"field":"power_kw","before":187,"target":"normalized","rule_ids":["UNIT-POWER-KW-V1"],"sequence":9,"transformer_id":"ts.engine-measurements","confidence_effect":0.1},{"after":"kw","field":"power_source_unit","before":187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sedan","field":"bodywork_form","before":{"body_code":"AA","eu_category":"M1","vehicle_type":"PB"},"target":"normalized","rule_ids":["BDY-101"],"sequence":12,"transformer_id":"ts.bodywork","confidence_effect":0.1},{"after":"Sedan","field":"bodywork_registry_label_sv","before":{"body_code":"AA","eu_category":"M1","vehicle_type":"PB"},"target":"normalized","rule_ids":["BDY-101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84" s="36" t="n">
        <x:v>46239.78067015046</x:v>
      </x:c>
      <x:c r="AA84" s="36" t="n">
        <x:v>46239.78067015046</x:v>
      </x:c>
    </x:row>
    <x:row r="85" ht="18" customHeight="1">
      <x:c r="A85" s="36" t="n">
        <x:v>2687</x:v>
      </x:c>
      <x:c r="B85" s="36" t="str">
        <x:v>5b18da96-dd99-5dd3-a89b-bc2ffb2ed505</x:v>
      </x:c>
      <x:c r="C85" s="36" t="str">
        <x:v>Transportstyrelsen</x:v>
      </x:c>
      <x:c r="D85" s="36" t="str">
        <x:v>normalization-review-passenger-250-v1-rules-20260805T184409855703Z</x:v>
      </x:c>
      <x:c r="E85" s="36" t="str">
        <x:v>staging.transportstyrelsen_raw</x:v>
      </x:c>
      <x:c r="F85" s="36" t="n">
        <x:v>2805</x:v>
      </x:c>
      <x:c r="G85" s="36" t="str">
        <x:v>ts-mapping-v1</x:v>
      </x:c>
      <x:c r="H85" s="36" t="str">
        <x:v>ts-review-20260805T184254528647Z</x:v>
      </x:c>
      <x:c r="I85" s="36" t="str">
        <x:v>normalization-pipeline-v4</x:v>
      </x:c>
      <x:c r="J85" s="36" t="str">
        <x:v>provisional</x:v>
      </x:c>
      <x:c r="K85" s="39" t="n">
        <x:v>0.8</x:v>
      </x:c>
      <x:c r="L85" s="36" t="str">
        <x:v>Ford</x:v>
      </x:c>
      <x:c r="M85" s="36"/>
      <x:c r="N85" s="36" t="str">
        <x:v>open_body</x:v>
      </x:c>
      <x:c r="O85" s="38" t="str">
        <x:v>["petrol"]</x:v>
      </x:c>
      <x:c r="P85" s="36" t="str">
        <x:v>automatic</x:v>
      </x:c>
      <x:c r="Q85" s="36" t="n">
        <x:v>1967</x:v>
      </x:c>
      <x:c r="R85" s="38" t="str">
        <x:v>["DATE-REGISTRATION-V1","DATE-PRODUCTION-YEAR-V1","UNIT-POWER-KW-V1","TRN-002","BDY-116","FUEL-001"]</x:v>
      </x:c>
      <x:c r="S85" s="38" t="str">
        <x:v>["MFR-BRAND-PREFIX-FALLBACK"]</x:v>
      </x:c>
      <x:c r="T85" s="38" t="str">
        <x:v>[]</x:v>
      </x:c>
      <x:c r="U85" s="38" t="str">
        <x:v>{"market":["SE"],"power_kw":135,"manufacturer":"Ford","bodywork_form":"open_body","energy_sources":["petrol"],"production_year":1967,"manufacturer_role":"vehicle_manufacturer","power_source_unit":"kw","registration_date":"2009-04-01","transmission_type":"automatic","alias_types_present":["plate","vin"],"builder_converter_names":[],"production_date_precision":"model_year","bodywork_registry_label_sv":"Öppet"}</x:v>
      </x:c>
      <x:c r="V85" s="38" t="str">
        <x:v>{"manufacturer_confirmation":{"source_fields":["brand"],"canonical_name":"Ford"}}</x:v>
      </x:c>
      <x:c r="W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CAB","target":"normalized","rule_ids":["MFR-CLASSIFY-V1"],"sequence":3,"transformer_id":"ts.manufacturer","confidence_effect":0.2},{"after":"Ford","field":"manufacturer","before":"FORD MUSTANG CAB","target":"normalized","rule_ids":["MFR-CLASSIFY-V1"],"sequence":4,"transformer_id":"ts.manufacturer","confidence_effect":0.2},{"after":"vehicle_manufacturer","field":"manufacturer_role","before":"FORD MUSTANG CAB","target":"normalized","rule_ids":["MFR-CLASSIFY-V1"],"sequence":5,"transformer_id":"ts.manufacturer","confidence_effect":0.2},{"after":{"source_fields":["brand"],"canonical_name":"Ford"},"field":"manufacturer_confirmation","before":"FORD MUSTANG CAB","target":"candidate","rule_ids":["MFR-BRAND-PREFIX-FALLBACK"],"sequence":6,"transformer_id":"ts.manufacturer","confidence_effect":0.05},{"after":"model_year","field":"production_date_precision","before":{"model_year":1967,"vehicle_year":1967,"registration_date":"20090401"},"target":"normalized","rule_ids":["DATE-REGISTRATION-V1","DATE-PRODUCTION-YEAR-V1"],"sequence":7,"transformer_id":"ts.dates","confidence_effect":0.1},{"after":1967,"field":"production_year","before":{"model_year":1967,"vehicle_year":1967,"registration_date":"20090401"},"target":"normalized","rule_ids":["DATE-REGISTRATION-V1","DATE-PRODUCTION-YEAR-V1"],"sequence":8,"transformer_id":"ts.dates","confidence_effect":0.1},{"after":"2009-04-01","field":"registration_date","before":{"model_year":1967,"vehicle_year":1967,"registration_date":"20090401"},"target":"normalized","rule_ids":["DATE-REGISTRATION-V1","DATE-PRODUCTION-YEAR-V1"],"sequence":9,"transformer_id":"ts.dates","confidence_effect":0.1},{"after":135,"field":"power_kw","before":135,"target":"normalized","rule_ids":["UNIT-POWER-KW-V1"],"sequence":10,"transformer_id":"ts.engine-measurements","confidence_effect":0.1},{"after":"kw","field":"power_source_unit","before":135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" s="38" t="str">
        <x:v>{"candidates":{"manufacturer_confirmation":{"source_fields":["brand"],"canonical_name":"Ford"}},"confidence":0.8,"normalized":{"market":["SE"],"power_kw":135,"manufacturer":"Ford","bodywork_form":"open_body","energy_sources":["petrol"],"production_year":1967,"manufacturer_role":"vehicle_manufacturer","power_source_unit":"kw","registration_date":"2009-04-01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CAB","target":"normalized","rule_ids":["MFR-CLASSIFY-V1"],"sequence":3,"transformer_id":"ts.manufacturer","confidence_effect":0.2},{"after":"Ford","field":"manufacturer","before":"FORD MUSTANG CAB","target":"normalized","rule_ids":["MFR-CLASSIFY-V1"],"sequence":4,"transformer_id":"ts.manufacturer","confidence_effect":0.2},{"after":"vehicle_manufacturer","field":"manufacturer_role","before":"FORD MUSTANG CAB","target":"normalized","rule_ids":["MFR-CLASSIFY-V1"],"sequence":5,"transformer_id":"ts.manufacturer","confidence_effect":0.2},{"after":{"source_fields":["brand"],"canonical_name":"Ford"},"field":"manufacturer_confirmation","before":"FORD MUSTANG CAB","target":"candidate","rule_ids":["MFR-BRAND-PREFIX-FALLBACK"],"sequence":6,"transformer_id":"ts.manufacturer","confidence_effect":0.05},{"after":"model_year","field":"production_date_precision","before":{"model_year":1967,"vehicle_year":1967,"registration_date":"20090401"},"target":"normalized","rule_ids":["DATE-REGISTRATION-V1","DATE-PRODUCTION-YEAR-V1"],"sequence":7,"transformer_id":"ts.dates","confidence_effect":0.1},{"after":1967,"field":"production_year","before":{"model_year":1967,"vehicle_year":1967,"registration_date":"20090401"},"target":"normalized","rule_ids":["DATE-REGISTRATION-V1","DATE-PRODUCTION-YEAR-V1"],"sequence":8,"transformer_id":"ts.dates","confidence_effect":0.1},{"after":"2009-04-01","field":"registration_date","before":{"model_year":1967,"vehicle_year":1967,"registration_date":"20090401"},"target":"normalized","rule_ids":["DATE-REGISTRATION-V1","DATE-PRODUCTION-YEAR-V1"],"sequence":9,"transformer_id":"ts.dates","confidence_effect":0.1},{"after":135,"field":"power_kw","before":135,"target":"normalized","rule_ids":["UNIT-POWER-KW-V1"],"sequence":10,"transformer_id":"ts.engine-measurements","confidence_effect":0.1},{"after":"kw","field":"power_source_unit","before":135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5" s="36" t="n">
        <x:v>46239.78067015046</x:v>
      </x:c>
      <x:c r="AA85" s="36" t="n">
        <x:v>46239.78067015046</x:v>
      </x:c>
    </x:row>
    <x:row r="86" ht="18" customHeight="1">
      <x:c r="A86" s="36" t="n">
        <x:v>2688</x:v>
      </x:c>
      <x:c r="B86" s="36" t="str">
        <x:v>d36d74cb-cc4c-54ed-8dbb-e2ab435e9c1d</x:v>
      </x:c>
      <x:c r="C86" s="36" t="str">
        <x:v>Transportstyrelsen</x:v>
      </x:c>
      <x:c r="D86" s="36" t="str">
        <x:v>normalization-review-passenger-250-v1-rules-20260805T184409855703Z</x:v>
      </x:c>
      <x:c r="E86" s="36" t="str">
        <x:v>staging.transportstyrelsen_raw</x:v>
      </x:c>
      <x:c r="F86" s="36" t="n">
        <x:v>2806</x:v>
      </x:c>
      <x:c r="G86" s="36" t="str">
        <x:v>ts-mapping-v1</x:v>
      </x:c>
      <x:c r="H86" s="36" t="str">
        <x:v>ts-review-20260805T184254528647Z</x:v>
      </x:c>
      <x:c r="I86" s="36" t="str">
        <x:v>normalization-pipeline-v4</x:v>
      </x:c>
      <x:c r="J86" s="36" t="str">
        <x:v>provisional</x:v>
      </x:c>
      <x:c r="K86" s="39" t="n">
        <x:v>0.8</x:v>
      </x:c>
      <x:c r="L86" s="36" t="str">
        <x:v>Mercedes-Benz</x:v>
      </x:c>
      <x:c r="M86" s="36" t="str">
        <x:v>A 250 E</x:v>
      </x:c>
      <x:c r="N86" s="36" t="str">
        <x:v>estate</x:v>
      </x:c>
      <x:c r="O86" s="38" t="str">
        <x:v>["petrol","electricity"]</x:v>
      </x:c>
      <x:c r="P86" s="36"/>
      <x:c r="Q86" s="36" t="n">
        <x:v>2020</x:v>
      </x:c>
      <x:c r="R86" s="38" t="str">
        <x:v>["MFR-102","DATE-REGISTRATION-V1","DATE-PRODUCTION-MONTH-V1","UNIT-POWER-KW-V1","UNIT-DISPLACEMENT-CCM-V1","BDY-110","FUEL-001","FUEL-003","ELEC-003"]</x:v>
      </x:c>
      <x:c r="S86" s="38" t="str">
        <x:v>[]</x:v>
      </x:c>
      <x:c r="T86" s="38" t="str">
        <x:v>[]</x:v>
      </x:c>
      <x:c r="U86" s="38" t="str">
        <x:v>{"market":["SE"],"power_kw":118,"manufacturer":"Mercedes-Benz","bodywork_form":"estate","energy_sources":["petrol","electricity"],"displacement_cc":1332,"production_date":"2020-07","production_year":2020,"manufacturer_role":"vehicle_manufacturer","power_source_unit":"kw","registration_date":"2020-07-24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86" s="38" t="str">
        <x:v>{"model_family":"A 250 E"}</x:v>
      </x:c>
      <x:c r="W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STUTTGART"},"target":"normalized","rule_ids":["MFR-102"],"sequence":5,"transformer_id":"ts.manufacturer","confidence_effect":0.2},{"after":true,"field":"model_family_candidate","before":"A 250 E","target":"normalized","rule_ids":["MODEL-CANDIDATE-V1"],"sequence":6,"transformer_id":"ts.model-family","confidence_effect":0.0},{"after":"A 250 E","field":"model_family","before":"A 250 E","target":"candidate","rule_ids":["MODEL-CANDIDATE-V1"],"sequence":7,"transformer_id":"ts.model-family","confidence_effect":0.05},{"after":"2020-07","field":"production_date","before":{"build_month":"202007","vehicle_year":2020,"registration_date":"20200724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20200724"},"target":"normalized","rule_ids":["DATE-REGISTRATION-V1","DATE-PRODUCTION-MONTH-V1"],"sequence":9,"transformer_id":"ts.dates","confidence_effect":0.1},{"after":2020,"field":"production_year","before":{"build_month":"202007","vehicle_year":2020,"registration_date":"20200724"},"target":"normalized","rule_ids":["DATE-REGISTRATION-V1","DATE-PRODUCTION-MONTH-V1"],"sequence":10,"transformer_id":"ts.dates","confidence_effect":0.1},{"after":"2020-07-24","field":"registration_date","before":{"build_month":"202007","vehicle_year":2020,"registration_date":"20200724"},"target":"normalized","rule_ids":["DATE-REGISTRATION-V1","DATE-PRODUCTION-MONTH-V1"],"sequence":11,"transformer_id":"ts.dates","confidence_effect":0.1},{"after":1332,"field":"displacement_cc","before":{"kw":118,"ccm":1332},"target":"normalized","rule_ids":["UNIT-POWER-KW-V1","UNIT-DISPLACEMENT-CCM-V1"],"sequence":12,"transformer_id":"ts.engine-measurements","confidence_effect":0.1},{"after":"ccm","field":"displacement_source_unit","before":{"kw":118,"ccm":1332},"target":"normalized","rule_ids":["UNIT-POWER-KW-V1","UNIT-DISPLACEMENT-CCM-V1"],"sequence":13,"transformer_id":"ts.engine-measurements","confidence_effect":0.1},{"after":118,"field":"power_kw","before":{"kw":118,"ccm":1332},"target":"normalized","rule_ids":["UNIT-POWER-KW-V1","UNIT-DISPLACEMENT-CCM-V1"],"sequence":14,"transformer_id":"ts.engine-measurements","confidence_effect":0.1},{"after":"kw","field":"power_source_unit","before":{"kw":118,"ccm":1332},"target":"normalized","rule_ids":["UNIT-POWER-KW-V1","UNIT-DISPLACEMENT-CCM-V1"],"sequence":15,"transformer_id":"ts.engine-measurements","confidence_effect":0.1},{"after":"estate","field":"bodywork_form","before":{"model":"A 250 E","variant":"X28QT2","version":"HZAA051A","body_code":"AC","eu_category":"M1","vehicle_type":"PB"},"target":"normalized","rule_ids":["BDY-110"],"sequence":16,"transformer_id":"ts.bodywork","confidence_effect":0.1},{"after":"Stationsvagn (kombivagn)","field":"bodywork_registry_label_sv","before":{"model":"A 250 E","variant":"X28QT2","version":"HZAA051A","body_code":"AC","eu_category":"M1","vehicle_type":"PB"},"target":"normalized","rule_ids":["BDY-110"],"sequence":17,"transformer_id":"ts.bodywork","confidence_effect":0.1},{"after":"plug_in_hybrid","field":"electrification_type","before":{"fuel1":"1","fuel2":"3","fuel3":"0","model":"A 250 E","variant":"X28QT2","version":"HZAA051A","ev_config":"LADDHYBRID"},"target":"normalized","rule_ids":["FUEL-001","FUEL-003","ELEC-003"],"sequence":18,"transformer_id":"ts.fuel","confidence_effect":0.0},{"after":["petrol","electricity"],"field":"energy_sources","before":{"fuel1":"1","fuel2":"3","fuel3":"0","model":"A 250 E","variant":"X28QT2","version":"HZAA051A","ev_config":"LADDHYBRID"},"target":"normalized","rule_ids":["FUEL-001","FUEL-003","ELEC-003"],"sequence":19,"transformer_id":"ts.fuel","confidence_effect":0.0}]</x:v>
      </x:c>
      <x:c r="X86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6" s="38" t="str">
        <x:v>{"candidates":{"model_family":"A 250 E"},"confidence":0.8,"normalized":{"market":["SE"],"power_kw":118,"manufacturer":"Mercedes-Benz","bodywork_form":"estate","energy_sources":["petrol","electricity"],"displacement_cc":1332,"production_date":"2020-07","production_year":2020,"manufacturer_role":"vehicle_manufacturer","power_source_unit":"kw","registration_date":"2020-07-24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STUTTGART"},"target":"normalized","rule_ids":["MFR-102"],"sequence":5,"transformer_id":"ts.manufacturer","confidence_effect":0.2},{"after":true,"field":"model_family_candidate","before":"A 250 E","target":"normalized","rule_ids":["MODEL-CANDIDATE-V1"],"sequence":6,"transformer_id":"ts.model-family","confidence_effect":0.0},{"after":"A 250 E","field":"model_family","before":"A 250 E","target":"candidate","rule_ids":["MODEL-CANDIDATE-V1"],"sequence":7,"transformer_id":"ts.model-family","confidence_effect":0.05},{"after":"2020-07","field":"production_date","before":{"build_month":"202007","vehicle_year":2020,"registration_date":"20200724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20200724"},"target":"normalized","rule_ids":["DATE-REGISTRATION-V1","DATE-PRODUCTION-MONTH-V1"],"sequence":9,"transformer_id":"ts.dates","confidence_effect":0.1},{"after":2020,"field":"production_year","before":{"build_month":"202007","vehicle_year":2020,"registration_date":"20200724"},"target":"normalized","rule_ids":["DATE-REGISTRATION-V1","DATE-PRODUCTION-MONTH-V1"],"sequence":10,"transformer_id":"ts.dates","confidence_effect":0.1},{"after":"2020-07-24","field":"registration_date","before":{"build_month":"202007","vehicle_year":2020,"registration_date":"20200724"},"target":"normalized","rule_ids":["DATE-REGISTRATION-V1","DATE-PRODUCTION-MONTH-V1"],"sequence":11,"transformer_id":"ts.dates","confidence_effect":0.1},{"after":1332,"field":"displacement_cc","before":{"kw":118,"ccm":1332},"target":"normalized","rule_ids":["UNIT-POWER-KW-V1","UNIT-DISPLACEMENT-CCM-V1"],"sequence":12,"transformer_id":"ts.engine-measurements","confidence_effect":0.1},{"after":"ccm","field":"displacement_source_unit","before":{"kw":118,"ccm":1332},"target":"normalized","rule_ids":["UNIT-POWER-KW-V1","UNIT-DISPLACEMENT-CCM-V1"],"sequence":13,"transformer_id":"ts.engine-measurements","confidence_effect":0.1},{"after":118,"field":"power_kw","before":{"kw":118,"ccm":1332},"target":"normalized","rule_ids":["UNIT-POWER-KW-V1","UNIT-DISPLACEMENT-CCM-V1"],"sequence":14,"transformer_id":"ts.engine-measurements","confidence_effect":0.1},{"after":"kw","field":"power_source_unit","before":{"kw":118,"ccm":1332},"target":"normalized","rule_ids":["UNIT-POWER-KW-V1","UNIT-DISPLACEMENT-CCM-V1"],"sequence":15,"transformer_id":"ts.engine-measurements","confidence_effect":0.1},{"after":"estate","field":"bodywork_form","before":{"model":"A 250 E","variant":"X28QT2","version":"HZAA051A","body_code":"AC","eu_category":"M1","vehicle_type":"PB"},"target":"normalized","rule_ids":["BDY-110"],"sequence":16,"transformer_id":"ts.bodywork","confidence_effect":0.1},{"after":"Stationsvagn (kombivagn)","field":"bodywork_registry_label_sv","before":{"model":"A 250 E","variant":"X28QT2","version":"HZAA051A","body_code":"AC","eu_category":"M1","vehicle_type":"PB"},"target":"normalized","rule_ids":["BDY-110"],"sequence":17,"transformer_id":"ts.bodywork","confidence_effect":0.1},{"after":"plug_in_hybrid","field":"electrification_type","before":{"fuel1":"1","fuel2":"3","fuel3":"0","model":"A 250 E","variant":"X28QT2","version":"HZAA051A","ev_config":"LADDHYBRID"},"target":"normalized","rule_ids":["FUEL-001","FUEL-003","ELEC-003"],"sequence":18,"transformer_id":"ts.fuel","confidence_effect":0.0},{"after":["petrol","electricity"],"field":"energy_sources","before":{"fuel1":"1","fuel2":"3","fuel3":"0","model":"A 250 E","variant":"X28QT2","version":"HZAA051A","ev_config":"LADDHYBRID"},"target":"normalized","rule_ids":["FUEL-001","FUEL-003","ELEC-003"],"sequence":19,"transformer_id":"ts.fuel","confidence_effect":0.0}],"pipeline_version":"normalization-pipeline-v4","candidate_rule_ids":[]}</x:v>
      </x:c>
      <x:c r="Z86" s="36" t="n">
        <x:v>46239.78067015046</x:v>
      </x:c>
      <x:c r="AA86" s="36" t="n">
        <x:v>46239.78067015046</x:v>
      </x:c>
    </x:row>
    <x:row r="87" ht="18" customHeight="1">
      <x:c r="A87" s="36" t="n">
        <x:v>2689</x:v>
      </x:c>
      <x:c r="B87" s="36" t="str">
        <x:v>2bcbfb78-a4ee-50cd-acce-e6bd6f4f3c51</x:v>
      </x:c>
      <x:c r="C87" s="36" t="str">
        <x:v>Transportstyrelsen</x:v>
      </x:c>
      <x:c r="D87" s="36" t="str">
        <x:v>normalization-review-passenger-250-v1-rules-20260805T184409855703Z</x:v>
      </x:c>
      <x:c r="E87" s="36" t="str">
        <x:v>staging.transportstyrelsen_raw</x:v>
      </x:c>
      <x:c r="F87" s="36" t="n">
        <x:v>2807</x:v>
      </x:c>
      <x:c r="G87" s="36" t="str">
        <x:v>ts-mapping-v1</x:v>
      </x:c>
      <x:c r="H87" s="36" t="str">
        <x:v>ts-review-20260805T184254528647Z</x:v>
      </x:c>
      <x:c r="I87" s="36" t="str">
        <x:v>normalization-pipeline-v4</x:v>
      </x:c>
      <x:c r="J87" s="36" t="str">
        <x:v>resolved</x:v>
      </x:c>
      <x:c r="K87" s="39" t="n">
        <x:v>0.95</x:v>
      </x:c>
      <x:c r="L87" s="36" t="str">
        <x:v>Volkswagen</x:v>
      </x:c>
      <x:c r="M87" s="36"/>
      <x:c r="N87" s="36" t="str">
        <x:v>multi_purpose_vehicle</x:v>
      </x:c>
      <x:c r="O87" s="38" t="str">
        <x:v>["diesel"]</x:v>
      </x:c>
      <x:c r="P87" s="36" t="str">
        <x:v>automatic</x:v>
      </x:c>
      <x:c r="Q87" s="36" t="n">
        <x:v>2007</x:v>
      </x:c>
      <x:c r="R87" s="38" t="str">
        <x:v>["MFE-BE046E6885C1B5","MFR-BRAND-REVIEWED-EXAMPLE","DATE-REGISTRATION-V1","DATE-PRODUCTION-YEAR-V1","UNIT-POWER-KW-V1","UNIT-DISPLACEMENT-CCM-V1","TRN-002","BDY-113","FUEL-002"]</x:v>
      </x:c>
      <x:c r="S87" s="38" t="str">
        <x:v>[]</x:v>
      </x:c>
      <x:c r="T87" s="38" t="str">
        <x:v>[]</x:v>
      </x:c>
      <x:c r="U87" s="38" t="str">
        <x:v>{"market":["SE"],"power_kw":96,"manufacturer":"Volkswagen","bodywork_form":"multi_purpose_vehicle","energy_sources":["diesel"],"displacement_cc":2461,"production_year":2007,"manufacturer_role":"vehicle_manufacturer","power_source_unit":"kw","registration_date":"2007-05-29","transmission_type":"automatic","alias_types_present":["plate","vin"],"builder_converter_names":[],"displacement_source_unit":"ccm","production_date_precision":"model_year","bodywork_registry_label_sv":"Fordon avsett för flera ändamål"}</x:v>
      </x:c>
      <x:c r="V87" s="38" t="str">
        <x:v>{}</x:v>
      </x:c>
      <x:c r="W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CARAVELLE","target":"normalized","rule_ids":["MFE-BE046E6885C1B5","MFR-BRAND-REVIEWED-EXAMPLE"],"sequence":3,"transformer_id":"ts.manufacturer","confidence_effect":0.2},{"after":"Volkswagen","field":"manufacturer","before":"VW CARAVELLE","target":"normalized","rule_ids":["MFE-BE046E6885C1B5","MFR-BRAND-REVIEWED-EXAMPLE"],"sequence":4,"transformer_id":"ts.manufacturer","confidence_effect":0.2},{"after":"vehicle_manufacturer","field":"manufacturer_role","before":"VW CARAVELLE","target":"normalized","rule_ids":["MFE-BE046E6885C1B5","MFR-BRAND-REVIEWED-EXAMPLE"],"sequence":5,"transformer_id":"ts.manufacturer","confidence_effect":0.2},{"after":"model_year","field":"production_date_precision","before":{"model_year":2007,"vehicle_year":2007,"registration_date":"20070529"},"target":"normalized","rule_ids":["DATE-REGISTRATION-V1","DATE-PRODUCTION-YEAR-V1"],"sequence":6,"transformer_id":"ts.dates","confidence_effect":0.1},{"after":2007,"field":"production_year","before":{"model_year":2007,"vehicle_year":2007,"registration_date":"20070529"},"target":"normalized","rule_ids":["DATE-REGISTRATION-V1","DATE-PRODUCTION-YEAR-V1"],"sequence":7,"transformer_id":"ts.dates","confidence_effect":0.1},{"after":"2007-05-29","field":"registration_date","before":{"model_year":2007,"vehicle_year":2007,"registration_date":"20070529"},"target":"normalized","rule_ids":["DATE-REGISTRATION-V1","DATE-PRODUCTION-YEAR-V1"],"sequence":8,"transformer_id":"ts.dates","confidence_effect":0.1},{"after":2461,"field":"displacement_cc","before":{"kw":96,"ccm":2461},"target":"normalized","rule_ids":["UNIT-POWER-KW-V1","UNIT-DISPLACEMENT-CCM-V1"],"sequence":9,"transformer_id":"ts.engine-measurements","confidence_effect":0.1},{"after":"ccm","field":"displacement_source_unit","before":{"kw":96,"ccm":2461},"target":"normalized","rule_ids":["UNIT-POWER-KW-V1","UNIT-DISPLACEMENT-CCM-V1"],"sequence":10,"transformer_id":"ts.engine-measurements","confidence_effect":0.1},{"after":96,"field":"power_kw","before":{"kw":96,"ccm":2461},"target":"normalized","rule_ids":["UNIT-POWER-KW-V1","UNIT-DISPLACEMENT-CCM-V1"],"sequence":11,"transformer_id":"ts.engine-measurements","confidence_effect":0.1},{"after":"kw","field":"power_source_unit","before":{"kw":96,"ccm":2461},"target":"normalized","rule_ids":["UNIT-POWER-KW-V1","UNIT-DISPLACEMENT-CCM-V1"],"sequence":12,"transformer_id":"ts.engine-measurements","confidence_effect":0.1},{"after":"automatic","field":"transmission_type","before":{"gearbox":"A","variant":"ND50BNZX0","version":"LS300FA69K0927GG"},"target":"normalized","rule_ids":["TRN-002"],"sequence":13,"transformer_id":"ts.transmission","confidence_effect":0.1},{"after":"multi_purpose_vehicle","field":"bodywork_form","before":{"variant":"ND50BNZX0","version":"LS300FA69K0927GG","body_code":"AF","eu_category":"M1","vehicle_type":"PB"},"target":"normalized","rule_ids":["BDY-113"],"sequence":14,"transformer_id":"ts.bodywork","confidence_effect":0.1},{"after":"Fordon avsett för flera ändamål","field":"bodywork_registry_label_sv","before":{"variant":"ND50BNZX0","version":"LS300FA69K0927GG","body_code":"AF","eu_category":"M1","vehicle_type":"PB"},"target":"normalized","rule_ids":["BDY-113"],"sequence":15,"transformer_id":"ts.bodywork","confidence_effect":0.1},{"after":["diesel"],"field":"energy_sources","before":{"fuel1":"2","fuel2":"0","fuel3":"0","variant":"ND50BNZX0","version":"LS300FA69K0927GG"},"target":"normalized","rule_ids":["FUEL-002"],"sequence":16,"transformer_id":"ts.fuel","confidence_effect":0.0}]</x:v>
      </x:c>
      <x:c r="X8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" s="38" t="str">
        <x:v>{"candidates":{},"confidence":0.95,"normalized":{"market":["SE"],"power_kw":96,"manufacturer":"Volkswagen","bodywork_form":"multi_purpose_vehicle","energy_sources":["diesel"],"displacement_cc":2461,"production_year":2007,"manufacturer_role":"vehicle_manufacturer","power_source_unit":"kw","registration_date":"2007-05-29","transmission_type":"automatic","alias_types_present":["plate","vin"],"builder_converter_names":[],"displacement_source_unit":"ccm"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CARAVELLE","target":"normalized","rule_ids":["MFE-BE046E6885C1B5","MFR-BRAND-REVIEWED-EXAMPLE"],"sequence":3,"transformer_id":"ts.manufacturer","confidence_effect":0.2},{"after":"Volkswagen","field":"manufacturer","before":"VW CARAVELLE","target":"normalized","rule_ids":["MFE-BE046E6885C1B5","MFR-BRAND-REVIEWED-EXAMPLE"],"sequence":4,"transformer_id":"ts.manufacturer","confidence_effect":0.2},{"after":"vehicle_manufacturer","field":"manufacturer_role","before":"VW CARAVELLE","target":"normalized","rule_ids":["MFE-BE046E6885C1B5","MFR-BRAND-REVIEWED-EXAMPLE"],"sequence":5,"transformer_id":"ts.manufacturer","confidence_effect":0.2},{"after":"model_year","field":"production_date_precision","before":{"model_year":2007,"vehicle_year":2007,"registration_date":"20070529"},"target":"normalized","rule_ids":["DATE-REGISTRATION-V1","DATE-PRODUCTION-YEAR-V1"],"sequence":6,"transformer_id":"ts.dates","confidence_effect":0.1},{"after":2007,"field":"production_year","before":{"model_year":2007,"vehicle_year":2007,"registration_date":"20070529"},"target":"normalized","rule_ids":["DATE-REGISTRATION-V1","DATE-PRODUCTION-YEAR-V1"],"sequence":7,"transformer_id":"ts.dates","confidence_effect":0.1},{"after":"2007-05-29","field":"registration_date","before":{"model_year":2007,"vehicle_year":2007,"registration_date":"20070529"},"target":"normalized","rule_ids":["DATE-REGISTRATION-V1","DATE-PRODUCTION-YEAR-V1"],"sequence":8,"transformer_id":"ts.dates","confidence_effect":0.1},{"after":2461,"field":"displacement_cc","before":{"kw":96,"ccm":2461},"target":"normalized","rule_ids":["UNIT-POWER-KW-V1","UNIT-DISPLACEMENT-CCM-V1"],"sequence":9,"transformer_id":"ts.engine-measurements","confidence_effect":0.1},{"after":"ccm","field":"displacement_source_unit","before":{"kw":96,"ccm":2461},"target":"normalized","rule_ids":["UNIT-POWER-KW-V1","UNIT-DISPLACEMENT-CCM-V1"],"sequence":10,"transformer_id":"ts.engine-measurements","confidence_effect":0.1},{"after":96,"field":"power_kw","before":{"kw":96,"ccm":2461},"target":"normalized","rule_ids":["UNIT-POWER-KW-V1","UNIT-DISPLACEMENT-CCM-V1"],"sequence":11,"transformer_id":"ts.engine-measurements","confidence_effect":0.1},{"after":"kw","field":"power_source_unit","before":{"kw":96,"ccm":2461},"target":"normalized","rule_ids":["UNIT-POWER-KW-V1","UNIT-DISPLACEMENT-CCM-V1"],"sequence":12,"transformer_id":"ts.engine-measurements","confidence_effect":0.1},{"after":"automatic","field":"transmission_type","before":{"gearbox":"A","variant":"ND50BNZX0","version":"LS300FA69K0927GG"},"target":"normalized","rule_ids":["TRN-002"],"sequence":13,"transformer_id":"ts.transmission","confidence_effect":0.1},{"after":"multi_purpose_vehicle","field":"bodywork_form","before":{"variant":"ND50BNZX0","version":"LS300FA69K0927GG","body_code":"AF","eu_category":"M1","vehicle_type":"PB"},"target":"normalized","rule_ids":["BDY-113"],"sequence":14,"transformer_id":"ts.bodywork","confidence_effect":0.1},{"after":"Fordon avsett för flera ändamål","field":"bodywork_registry_label_sv","before":{"variant":"ND50BNZX0","version":"LS300FA69K0927GG","body_code":"AF","eu_category":"M1","vehicle_type":"PB"},"target":"normalized","rule_ids":["BDY-113"],"sequence":15,"transformer_id":"ts.bodywork","confidence_effect":0.1},{"after":["diesel"],"field":"energy_sources","before":{"fuel1":"2","fuel2":"0","fuel3":"0","variant":"ND50BNZX0","version":"LS300FA69K0927GG"},"target":"normalized","rule_ids":["FUEL-002"],"sequence":16,"transformer_id":"ts.fuel","confidence_effect":0.0}],"pipeline_version":"normalization-pipeline-v4","candidate_rule_ids":[]}</x:v>
      </x:c>
      <x:c r="Z87" s="36" t="n">
        <x:v>46239.78067015046</x:v>
      </x:c>
      <x:c r="AA87" s="36" t="n">
        <x:v>46239.78067015046</x:v>
      </x:c>
    </x:row>
    <x:row r="88" ht="18" customHeight="1">
      <x:c r="A88" s="36" t="n">
        <x:v>2690</x:v>
      </x:c>
      <x:c r="B88" s="36" t="str">
        <x:v>f1a05202-bc55-5b50-bcb6-7dae07f7df63</x:v>
      </x:c>
      <x:c r="C88" s="36" t="str">
        <x:v>Transportstyrelsen</x:v>
      </x:c>
      <x:c r="D88" s="36" t="str">
        <x:v>normalization-review-passenger-250-v1-rules-20260805T184409855703Z</x:v>
      </x:c>
      <x:c r="E88" s="36" t="str">
        <x:v>staging.transportstyrelsen_raw</x:v>
      </x:c>
      <x:c r="F88" s="36" t="n">
        <x:v>2808</x:v>
      </x:c>
      <x:c r="G88" s="36" t="str">
        <x:v>ts-mapping-v1</x:v>
      </x:c>
      <x:c r="H88" s="36" t="str">
        <x:v>ts-review-20260805T184254528647Z</x:v>
      </x:c>
      <x:c r="I88" s="36" t="str">
        <x:v>normalization-pipeline-v4</x:v>
      </x:c>
      <x:c r="J88" s="36" t="str">
        <x:v>provisional</x:v>
      </x:c>
      <x:c r="K88" s="39" t="n">
        <x:v>0.8</x:v>
      </x:c>
      <x:c r="L88" s="36" t="str">
        <x:v>Volkswagen</x:v>
      </x:c>
      <x:c r="M88" s="36" t="str">
        <x:v>GOLF</x:v>
      </x:c>
      <x:c r="N88" s="36" t="str">
        <x:v>estate</x:v>
      </x:c>
      <x:c r="O88" s="38" t="str">
        <x:v>["petrol"]</x:v>
      </x:c>
      <x:c r="P88" s="36" t="str">
        <x:v>manual</x:v>
      </x:c>
      <x:c r="Q88" s="36" t="n">
        <x:v>2014</x:v>
      </x:c>
      <x:c r="R88" s="38" t="str">
        <x:v>["MFR-BRAND-CONFIRMED","MFR-BRAND-MODEL","MFR-BRAND-VIN-WMI","DATE-REGISTRATION-V1","DATE-PRODUCTION-MONTH-V1","UNIT-POWER-KW-V1","UNIT-DISPLACEMENT-CCM-V1","TRN-001","BDY-110","FUEL-001"]</x:v>
      </x:c>
      <x:c r="S88" s="38" t="str">
        <x:v>[]</x:v>
      </x:c>
      <x:c r="T88" s="38" t="str">
        <x:v>[]</x:v>
      </x:c>
      <x:c r="U88" s="38" t="str">
        <x:v>{"market":["SE"],"power_kw":77,"manufacturer":"Volkswagen","bodywork_form":"estate","energy_sources":["petrol"],"displacement_cc":1197,"production_date":"2014-08","production_year":2014,"manufacturer_role":"vehicle_manufacturer","power_source_unit":"kw","registration_date":"2014-10-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8" s="38" t="str">
        <x:v>{"model_family":"GOLF"}</x:v>
      </x:c>
      <x:c r="W88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-08","field":"production_date","before":{"build_month":"201408","vehicle_year":2014,"registration_date":"20141030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20141030"},"target":"normalized","rule_ids":["DATE-REGISTRATION-V1","DATE-PRODUCTION-MONTH-V1"],"sequence":10,"transformer_id":"ts.dates","confidence_effect":0.1},{"after":2014,"field":"production_year","before":{"build_month":"201408","vehicle_year":2014,"registration_date":"20141030"},"target":"normalized","rule_ids":["DATE-REGISTRATION-V1","DATE-PRODUCTION-MONTH-V1"],"sequence":11,"transformer_id":"ts.dates","confidence_effect":0.1},{"after":"2014-10-30","field":"registration_date","before":{"build_month":"201408","vehicle_year":2014,"registration_date":"20141030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VACCJZAX0","version":"FM6FM6AJ009N7MJOVL00VR2"},"target":"normalized","rule_ids":["TRN-001"],"sequence":17,"transformer_id":"ts.transmission","confidence_effect":0.1},{"after":"estate","field":"bodywork_form","before":{"model":"GOLF","variant":"VACCJZAX0","version":"FM6FM6AJ009N7MJO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JZAX0","version":"FM6FM6AJ009N7MJOV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VACCJZAX0","version":"FM6FM6AJ009N7MJOVL00VR2"},"target":"normalized","rule_ids":["FUEL-001"],"sequence":20,"transformer_id":"ts.fuel","confidence_effect":0.0}]</x:v>
      </x:c>
      <x:c r="X8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" s="38" t="str">
        <x:v>{"candidates":{"model_family":"GOLF"},"confidence":0.8,"normalized":{"market":["SE"],"power_kw":77,"manufacturer":"Volkswagen","bodywork_form":"estate","energy_sources":["petrol"],"displacement_cc":1197,"production_date":"2014-08","production_year":2014,"manufacturer_role":"vehicle_manufacturer","power_source_unit":"kw","registration_date":"2014-10-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-08","field":"production_date","before":{"build_month":"201408","vehicle_year":2014,"registration_date":"20141030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20141030"},"target":"normalized","rule_ids":["DATE-REGISTRATION-V1","DATE-PRODUCTION-MONTH-V1"],"sequence":10,"transformer_id":"ts.dates","confidence_effect":0.1},{"after":2014,"field":"production_year","before":{"build_month":"201408","vehicle_year":2014,"registration_date":"20141030"},"target":"normalized","rule_ids":["DATE-REGISTRATION-V1","DATE-PRODUCTION-MONTH-V1"],"sequence":11,"transformer_id":"ts.dates","confidence_effect":0.1},{"after":"2014-10-30","field":"registration_date","before":{"build_month":"201408","vehicle_year":2014,"registration_date":"20141030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VACCJZAX0","version":"FM6FM6AJ009N7MJOVL00VR2"},"target":"normalized","rule_ids":["TRN-001"],"sequence":17,"transformer_id":"ts.transmission","confidence_effect":0.1},{"after":"estate","field":"bodywork_form","before":{"model":"GOLF","variant":"VACCJZAX0","version":"FM6FM6AJ009N7MJO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JZAX0","version":"FM6FM6AJ009N7MJOV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VACCJZAX0","version":"FM6FM6AJ009N7MJOVL00VR2"},"target":"normalized","rule_ids":["FUEL-001"],"sequence":20,"transformer_id":"ts.fuel","confidence_effect":0.0}],"pipeline_version":"normalization-pipeline-v4","candidate_rule_ids":[]}</x:v>
      </x:c>
      <x:c r="Z88" s="36" t="n">
        <x:v>46239.78067015046</x:v>
      </x:c>
      <x:c r="AA88" s="36" t="n">
        <x:v>46239.78067015046</x:v>
      </x:c>
    </x:row>
    <x:row r="89" ht="18" customHeight="1">
      <x:c r="A89" s="36" t="n">
        <x:v>2691</x:v>
      </x:c>
      <x:c r="B89" s="36" t="str">
        <x:v>e7ee605c-52f0-5924-94de-bced51c5ed87</x:v>
      </x:c>
      <x:c r="C89" s="36" t="str">
        <x:v>Transportstyrelsen</x:v>
      </x:c>
      <x:c r="D89" s="36" t="str">
        <x:v>normalization-review-passenger-250-v1-rules-20260805T184409855703Z</x:v>
      </x:c>
      <x:c r="E89" s="36" t="str">
        <x:v>staging.transportstyrelsen_raw</x:v>
      </x:c>
      <x:c r="F89" s="36" t="n">
        <x:v>2809</x:v>
      </x:c>
      <x:c r="G89" s="36" t="str">
        <x:v>ts-mapping-v1</x:v>
      </x:c>
      <x:c r="H89" s="36" t="str">
        <x:v>ts-review-20260805T184254528647Z</x:v>
      </x:c>
      <x:c r="I89" s="36" t="str">
        <x:v>normalization-pipeline-v4</x:v>
      </x:c>
      <x:c r="J89" s="36" t="str">
        <x:v>provisional</x:v>
      </x:c>
      <x:c r="K89" s="39" t="n">
        <x:v>0.8</x:v>
      </x:c>
      <x:c r="L89" s="36" t="str">
        <x:v>Kia</x:v>
      </x:c>
      <x:c r="M89" s="36" t="str">
        <x:v>CEED</x:v>
      </x:c>
      <x:c r="N89" s="36" t="str">
        <x:v>estate</x:v>
      </x:c>
      <x:c r="O89" s="38" t="str">
        <x:v>["diesel"]</x:v>
      </x:c>
      <x:c r="P89" s="36"/>
      <x:c r="Q89" s="36" t="n">
        <x:v>2016</x:v>
      </x:c>
      <x:c r="R89" s="38" t="str">
        <x:v>["MFR-BRAND-CONFIRMED","MFR-BRAND-VIN-WMI","DATE-REGISTRATION-V1","DATE-PRODUCTION-MONTH-V1","UNIT-POWER-KW-V1","UNIT-DISPLACEMENT-CCM-V1","BDY-110","FUEL-002"]</x:v>
      </x:c>
      <x:c r="S89" s="38" t="str">
        <x:v>[]</x:v>
      </x:c>
      <x:c r="T89" s="38" t="str">
        <x:v>[]</x:v>
      </x:c>
      <x:c r="U89" s="38" t="str">
        <x:v>{"market":["SE"],"power_kw":100,"manufacturer":"Kia","bodywork_form":"estate","energy_sources":["diesel"],"displacement_cc":1582,"production_date":"2016-09","production_year":2016,"manufacturer_role":"vehicle_manufacturer","power_source_unit":"kw","registration_date":"2017-03-13","alias_types_present":["plate","vin","model_name"],"model_family_candidate":true,"builder_converter_names":[],"displacement_source_unit":"ccm","production_date_precision":"month","bodywork_registry_label_sv":"Stationsvagn (kombivagn)"}</x:v>
      </x:c>
      <x:c r="V89" s="38" t="str">
        <x:v>{"model_family":"CEED"}</x:v>
      </x:c>
      <x:c r="W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NYA CEED SW 1,6 CRDI","target":"normalized","rule_ids":["MFR-BRAND-CONFIRMED","MFR-BRAND-VIN-WMI"],"sequence":3,"transformer_id":"ts.manufacturer","confidence_effect":0.2},{"after":"Kia","field":"manufacturer","before":"KIA NYA CEED SW 1,6 CRDI","target":"normalized","rule_ids":["MFR-BRAND-CONFIRMED","MFR-BRAND-VIN-WMI"],"sequence":4,"transformer_id":"ts.manufacturer","confidence_effect":0.2},{"after":"vehicle_manufacturer","field":"manufacturer_role","before":"KIA NYA CEED SW 1,6 CRDI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2016-09","field":"production_date","before":{"build_month":"201609","vehicle_year":2016,"registration_date":"20170313"},"target":"normalized","rule_ids":["DATE-REGISTRATION-V1","DATE-PRODUCTION-MONTH-V1"],"sequence":8,"transformer_id":"ts.dates","confidence_effect":0.1},{"after":"month","field":"production_date_precision","before":{"build_month":"201609","vehicle_year":2016,"registration_date":"20170313"},"target":"normalized","rule_ids":["DATE-REGISTRATION-V1","DATE-PRODUCTION-MONTH-V1"],"sequence":9,"transformer_id":"ts.dates","confidence_effect":0.1},{"after":2016,"field":"production_year","before":{"build_month":"201609","vehicle_year":2016,"registration_date":"20170313"},"target":"normalized","rule_ids":["DATE-REGISTRATION-V1","DATE-PRODUCTION-MONTH-V1"],"sequence":10,"transformer_id":"ts.dates","confidence_effect":0.1},{"after":"2017-03-13","field":"registration_date","before":{"build_month":"201609","vehicle_year":2016,"registration_date":"20170313"},"target":"normalized","rule_ids":["DATE-REGISTRATION-V1","DATE-PRODUCTION-MONTH-V1"],"sequence":11,"transformer_id":"ts.dates","confidence_effect":0.1},{"after":1582,"field":"displacement_cc","before":{"kw":100,"ccm":1582},"target":"normalized","rule_ids":["UNIT-POWER-KW-V1","UNIT-DISPLACEMENT-CCM-V1"],"sequence":12,"transformer_id":"ts.engine-measurements","confidence_effect":0.1},{"after":"ccm","field":"displacement_source_unit","before":{"kw":100,"ccm":1582},"target":"normalized","rule_ids":["UNIT-POWER-KW-V1","UNIT-DISPLACEMENT-CCM-V1"],"sequence":13,"transformer_id":"ts.engine-measurements","confidence_effect":0.1},{"after":100,"field":"power_kw","before":{"kw":100,"ccm":1582},"target":"normalized","rule_ids":["UNIT-POWER-KW-V1","UNIT-DISPLACEMENT-CCM-V1"],"sequence":14,"transformer_id":"ts.engine-measurements","confidence_effect":0.1},{"after":"kw","field":"power_source_unit","before":{"kw":100,"ccm":1582},"target":"normalized","rule_ids":["UNIT-POWER-KW-V1","UNIT-DISPLACEMENT-CCM-V1"],"sequence":15,"transformer_id":"ts.engine-measurements","confidence_effect":0.1},{"after":"estate","field":"bodywork_form","before":{"model":"CEED","variant":"C5DC1","version":"D71EZ1","body_code":"AC","eu_category":"M1","vehicle_type":"PB"},"target":"normalized","rule_ids":["BDY-110"],"sequence":16,"transformer_id":"ts.bodywork","confidence_effect":0.1},{"after":"Stationsvagn (kombivagn)","field":"bodywork_registry_label_sv","before":{"model":"CEED","variant":"C5DC1","version":"D71EZ1","body_code":"AC","eu_category":"M1","vehicle_type":"PB"},"target":"normalized","rule_ids":["BDY-110"],"sequence":17,"transformer_id":"ts.bodywork","confidence_effect":0.1},{"after":["diesel"],"field":"energy_sources","before":{"fuel1":"2","fuel2":"0","fuel3":"0","model":"CEED","variant":"C5DC1","version":"D71EZ1"},"target":"normalized","rule_ids":["FUEL-002"],"sequence":18,"transformer_id":"ts.fuel","confidence_effect":0.0}]</x:v>
      </x:c>
      <x:c r="X8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" s="38" t="str">
        <x:v>{"candidates":{"model_family":"CEED"},"confidence":0.8,"normalized":{"market":["SE"],"power_kw":100,"manufacturer":"Kia","bodywork_form":"estate","energy_sources":["diesel"],"displacement_cc":1582,"production_date":"2016-09","production_year":2016,"manufacturer_role":"vehicle_manufacturer","power_source_unit":"kw","registration_date":"2017-03-13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NYA CEED SW 1,6 CRDI","target":"normalized","rule_ids":["MFR-BRAND-CONFIRMED","MFR-BRAND-VIN-WMI"],"sequence":3,"transformer_id":"ts.manufacturer","confidence_effect":0.2},{"after":"Kia","field":"manufacturer","before":"KIA NYA CEED SW 1,6 CRDI","target":"normalized","rule_ids":["MFR-BRAND-CONFIRMED","MFR-BRAND-VIN-WMI"],"sequence":4,"transformer_id":"ts.manufacturer","confidence_effect":0.2},{"after":"vehicle_manufacturer","field":"manufacturer_role","before":"KIA NYA CEED SW 1,6 CRDI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2016-09","field":"production_date","before":{"build_month":"201609","vehicle_year":2016,"registration_date":"20170313"},"target":"normalized","rule_ids":["DATE-REGISTRATION-V1","DATE-PRODUCTION-MONTH-V1"],"sequence":8,"transformer_id":"ts.dates","confidence_effect":0.1},{"after":"month","field":"production_date_precision","before":{"build_month":"201609","vehicle_year":2016,"registration_date":"20170313"},"target":"normalized","rule_ids":["DATE-REGISTRATION-V1","DATE-PRODUCTION-MONTH-V1"],"sequence":9,"transformer_id":"ts.dates","confidence_effect":0.1},{"after":2016,"field":"production_year","before":{"build_month":"201609","vehicle_year":2016,"registration_date":"20170313"},"target":"normalized","rule_ids":["DATE-REGISTRATION-V1","DATE-PRODUCTION-MONTH-V1"],"sequence":10,"transformer_id":"ts.dates","confidence_effect":0.1},{"after":"2017-03-13","field":"registration_date","before":{"build_month":"201609","vehicle_year":2016,"registration_date":"20170313"},"target":"normalized","rule_ids":["DATE-REGISTRATION-V1","DATE-PRODUCTION-MONTH-V1"],"sequence":11,"transformer_id":"ts.dates","confidence_effect":0.1},{"after":1582,"field":"displacement_cc","before":{"kw":100,"ccm":1582},"target":"normalized","rule_ids":["UNIT-POWER-KW-V1","UNIT-DISPLACEMENT-CCM-V1"],"sequence":12,"transformer_id":"ts.engine-measurements","confidence_effect":0.1},{"after":"ccm","field":"displacement_source_unit","before":{"kw":100,"ccm":1582},"target":"normalized","rule_ids":["UNIT-POWER-KW-V1","UNIT-DISPLACEMENT-CCM-V1"],"sequence":13,"transformer_id":"ts.engine-measurements","confidence_effect":0.1},{"after":100,"field":"power_kw","before":{"kw":100,"ccm":1582},"target":"normalized","rule_ids":["UNIT-POWER-KW-V1","UNIT-DISPLACEMENT-CCM-V1"],"sequence":14,"transformer_id":"ts.engine-measurements","confidence_effect":0.1},{"after":"kw","field":"power_source_unit","before":{"kw":100,"ccm":1582},"target":"normalized","rule_ids":["UNIT-POWER-KW-V1","UNIT-DISPLACEMENT-CCM-V1"],"sequence":15,"transformer_id":"ts.engine-measurements","confidence_effect":0.1},{"after":"estate","field":"bodywork_form","before":{"model":"CEED","variant":"C5DC1","version":"D71EZ1","body_code":"AC","eu_category":"M1","vehicle_type":"PB"},"target":"normalized","rule_ids":["BDY-110"],"sequence":16,"transformer_id":"ts.bodywork","confidence_effect":0.1},{"after":"Stationsvagn (kombivagn)","field":"bodywork_registry_label_sv","before":{"model":"CEED","variant":"C5DC1","version":"D71EZ1","body_code":"AC","eu_category":"M1","vehicle_type":"PB"},"target":"normalized","rule_ids":["BDY-110"],"sequence":17,"transformer_id":"ts.bodywork","confidence_effect":0.1},{"after":["diesel"],"field":"energy_sources","before":{"fuel1":"2","fuel2":"0","fuel3":"0","model":"CEED","variant":"C5DC1","version":"D71EZ1"},"target":"normalized","rule_ids":["FUEL-002"],"sequence":18,"transformer_id":"ts.fuel","confidence_effect":0.0}],"pipeline_version":"normalization-pipeline-v4","candidate_rule_ids":[]}</x:v>
      </x:c>
      <x:c r="Z89" s="36" t="n">
        <x:v>46239.78067015046</x:v>
      </x:c>
      <x:c r="AA89" s="36" t="n">
        <x:v>46239.78067015046</x:v>
      </x:c>
    </x:row>
    <x:row r="90" ht="18" customHeight="1">
      <x:c r="A90" s="36" t="n">
        <x:v>2692</x:v>
      </x:c>
      <x:c r="B90" s="36" t="str">
        <x:v>ccd34499-e979-5a67-a60b-f0631fc452f1</x:v>
      </x:c>
      <x:c r="C90" s="36" t="str">
        <x:v>Transportstyrelsen</x:v>
      </x:c>
      <x:c r="D90" s="36" t="str">
        <x:v>normalization-review-passenger-250-v1-rules-20260805T184409855703Z</x:v>
      </x:c>
      <x:c r="E90" s="36" t="str">
        <x:v>staging.transportstyrelsen_raw</x:v>
      </x:c>
      <x:c r="F90" s="36" t="n">
        <x:v>2810</x:v>
      </x:c>
      <x:c r="G90" s="36" t="str">
        <x:v>ts-mapping-v1</x:v>
      </x:c>
      <x:c r="H90" s="36" t="str">
        <x:v>ts-review-20260805T184254528647Z</x:v>
      </x:c>
      <x:c r="I90" s="36" t="str">
        <x:v>normalization-pipeline-v4</x:v>
      </x:c>
      <x:c r="J90" s="36" t="str">
        <x:v>resolved</x:v>
      </x:c>
      <x:c r="K90" s="39" t="n">
        <x:v>0.95</x:v>
      </x:c>
      <x:c r="L90" s="36" t="str">
        <x:v>Volvo</x:v>
      </x:c>
      <x:c r="M90" s="36"/>
      <x:c r="N90" s="36" t="str">
        <x:v>estate</x:v>
      </x:c>
      <x:c r="O90" s="38" t="str">
        <x:v>["petrol"]</x:v>
      </x:c>
      <x:c r="P90" s="36" t="str">
        <x:v>manual</x:v>
      </x:c>
      <x:c r="Q90" s="36" t="n">
        <x:v>1997</x:v>
      </x:c>
      <x:c r="R90" s="38" t="str">
        <x:v>["MFR-BRAND-CONFIRMED","MFR-BRAND-VIN-WMI","DATE-REGISTRATION-V1","DATE-PRODUCTION-YEAR-V1","UNIT-POWER-KW-V1","TRN-001","BDY-103","FUEL-001"]</x:v>
      </x:c>
      <x:c r="S90" s="38" t="str">
        <x:v>[]</x:v>
      </x:c>
      <x:c r="T90" s="38" t="str">
        <x:v>[]</x:v>
      </x:c>
      <x:c r="U90" s="38" t="str">
        <x:v>{"market":["SE"],"power_kw":125,"manufacturer":"Volvo","bodywork_form":"estate","energy_sources":["petrol"],"production_year":1997,"manufacturer_role":"vehicle_manufacturer","power_source_unit":"kw","registration_date":"1996-12-10","transmission_type":"manual","alias_types_present":["plate","vin"],"builder_converter_names":[],"production_date_precision":"model_year","bodywork_registry_label_sv":"Kombi"}</x:v>
      </x:c>
      <x:c r="V90" s="38" t="str">
        <x:v>{}</x:v>
      </x:c>
      <x:c r="W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+ 850","target":"normalized","rule_ids":["MFR-BRAND-CONFIRMED","MFR-BRAND-VIN-WMI"],"sequence":3,"transformer_id":"ts.manufacturer","confidence_effect":0.2},{"after":"Volvo","field":"manufacturer","before":"VOLVO L + 850","target":"normalized","rule_ids":["MFR-BRAND-CONFIRMED","MFR-BRAND-VIN-WMI"],"sequence":4,"transformer_id":"ts.manufacturer","confidence_effect":0.2},{"after":"vehicle_manufacturer","field":"manufacturer_role","before":"VOLVO L + 850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19961210"},"target":"normalized","rule_ids":["DATE-REGISTRATION-V1","DATE-PRODUCTION-YEAR-V1"],"sequence":6,"transformer_id":"ts.dates","confidence_effect":0.1},{"after":1997,"field":"production_year","before":{"model_year":1997,"vehicle_year":1997,"registration_date":"19961210"},"target":"normalized","rule_ids":["DATE-REGISTRATION-V1","DATE-PRODUCTION-YEAR-V1"],"sequence":7,"transformer_id":"ts.dates","confidence_effect":0.1},{"after":"1996-12-10","field":"registration_date","before":{"model_year":1997,"vehicle_year":1997,"registration_date":"19961210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manual","field":"transmission_type","before":{"gearbox":"M","variant":"LW55","version":"LW5522"},"target":"normalized","rule_ids":["TRN-001"],"sequence":11,"transformer_id":"ts.transmission","confidence_effect":0.1},{"after":"estate","field":"bodywork_form","before":{"variant":"LW55","version":"LW5522","body_code":"03","eu_category":"M1","vehicle_type":"PB"},"target":"normalized","rule_ids":["BDY-103"],"sequence":12,"transformer_id":"ts.bodywork","confidence_effect":0.1},{"after":"Kombi","field":"bodywork_registry_label_sv","before":{"variant":"LW55","version":"LW5522","body_code":"03","eu_category":"M1","vehicle_type":"PB"},"target":"normalized","rule_ids":["BDY-103"],"sequence":13,"transformer_id":"ts.bodywork","confidence_effect":0.1},{"after":["petrol"],"field":"energy_sources","before":{"fuel1":"1","fuel2":"0","fuel3":"0","variant":"LW55","version":"LW5522"},"target":"normalized","rule_ids":["FUEL-001"],"sequence":14,"transformer_id":"ts.fuel","confidence_effect":0.0}]</x:v>
      </x:c>
      <x:c r="X9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" s="38" t="str">
        <x:v>{"candidates":{},"confidence":0.95,"normalized":{"market":["SE"],"power_kw":125,"manufacturer":"Volvo","bodywork_form":"estate","energy_sources":["petrol"],"production_year":1997,"manufacturer_role":"vehicle_manufacturer","power_source_unit":"kw","registration_date":"1996-12-10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+ 850","target":"normalized","rule_ids":["MFR-BRAND-CONFIRMED","MFR-BRAND-VIN-WMI"],"sequence":3,"transformer_id":"ts.manufacturer","confidence_effect":0.2},{"after":"Volvo","field":"manufacturer","before":"VOLVO L + 850","target":"normalized","rule_ids":["MFR-BRAND-CONFIRMED","MFR-BRAND-VIN-WMI"],"sequence":4,"transformer_id":"ts.manufacturer","confidence_effect":0.2},{"after":"vehicle_manufacturer","field":"manufacturer_role","before":"VOLVO L + 850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19961210"},"target":"normalized","rule_ids":["DATE-REGISTRATION-V1","DATE-PRODUCTION-YEAR-V1"],"sequence":6,"transformer_id":"ts.dates","confidence_effect":0.1},{"after":1997,"field":"production_year","before":{"model_year":1997,"vehicle_year":1997,"registration_date":"19961210"},"target":"normalized","rule_ids":["DATE-REGISTRATION-V1","DATE-PRODUCTION-YEAR-V1"],"sequence":7,"transformer_id":"ts.dates","confidence_effect":0.1},{"after":"1996-12-10","field":"registration_date","before":{"model_year":1997,"vehicle_year":1997,"registration_date":"19961210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manual","field":"transmission_type","before":{"gearbox":"M","variant":"LW55","version":"LW5522"},"target":"normalized","rule_ids":["TRN-001"],"sequence":11,"transformer_id":"ts.transmission","confidence_effect":0.1},{"after":"estate","field":"bodywork_form","before":{"variant":"LW55","version":"LW5522","body_code":"03","eu_category":"M1","vehicle_type":"PB"},"target":"normalized","rule_ids":["BDY-103"],"sequence":12,"transformer_id":"ts.bodywork","confidence_effect":0.1},{"after":"Kombi","field":"bodywork_registry_label_sv","before":{"variant":"LW55","version":"LW5522","body_code":"03","eu_category":"M1","vehicle_type":"PB"},"target":"normalized","rule_ids":["BDY-103"],"sequence":13,"transformer_id":"ts.bodywork","confidence_effect":0.1},{"after":["petrol"],"field":"energy_sources","before":{"fuel1":"1","fuel2":"0","fuel3":"0","variant":"LW55","version":"LW5522"},"target":"normalized","rule_ids":["FUEL-001"],"sequence":14,"transformer_id":"ts.fuel","confidence_effect":0.0}],"pipeline_version":"normalization-pipeline-v4","candidate_rule_ids":[]}</x:v>
      </x:c>
      <x:c r="Z90" s="36" t="n">
        <x:v>46239.78067015046</x:v>
      </x:c>
      <x:c r="AA90" s="36" t="n">
        <x:v>46239.78067015046</x:v>
      </x:c>
    </x:row>
    <x:row r="91" ht="18" customHeight="1">
      <x:c r="A91" s="36" t="n">
        <x:v>2693</x:v>
      </x:c>
      <x:c r="B91" s="36" t="str">
        <x:v>f5124f6a-fccf-5a7f-ba33-1e30cc51cd39</x:v>
      </x:c>
      <x:c r="C91" s="36" t="str">
        <x:v>Transportstyrelsen</x:v>
      </x:c>
      <x:c r="D91" s="36" t="str">
        <x:v>normalization-review-passenger-250-v1-rules-20260805T184409855703Z</x:v>
      </x:c>
      <x:c r="E91" s="36" t="str">
        <x:v>staging.transportstyrelsen_raw</x:v>
      </x:c>
      <x:c r="F91" s="36" t="n">
        <x:v>2811</x:v>
      </x:c>
      <x:c r="G91" s="36" t="str">
        <x:v>ts-mapping-v1</x:v>
      </x:c>
      <x:c r="H91" s="36" t="str">
        <x:v>ts-review-20260805T184254528647Z</x:v>
      </x:c>
      <x:c r="I91" s="36" t="str">
        <x:v>normalization-pipeline-v4</x:v>
      </x:c>
      <x:c r="J91" s="36" t="str">
        <x:v>provisional</x:v>
      </x:c>
      <x:c r="K91" s="39" t="n">
        <x:v>0.8</x:v>
      </x:c>
      <x:c r="L91" s="36" t="str">
        <x:v>Audi</x:v>
      </x:c>
      <x:c r="M91" s="36" t="str">
        <x:v>Q3</x:v>
      </x:c>
      <x:c r="N91" s="36" t="str">
        <x:v>estate</x:v>
      </x:c>
      <x:c r="O91" s="38" t="str">
        <x:v>["diesel"]</x:v>
      </x:c>
      <x:c r="P91" s="36" t="str">
        <x:v>automatic</x:v>
      </x:c>
      <x:c r="Q91" s="36" t="n">
        <x:v>2019</x:v>
      </x:c>
      <x:c r="R91" s="38" t="str">
        <x:v>["MFR-102","DATE-REGISTRATION-V1","DATE-PRODUCTION-MONTH-V1","UNIT-POWER-KW-V1","UNIT-DISPLACEMENT-CCM-V1","TRN-002","BDY-110","FUEL-002"]</x:v>
      </x:c>
      <x:c r="S91" s="38" t="str">
        <x:v>[]</x:v>
      </x:c>
      <x:c r="T91" s="38" t="str">
        <x:v>[]</x:v>
      </x:c>
      <x:c r="U91" s="38" t="str">
        <x:v>{"market":["SE"],"power_kw":110,"manufacturer":"Audi","bodywork_form":"estate","energy_sources":["diesel"],"displacement_cc":1968,"production_date":"2019-10","production_year":2019,"manufacturer_role":"vehicle_manufacturer","power_source_unit":"kw","registration_date":"2020-04-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1" s="38" t="str">
        <x:v>{"model_family":"Q3"}</x:v>
      </x:c>
      <x:c r="W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2019-10","field":"production_date","before":{"build_month":"201910","vehicle_year":2019,"registration_date":"20200428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20200428"},"target":"normalized","rule_ids":["DATE-REGISTRATION-V1","DATE-PRODUCTION-MONTH-V1"],"sequence":9,"transformer_id":"ts.dates","confidence_effect":0.1},{"after":2019,"field":"production_year","before":{"build_month":"201910","vehicle_year":2019,"registration_date":"20200428"},"target":"normalized","rule_ids":["DATE-REGISTRATION-V1","DATE-PRODUCTION-MONTH-V1"],"sequence":10,"transformer_id":"ts.dates","confidence_effect":0.1},{"after":"2020-04-28","field":"registration_date","before":{"build_month":"201910","vehicle_year":2019,"registration_date":"20200428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Q3","gearbox":"A","variant":"XDFGAF1","version":"FD7FD7GC009RT21B184BFAHA3EM1"},"target":"normalized","rule_ids":["TRN-002"],"sequence":16,"transformer_id":"ts.transmission","confidence_effect":0.1},{"after":"estate","field":"bodywork_form","before":{"model":"Q3","variant":"XDFGAF1","version":"FD7FD7GC009RT21B184BFAHA3EM1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FGAF1","version":"FD7FD7GC009RT21B184BFAHA3EM1","body_code":"AC","eu_category":"M1","vehicle_type":"PB"},"target":"normalized","rule_ids":["BDY-110"],"sequence":18,"transformer_id":"ts.bodywork","confidence_effect":0.1},{"after":["diesel"],"field":"energy_sources","before":{"fuel1":"2","fuel2":"0","fuel3":"0","model":"Q3","variant":"XDFGAF1","version":"FD7FD7GC009RT21B184BFAHA3EM1"},"target":"normalized","rule_ids":["FUEL-002"],"sequence":19,"transformer_id":"ts.fuel","confidence_effect":0.0}]</x:v>
      </x:c>
      <x:c r="X9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" s="38" t="str">
        <x:v>{"candidates":{"model_family":"Q3"},"confidence":0.8,"normalized":{"market":["SE"],"power_kw":110,"manufacturer":"Audi","bodywork_form":"estate","energy_sources":["diesel"],"displacement_cc":1968,"production_date":"2019-10","production_year":2019,"manufacturer_role":"vehicle_manufacturer","power_source_unit":"kw","registration_date":"2020-04-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2019-10","field":"production_date","before":{"build_month":"201910","vehicle_year":2019,"registration_date":"20200428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20200428"},"target":"normalized","rule_ids":["DATE-REGISTRATION-V1","DATE-PRODUCTION-MONTH-V1"],"sequence":9,"transformer_id":"ts.dates","confidence_effect":0.1},{"after":2019,"field":"production_year","before":{"build_month":"201910","vehicle_year":2019,"registration_date":"20200428"},"target":"normalized","rule_ids":["DATE-REGISTRATION-V1","DATE-PRODUCTION-MONTH-V1"],"sequence":10,"transformer_id":"ts.dates","confidence_effect":0.1},{"after":"2020-04-28","field":"registration_date","before":{"build_month":"201910","vehicle_year":2019,"registration_date":"20200428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Q3","gearbox":"A","variant":"XDFGAF1","version":"FD7FD7GC009RT21B184BFAHA3EM1"},"target":"normalized","rule_ids":["TRN-002"],"sequence":16,"transformer_id":"ts.transmission","confidence_effect":0.1},{"after":"estate","field":"bodywork_form","before":{"model":"Q3","variant":"XDFGAF1","version":"FD7FD7GC009RT21B184BFAHA3EM1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FGAF1","version":"FD7FD7GC009RT21B184BFAHA3EM1","body_code":"AC","eu_category":"M1","vehicle_type":"PB"},"target":"normalized","rule_ids":["BDY-110"],"sequence":18,"transformer_id":"ts.bodywork","confidence_effect":0.1},{"after":["diesel"],"field":"energy_sources","before":{"fuel1":"2","fuel2":"0","fuel3":"0","model":"Q3","variant":"XDFGAF1","version":"FD7FD7GC009RT21B184BFAHA3EM1"},"target":"normalized","rule_ids":["FUEL-002"],"sequence":19,"transformer_id":"ts.fuel","confidence_effect":0.0}],"pipeline_version":"normalization-pipeline-v4","candidate_rule_ids":[]}</x:v>
      </x:c>
      <x:c r="Z91" s="36" t="n">
        <x:v>46239.78067015046</x:v>
      </x:c>
      <x:c r="AA91" s="36" t="n">
        <x:v>46239.78067015046</x:v>
      </x:c>
    </x:row>
    <x:row r="92" ht="18" customHeight="1">
      <x:c r="A92" s="36" t="n">
        <x:v>2694</x:v>
      </x:c>
      <x:c r="B92" s="36" t="str">
        <x:v>38e17d30-9a6a-5dae-8166-d42ac6917481</x:v>
      </x:c>
      <x:c r="C92" s="36" t="str">
        <x:v>Transportstyrelsen</x:v>
      </x:c>
      <x:c r="D92" s="36" t="str">
        <x:v>normalization-review-passenger-250-v1-rules-20260805T184409855703Z</x:v>
      </x:c>
      <x:c r="E92" s="36" t="str">
        <x:v>staging.transportstyrelsen_raw</x:v>
      </x:c>
      <x:c r="F92" s="36" t="n">
        <x:v>2812</x:v>
      </x:c>
      <x:c r="G92" s="36" t="str">
        <x:v>ts-mapping-v1</x:v>
      </x:c>
      <x:c r="H92" s="36" t="str">
        <x:v>ts-review-20260805T184254528647Z</x:v>
      </x:c>
      <x:c r="I92" s="36" t="str">
        <x:v>normalization-pipeline-v4</x:v>
      </x:c>
      <x:c r="J92" s="36" t="str">
        <x:v>resolved</x:v>
      </x:c>
      <x:c r="K92" s="39" t="n">
        <x:v>0.95</x:v>
      </x:c>
      <x:c r="L92" s="36" t="str">
        <x:v>Ford</x:v>
      </x:c>
      <x:c r="M92" s="36"/>
      <x:c r="N92" s="36" t="str">
        <x:v>motorhome</x:v>
      </x:c>
      <x:c r="O92" s="38" t="str">
        <x:v>["diesel"]</x:v>
      </x:c>
      <x:c r="P92" s="36" t="str">
        <x:v>manual</x:v>
      </x:c>
      <x:c r="Q92" s="36" t="n">
        <x:v>2008</x:v>
      </x:c>
      <x:c r="R92" s="38" t="str">
        <x:v>["MFR-BRAND-CONFIRMED","MFR-BRAND-VIN-WMI","DATE-REGISTRATION-V1","DATE-PRODUCTION-YEAR-V1","UNIT-POWER-KW-V1","UNIT-DISPLACEMENT-CCM-V1","TRN-001","BDY-SA","FUEL-002"]</x:v>
      </x:c>
      <x:c r="S92" s="38" t="str">
        <x:v>[]</x:v>
      </x:c>
      <x:c r="T92" s="38" t="str">
        <x:v>[]</x:v>
      </x:c>
      <x:c r="U92" s="38" t="str">
        <x:v>{"market":["SE"],"power_kw":103,"manufacturer":"Ford","bodywork_form":"motorhome","energy_sources":["diesel"],"displacement_cc":2402,"production_year":2008,"manufacturer_role":"vehicle_manufacturer","power_source_unit":"kw","registration_date":"2008-07-18","transmission_type":"manual","alias_types_present":["plate","vin"],"builder_converter_names":[],"displacement_source_unit":"ccm","production_date_precision":"model_year","bodywork_registry_label_sv":"Campingbil"}</x:v>
      </x:c>
      <x:c r="V92" s="38" t="str">
        <x:v>{}</x:v>
      </x:c>
      <x:c r="W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SOLIFER A-696","target":"normalized","rule_ids":["MFR-BRAND-CONFIRMED","MFR-BRAND-VIN-WMI"],"sequence":3,"transformer_id":"ts.manufacturer","confidence_effect":0.2},{"after":"Ford","field":"manufacturer","before":"FORD SOLIFER A-696","target":"normalized","rule_ids":["MFR-BRAND-CONFIRMED","MFR-BRAND-VIN-WMI"],"sequence":4,"transformer_id":"ts.manufacturer","confidence_effect":0.2},{"after":"vehicle_manufacturer","field":"manufacturer_role","before":"FORD SOLIFER A-696","target":"normalized","rule_ids":["MFR-BRAND-CONFIRMED","MFR-BRAND-VIN-WMI"],"sequence":5,"transformer_id":"ts.manufacturer","confidence_effect":0.2},{"after":"model_year","field":"production_date_precision","before":{"model_year":2008,"vehicle_year":2008,"registration_date":"20080718"},"target":"normalized","rule_ids":["DATE-REGISTRATION-V1","DATE-PRODUCTION-YEAR-V1"],"sequence":6,"transformer_id":"ts.dates","confidence_effect":0.1},{"after":2008,"field":"production_year","before":{"model_year":2008,"vehicle_year":2008,"registration_date":"20080718"},"target":"normalized","rule_ids":["DATE-REGISTRATION-V1","DATE-PRODUCTION-YEAR-V1"],"sequence":7,"transformer_id":"ts.dates","confidence_effect":0.1},{"after":"2008-07-18","field":"registration_date","before":{"model_year":2008,"vehicle_year":2008,"registration_date":"20080718"},"target":"normalized","rule_ids":["DATE-REGISTRATION-V1","DATE-PRODUCTION-YEAR-V1"],"sequence":8,"transformer_id":"ts.dates","confidence_effect":0.1},{"after":2402,"field":"displacement_cc","before":{"kw":103,"ccm":2402},"target":"normalized","rule_ids":["UNIT-POWER-KW-V1","UNIT-DISPLACEMENT-CCM-V1"],"sequence":9,"transformer_id":"ts.engine-measurements","confidence_effect":0.1},{"after":"ccm","field":"displacement_source_unit","before":{"kw":103,"ccm":2402},"target":"normalized","rule_ids":["UNIT-POWER-KW-V1","UNIT-DISPLACEMENT-CCM-V1"],"sequence":10,"transformer_id":"ts.engine-measurements","confidence_effect":0.1},{"after":103,"field":"power_kw","before":{"kw":103,"ccm":2402},"target":"normalized","rule_ids":["UNIT-POWER-KW-V1","UNIT-DISPLACEMENT-CCM-V1"],"sequence":11,"transformer_id":"ts.engine-measurements","confidence_effect":0.1},{"after":"kw","field":"power_source_unit","before":{"kw":103,"ccm":2402},"target":"normalized","rule_ids":["UNIT-POWER-KW-V1","UNIT-DISPLACEMENT-CCM-V1"],"sequence":12,"transformer_id":"ts.engine-measurements","confidence_effect":0.1},{"after":"manual","field":"transmission_type","before":{"gearbox":"M","variant":"HAG4HE/L1HG6A36CA8","version":"-"},"target":"normalized","rule_ids":["TRN-001"],"sequence":13,"transformer_id":"ts.transmission","confidence_effect":0.1},{"after":"motorhome","field":"bodywork_form","before":{"variant":"HAG4HE/L1HG6A36CA8","version":"-","body_code":"SA","eu_category":"M1","vehicle_type":"PB"},"target":"normalized","rule_ids":["BDY-SA"],"sequence":14,"transformer_id":"ts.bodywork","confidence_effect":0.1},{"after":"Campingbil","field":"bodywork_registry_label_sv","before":{"variant":"HAG4HE/L1HG6A36CA8","version":"-","body_code":"SA","eu_category":"M1","vehicle_type":"PB"},"target":"normalized","rule_ids":["BDY-SA"],"sequence":15,"transformer_id":"ts.bodywork","confidence_effect":0.1},{"after":["diesel"],"field":"energy_sources","before":{"fuel1":"2","fuel2":"0","fuel3":"0","variant":"HAG4HE/L1HG6A36CA8","version":"-"},"target":"normalized","rule_ids":["FUEL-002"],"sequence":16,"transformer_id":"ts.fuel","confidence_effect":0.0}]</x:v>
      </x:c>
      <x:c r="X92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" s="38" t="str">
        <x:v>{"candidates":{},"confidence":0.95,"normalized":{"market":["SE"],"power_kw":103,"manufacturer":"Ford","bodywork_form":"motorhome","energy_sources":["diesel"],"displacement_cc":2402,"production_year":2008,"manufacturer_role":"vehicle_manufacturer","power_source_unit":"kw","registration_date":"2008-07-18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SOLIFER A-696","target":"normalized","rule_ids":["MFR-BRAND-CONFIRMED","MFR-BRAND-VIN-WMI"],"sequence":3,"transformer_id":"ts.manufacturer","confidence_effect":0.2},{"after":"Ford","field":"manufacturer","before":"FORD SOLIFER A-696","target":"normalized","rule_ids":["MFR-BRAND-CONFIRMED","MFR-BRAND-VIN-WMI"],"sequence":4,"transformer_id":"ts.manufacturer","confidence_effect":0.2},{"after":"vehicle_manufacturer","field":"manufacturer_role","before":"FORD SOLIFER A-696","target":"normalized","rule_ids":["MFR-BRAND-CONFIRMED","MFR-BRAND-VIN-WMI"],"sequence":5,"transformer_id":"ts.manufacturer","confidence_effect":0.2},{"after":"model_year","field":"production_date_precision","before":{"model_year":2008,"vehicle_year":2008,"registration_date":"20080718"},"target":"normalized","rule_ids":["DATE-REGISTRATION-V1","DATE-PRODUCTION-YEAR-V1"],"sequence":6,"transformer_id":"ts.dates","confidence_effect":0.1},{"after":2008,"field":"production_year","before":{"model_year":2008,"vehicle_year":2008,"registration_date":"20080718"},"target":"normalized","rule_ids":["DATE-REGISTRATION-V1","DATE-PRODUCTION-YEAR-V1"],"sequence":7,"transformer_id":"ts.dates","confidence_effect":0.1},{"after":"2008-07-18","field":"registration_date","before":{"model_year":2008,"vehicle_year":2008,"registration_date":"20080718"},"target":"normalized","rule_ids":["DATE-REGISTRATION-V1","DATE-PRODUCTION-YEAR-V1"],"sequence":8,"transformer_id":"ts.dates","confidence_effect":0.1},{"after":2402,"field":"displacement_cc","before":{"kw":103,"ccm":2402},"target":"normalized","rule_ids":["UNIT-POWER-KW-V1","UNIT-DISPLACEMENT-CCM-V1"],"sequence":9,"transformer_id":"ts.engine-measurements","confidence_effect":0.1},{"after":"ccm","field":"displacement_source_unit","before":{"kw":103,"ccm":2402},"target":"normalized","rule_ids":["UNIT-POWER-KW-V1","UNIT-DISPLACEMENT-CCM-V1"],"sequence":10,"transformer_id":"ts.engine-measurements","confidence_effect":0.1},{"after":103,"field":"power_kw","before":{"kw":103,"ccm":2402},"target":"normalized","rule_ids":["UNIT-POWER-KW-V1","UNIT-DISPLACEMENT-CCM-V1"],"sequence":11,"transformer_id":"ts.engine-measurements","confidence_effect":0.1},{"after":"kw","field":"power_source_unit","before":{"kw":103,"ccm":2402},"target":"normalized","rule_ids":["UNIT-POWER-KW-V1","UNIT-DISPLACEMENT-CCM-V1"],"sequence":12,"transformer_id":"ts.engine-measurements","confidence_effect":0.1},{"after":"manual","field":"transmission_type","before":{"gearbox":"M","variant":"HAG4HE/L1HG6A36CA8","version":"-"},"target":"normalized","rule_ids":["TRN-001"],"sequence":13,"transformer_id":"ts.transmission","confidence_effect":0.1},{"after":"motorhome","field":"bodywork_form","before":{"variant":"HAG4HE/L1HG6A36CA8","version":"-","body_code":"SA","eu_category":"M1","vehicle_type":"PB"},"target":"normalized","rule_ids":["BDY-SA"],"sequence":14,"transformer_id":"ts.bodywork","confidence_effect":0.1},{"after":"Campingbil","field":"bodywork_registry_label_sv","before":{"variant":"HAG4HE/L1HG6A36CA8","version":"-","body_code":"SA","eu_category":"M1","vehicle_type":"PB"},"target":"normalized","rule_ids":["BDY-SA"],"sequence":15,"transformer_id":"ts.bodywork","confidence_effect":0.1},{"after":["diesel"],"field":"energy_sources","before":{"fuel1":"2","fuel2":"0","fuel3":"0","variant":"HAG4HE/L1HG6A36CA8","version":"-"},"target":"normalized","rule_ids":["FUEL-002"],"sequence":16,"transformer_id":"ts.fuel","confidence_effect":0.0}],"pipeline_version":"normalization-pipeline-v4","candidate_rule_ids":[]}</x:v>
      </x:c>
      <x:c r="Z92" s="36" t="n">
        <x:v>46239.78067015046</x:v>
      </x:c>
      <x:c r="AA92" s="36" t="n">
        <x:v>46239.78067015046</x:v>
      </x:c>
    </x:row>
    <x:row r="93" ht="18" customHeight="1">
      <x:c r="A93" s="36" t="n">
        <x:v>2695</x:v>
      </x:c>
      <x:c r="B93" s="36" t="str">
        <x:v>a8a6e724-4654-57ea-9b83-4c63d4652104</x:v>
      </x:c>
      <x:c r="C93" s="36" t="str">
        <x:v>Transportstyrelsen</x:v>
      </x:c>
      <x:c r="D93" s="36" t="str">
        <x:v>normalization-review-passenger-250-v1-rules-20260805T184409855703Z</x:v>
      </x:c>
      <x:c r="E93" s="36" t="str">
        <x:v>staging.transportstyrelsen_raw</x:v>
      </x:c>
      <x:c r="F93" s="36" t="n">
        <x:v>2813</x:v>
      </x:c>
      <x:c r="G93" s="36" t="str">
        <x:v>ts-mapping-v1</x:v>
      </x:c>
      <x:c r="H93" s="36" t="str">
        <x:v>ts-review-20260805T184254528647Z</x:v>
      </x:c>
      <x:c r="I93" s="36" t="str">
        <x:v>normalization-pipeline-v4</x:v>
      </x:c>
      <x:c r="J93" s="36" t="str">
        <x:v>provisional</x:v>
      </x:c>
      <x:c r="K93" s="39" t="n">
        <x:v>0.8</x:v>
      </x:c>
      <x:c r="L93" s="36" t="str">
        <x:v>Fiat</x:v>
      </x:c>
      <x:c r="M93" s="36" t="str">
        <x:v>CORAL S 670SLT</x:v>
      </x:c>
      <x:c r="N93" s="36" t="str">
        <x:v>multi_purpose_vehicle</x:v>
      </x:c>
      <x:c r="O93" s="38" t="str">
        <x:v>["diesel"]</x:v>
      </x:c>
      <x:c r="P93" s="36"/>
      <x:c r="Q93" s="36" t="n">
        <x:v>2011</x:v>
      </x:c>
      <x:c r="R93" s="38" t="str">
        <x:v>["MFE-35E07EE90D94E4","DATE-REGISTRATION-V1","DATE-PRODUCTION-YEAR-V1","UNIT-POWER-KW-V1","UNIT-DISPLACEMENT-CCM-V1","BDY-113","FUEL-002"]</x:v>
      </x:c>
      <x:c r="S93" s="38" t="str">
        <x:v>[]</x:v>
      </x:c>
      <x:c r="T93" s="38" t="str">
        <x:v>[]</x:v>
      </x:c>
      <x:c r="U93" s="38" t="str">
        <x:v>{"market":["SE"],"power_kw":96,"manufacturer":"Fiat","bodywork_form":"multi_purpose_vehicle","energy_sources":["diesel"],"displacement_cc":2287,"production_year":2011,"manufacturer_role":"bodybuilder_converter","power_source_unit":"kw","registration_date":"2011-03-14","alias_types_present":["plate","vin","model_name"],"model_family_candidate":true,"builder_converter_names":["Adria"],"displacement_source_unit":"ccm","production_date_precision":"model_year","bodywork_registry_label_sv":"Fordon avsett för flera ändamål"}</x:v>
      </x:c>
      <x:c r="V93" s="38" t="str">
        <x:v>{"model_family":"CORAL S 670SLT"}</x:v>
      </x:c>
      <x:c r="W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Adria"],"field":"builder_converter_names","before":"FIAT ADRIA A","target":"normalized","rule_ids":["MFE-35E07EE90D94E4"],"sequence":3,"transformer_id":"ts.manufacturer","confidence_effect":0.2},{"after":"Fiat","field":"manufacturer","before":"FIAT ADRIA A","target":"normalized","rule_ids":["MFE-35E07EE90D94E4"],"sequence":4,"transformer_id":"ts.manufacturer","confidence_effect":0.2},{"after":"bodybuilder_converter","field":"manufacturer_role","before":"FIAT ADRIA A","target":"normalized","rule_ids":["MFE-35E07EE90D94E4"],"sequence":5,"transformer_id":"ts.manufacturer","confidence_effect":0.2},{"after":true,"field":"model_family_candidate","before":"CORAL S 670SLT","target":"normalized","rule_ids":["MODEL-CANDIDATE-V1"],"sequence":6,"transformer_id":"ts.model-family","confidence_effect":0.0},{"after":"CORAL S 670SLT","field":"model_family","before":"CORAL S 670SLT","target":"candidate","rule_ids":["MODEL-CANDIDATE-V1"],"sequence":7,"transformer_id":"ts.model-family","confidence_effect":0.05},{"after":"model_year","field":"production_date_precision","before":{"model_year":2011,"vehicle_year":2011,"registration_date":"20110314"},"target":"normalized","rule_ids":["DATE-REGISTRATION-V1","DATE-PRODUCTION-YEAR-V1"],"sequence":8,"transformer_id":"ts.dates","confidence_effect":0.1},{"after":2011,"field":"production_year","before":{"model_year":2011,"vehicle_year":2011,"registration_date":"20110314"},"target":"normalized","rule_ids":["DATE-REGISTRATION-V1","DATE-PRODUCTION-YEAR-V1"],"sequence":9,"transformer_id":"ts.dates","confidence_effect":0.1},{"after":"2011-03-14","field":"registration_date","before":{"model_year":2011,"vehicle_year":2011,"registration_date":"20110314"},"target":"normalized","rule_ids":["DATE-REGISTRATION-V1","DATE-PRODUCTION-YEAR-V1"],"sequence":10,"transformer_id":"ts.dates","confidence_effect":0.1},{"after":2287,"field":"displacement_cc","before":{"kw":96,"ccm":2287},"target":"normalized","rule_ids":["UNIT-POWER-KW-V1","UNIT-DISPLACEMENT-CCM-V1"],"sequence":11,"transformer_id":"ts.engine-measurements","confidence_effect":0.1},{"after":"ccm","field":"displacement_source_unit","before":{"kw":96,"ccm":2287},"target":"normalized","rule_ids":["UNIT-POWER-KW-V1","UNIT-DISPLACEMENT-CCM-V1"],"sequence":12,"transformer_id":"ts.engine-measurements","confidence_effect":0.1},{"after":96,"field":"power_kw","before":{"kw":96,"ccm":2287},"target":"normalized","rule_ids":["UNIT-POWER-KW-V1","UNIT-DISPLACEMENT-CCM-V1"],"sequence":13,"transformer_id":"ts.engine-measurements","confidence_effect":0.1},{"after":"kw","field":"power_source_unit","before":{"kw":96,"ccm":2287},"target":"normalized","rule_ids":["UNIT-POWER-KW-V1","UNIT-DISPLACEMENT-CCM-V1"],"sequence":14,"transformer_id":"ts.engine-measurements","confidence_effect":0.1},{"after":"multi_purpose_vehicle","field":"bodywork_form","before":{"model":"CORAL S 670SLT","variant":"8CA","version":"U5","body_code":"AF","eu_category":"M1","vehicle_type":"PB"},"target":"normalized","rule_ids":["BDY-113"],"sequence":15,"transformer_id":"ts.bodywork","confidence_effect":0.1},{"after":"Fordon avsett för flera ändamål","field":"bodywork_registry_label_sv","before":{"model":"CORAL S 670SLT","variant":"8CA","version":"U5","body_code":"AF","eu_category":"M1","vehicle_type":"PB"},"target":"normalized","rule_ids":["BDY-113"],"sequence":16,"transformer_id":"ts.bodywork","confidence_effect":0.1},{"after":["diesel"],"field":"energy_sources","before":{"fuel1":"2","fuel2":"0","fuel3":"0","model":"CORAL S 670SLT","variant":"8CA","version":"U5"},"target":"normalized","rule_ids":["FUEL-002"],"sequence":17,"transformer_id":"ts.fuel","confidence_effect":0.0}]</x:v>
      </x:c>
      <x:c r="X93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" s="38" t="str">
        <x:v>{"candidates":{"model_family":"CORAL S 670SLT"},"confidence":0.8,"normalized":{"market":["SE"],"power_kw":96,"manufacturer":"Fiat","bodywork_form":"multi_purpose_vehicle","energy_sources":["diesel"],"displacement_cc":2287,"production_year":2011,"manufacturer_role":"bodybuilder_converter","power_source_unit":"kw","registration_date":"2011-03-14","alias_types_present":["plate","vin","model_name"],"model_family_candidate":true,"builder_converter_names":["Adria"],"displacement_source_unit":"ccm","production_date_precision":"model_year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Adria"],"field":"builder_converter_names","before":"FIAT ADRIA A","target":"normalized","rule_ids":["MFE-35E07EE90D94E4"],"sequence":3,"transformer_id":"ts.manufacturer","confidence_effect":0.2},{"after":"Fiat","field":"manufacturer","before":"FIAT ADRIA A","target":"normalized","rule_ids":["MFE-35E07EE90D94E4"],"sequence":4,"transformer_id":"ts.manufacturer","confidence_effect":0.2},{"after":"bodybuilder_converter","field":"manufacturer_role","before":"FIAT ADRIA A","target":"normalized","rule_ids":["MFE-35E07EE90D94E4"],"sequence":5,"transformer_id":"ts.manufacturer","confidence_effect":0.2},{"after":true,"field":"model_family_candidate","before":"CORAL S 670SLT","target":"normalized","rule_ids":["MODEL-CANDIDATE-V1"],"sequence":6,"transformer_id":"ts.model-family","confidence_effect":0.0},{"after":"CORAL S 670SLT","field":"model_family","before":"CORAL S 670SLT","target":"candidate","rule_ids":["MODEL-CANDIDATE-V1"],"sequence":7,"transformer_id":"ts.model-family","confidence_effect":0.05},{"after":"model_year","field":"production_date_precision","before":{"model_year":2011,"vehicle_year":2011,"registration_date":"20110314"},"target":"normalized","rule_ids":["DATE-REGISTRATION-V1","DATE-PRODUCTION-YEAR-V1"],"sequence":8,"transformer_id":"ts.dates","confidence_effect":0.1},{"after":2011,"field":"production_year","before":{"model_year":2011,"vehicle_year":2011,"registration_date":"20110314"},"target":"normalized","rule_ids":["DATE-REGISTRATION-V1","DATE-PRODUCTION-YEAR-V1"],"sequence":9,"transformer_id":"ts.dates","confidence_effect":0.1},{"after":"2011-03-14","field":"registration_date","before":{"model_year":2011,"vehicle_year":2011,"registration_date":"20110314"},"target":"normalized","rule_ids":["DATE-REGISTRATION-V1","DATE-PRODUCTION-YEAR-V1"],"sequence":10,"transformer_id":"ts.dates","confidence_effect":0.1},{"after":2287,"field":"displacement_cc","before":{"kw":96,"ccm":2287},"target":"normalized","rule_ids":["UNIT-POWER-KW-V1","UNIT-DISPLACEMENT-CCM-V1"],"sequence":11,"transformer_id":"ts.engine-measurements","confidence_effect":0.1},{"after":"ccm","field":"displacement_source_unit","before":{"kw":96,"ccm":2287},"target":"normalized","rule_ids":["UNIT-POWER-KW-V1","UNIT-DISPLACEMENT-CCM-V1"],"sequence":12,"transformer_id":"ts.engine-measurements","confidence_effect":0.1},{"after":96,"field":"power_kw","before":{"kw":96,"ccm":2287},"target":"normalized","rule_ids":["UNIT-POWER-KW-V1","UNIT-DISPLACEMENT-CCM-V1"],"sequence":13,"transformer_id":"ts.engine-measurements","confidence_effect":0.1},{"after":"kw","field":"power_source_unit","before":{"kw":96,"ccm":2287},"target":"normalized","rule_ids":["UNIT-POWER-KW-V1","UNIT-DISPLACEMENT-CCM-V1"],"sequence":14,"transformer_id":"ts.engine-measurements","confidence_effect":0.1},{"after":"multi_purpose_vehicle","field":"bodywork_form","before":{"model":"CORAL S 670SLT","variant":"8CA","version":"U5","body_code":"AF","eu_category":"M1","vehicle_type":"PB"},"target":"normalized","rule_ids":["BDY-113"],"sequence":15,"transformer_id":"ts.bodywork","confidence_effect":0.1},{"after":"Fordon avsett för flera ändamål","field":"bodywork_registry_label_sv","before":{"model":"CORAL S 670SLT","variant":"8CA","version":"U5","body_code":"AF","eu_category":"M1","vehicle_type":"PB"},"target":"normalized","rule_ids":["BDY-113"],"sequence":16,"transformer_id":"ts.bodywork","confidence_effect":0.1},{"after":["diesel"],"field":"energy_sources","before":{"fuel1":"2","fuel2":"0","fuel3":"0","model":"CORAL S 670SLT","variant":"8CA","version":"U5"},"target":"normalized","rule_ids":["FUEL-002"],"sequence":17,"transformer_id":"ts.fuel","confidence_effect":0.0}],"pipeline_version":"normalization-pipeline-v4","candidate_rule_ids":[]}</x:v>
      </x:c>
      <x:c r="Z93" s="36" t="n">
        <x:v>46239.78067015046</x:v>
      </x:c>
      <x:c r="AA93" s="36" t="n">
        <x:v>46239.78067015046</x:v>
      </x:c>
    </x:row>
    <x:row r="94" ht="18" customHeight="1">
      <x:c r="A94" s="36" t="n">
        <x:v>2696</x:v>
      </x:c>
      <x:c r="B94" s="36" t="str">
        <x:v>d5b9ef07-623c-5d94-bc3d-b935e4dbaf47</x:v>
      </x:c>
      <x:c r="C94" s="36" t="str">
        <x:v>Transportstyrelsen</x:v>
      </x:c>
      <x:c r="D94" s="36" t="str">
        <x:v>normalization-review-passenger-250-v1-rules-20260805T184409855703Z</x:v>
      </x:c>
      <x:c r="E94" s="36" t="str">
        <x:v>staging.transportstyrelsen_raw</x:v>
      </x:c>
      <x:c r="F94" s="36" t="n">
        <x:v>2814</x:v>
      </x:c>
      <x:c r="G94" s="36" t="str">
        <x:v>ts-mapping-v1</x:v>
      </x:c>
      <x:c r="H94" s="36" t="str">
        <x:v>ts-review-20260805T184254528647Z</x:v>
      </x:c>
      <x:c r="I94" s="36" t="str">
        <x:v>normalization-pipeline-v4</x:v>
      </x:c>
      <x:c r="J94" s="36" t="str">
        <x:v>provisional</x:v>
      </x:c>
      <x:c r="K94" s="39" t="n">
        <x:v>0.8</x:v>
      </x:c>
      <x:c r="L94" s="36" t="str">
        <x:v>Opel</x:v>
      </x:c>
      <x:c r="M94" s="36"/>
      <x:c r="N94" s="36" t="str">
        <x:v>covered_body</x:v>
      </x:c>
      <x:c r="O94" s="38" t="str">
        <x:v>["petrol"]</x:v>
      </x:c>
      <x:c r="P94" s="36" t="str">
        <x:v>manual</x:v>
      </x:c>
      <x:c r="Q94" s="36" t="n">
        <x:v>1965</x:v>
      </x:c>
      <x:c r="R94" s="38" t="str">
        <x:v>["DATE-REGISTRATION-V1","DATE-PRODUCTION-YEAR-V1","UNIT-POWER-KW-V1","TRN-001","BDY-102","FUEL-001"]</x:v>
      </x:c>
      <x:c r="S94" s="38" t="str">
        <x:v>["MFR-BRAND-PREFIX-FALLBACK"]</x:v>
      </x:c>
      <x:c r="T94" s="38" t="str">
        <x:v>[]</x:v>
      </x:c>
      <x:c r="U94" s="38" t="str">
        <x:v>{"market":["SE"],"power_kw":35,"manufacturer":"Opel","bodywork_form":"covered_body","energy_sources":["petrol"],"production_year":1965,"manufacturer_role":"vehicle_manufacturer","power_source_unit":"kw","registration_date":"1965-02-27","transmission_type":"manual","alias_types_present":["plate","vin"],"builder_converter_names":[],"production_date_precision":"model_year","bodywork_registry_label_sv":"Täckt"}</x:v>
      </x:c>
      <x:c r="V94" s="38" t="str">
        <x:v>{"manufacturer_confirmation":{"source_fields":["brand"],"canonical_name":"Opel"}}</x:v>
      </x:c>
      <x:c r="W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31226","target":"normalized","rule_ids":["MFR-CLASSIFY-V1"],"sequence":3,"transformer_id":"ts.manufacturer","confidence_effect":0.2},{"after":"Opel","field":"manufacturer","before":"OPEL KADETT 31226","target":"normalized","rule_ids":["MFR-CLASSIFY-V1"],"sequence":4,"transformer_id":"ts.manufacturer","confidence_effect":0.2},{"after":"vehicle_manufacturer","field":"manufacturer_role","before":"OPEL KADETT 31226","target":"normalized","rule_ids":["MFR-CLASSIFY-V1"],"sequence":5,"transformer_id":"ts.manufacturer","confidence_effect":0.2},{"after":{"source_fields":["brand"],"canonical_name":"Opel"},"field":"manufacturer_confirmation","before":"OPEL KADETT 31226","target":"candidate","rule_ids":["MFR-BRAND-PREFIX-FALLBACK"],"sequence":6,"transformer_id":"ts.manufacturer","confidence_effect":0.05},{"after":"model_year","field":"production_date_precision","before":{"model_year":1965,"vehicle_year":1965,"registration_date":"19650227"},"target":"normalized","rule_ids":["DATE-REGISTRATION-V1","DATE-PRODUCTION-YEAR-V1"],"sequence":7,"transformer_id":"ts.dates","confidence_effect":0.1},{"after":1965,"field":"production_year","before":{"model_year":1965,"vehicle_year":1965,"registration_date":"19650227"},"target":"normalized","rule_ids":["DATE-REGISTRATION-V1","DATE-PRODUCTION-YEAR-V1"],"sequence":8,"transformer_id":"ts.dates","confidence_effect":0.1},{"after":"1965-02-27","field":"registration_date","before":{"model_year":1965,"vehicle_year":1965,"registration_date":"19650227"},"target":"normalized","rule_ids":["DATE-REGISTRATION-V1","DATE-PRODUCTION-YEAR-V1"],"sequence":9,"transformer_id":"ts.dates","confidence_effect":0.1},{"after":35,"field":"power_kw","before":35,"target":"normalized","rule_ids":["UNIT-POWER-KW-V1"],"sequence":10,"transformer_id":"ts.engine-measurements","confidence_effect":0.1},{"after":"kw","field":"power_source_unit","before":35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" s="38" t="str">
        <x:v>{"candidates":{"manufacturer_confirmation":{"source_fields":["brand"],"canonical_name":"Opel"}},"confidence":0.8,"normalized":{"market":["SE"],"power_kw":35,"manufacturer":"Opel","bodywork_form":"covered_body","energy_sources":["petrol"],"production_year":1965,"manufacturer_role":"vehicle_manufacturer","power_source_unit":"kw","registration_date":"1965-02-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31226","target":"normalized","rule_ids":["MFR-CLASSIFY-V1"],"sequence":3,"transformer_id":"ts.manufacturer","confidence_effect":0.2},{"after":"Opel","field":"manufacturer","before":"OPEL KADETT 31226","target":"normalized","rule_ids":["MFR-CLASSIFY-V1"],"sequence":4,"transformer_id":"ts.manufacturer","confidence_effect":0.2},{"after":"vehicle_manufacturer","field":"manufacturer_role","before":"OPEL KADETT 31226","target":"normalized","rule_ids":["MFR-CLASSIFY-V1"],"sequence":5,"transformer_id":"ts.manufacturer","confidence_effect":0.2},{"after":{"source_fields":["brand"],"canonical_name":"Opel"},"field":"manufacturer_confirmation","before":"OPEL KADETT 31226","target":"candidate","rule_ids":["MFR-BRAND-PREFIX-FALLBACK"],"sequence":6,"transformer_id":"ts.manufacturer","confidence_effect":0.05},{"after":"model_year","field":"production_date_precision","before":{"model_year":1965,"vehicle_year":1965,"registration_date":"19650227"},"target":"normalized","rule_ids":["DATE-REGISTRATION-V1","DATE-PRODUCTION-YEAR-V1"],"sequence":7,"transformer_id":"ts.dates","confidence_effect":0.1},{"after":1965,"field":"production_year","before":{"model_year":1965,"vehicle_year":1965,"registration_date":"19650227"},"target":"normalized","rule_ids":["DATE-REGISTRATION-V1","DATE-PRODUCTION-YEAR-V1"],"sequence":8,"transformer_id":"ts.dates","confidence_effect":0.1},{"after":"1965-02-27","field":"registration_date","before":{"model_year":1965,"vehicle_year":1965,"registration_date":"19650227"},"target":"normalized","rule_ids":["DATE-REGISTRATION-V1","DATE-PRODUCTION-YEAR-V1"],"sequence":9,"transformer_id":"ts.dates","confidence_effect":0.1},{"after":35,"field":"power_kw","before":35,"target":"normalized","rule_ids":["UNIT-POWER-KW-V1"],"sequence":10,"transformer_id":"ts.engine-measurements","confidence_effect":0.1},{"after":"kw","field":"power_source_unit","before":35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4" s="36" t="n">
        <x:v>46239.78067015046</x:v>
      </x:c>
      <x:c r="AA94" s="36" t="n">
        <x:v>46239.78067015046</x:v>
      </x:c>
    </x:row>
    <x:row r="95" ht="18" customHeight="1">
      <x:c r="A95" s="36" t="n">
        <x:v>2697</x:v>
      </x:c>
      <x:c r="B95" s="36" t="str">
        <x:v>f25d67f5-3c82-5905-99c1-7df3ac57e579</x:v>
      </x:c>
      <x:c r="C95" s="36" t="str">
        <x:v>Transportstyrelsen</x:v>
      </x:c>
      <x:c r="D95" s="36" t="str">
        <x:v>normalization-review-passenger-250-v1-rules-20260805T184409855703Z</x:v>
      </x:c>
      <x:c r="E95" s="36" t="str">
        <x:v>staging.transportstyrelsen_raw</x:v>
      </x:c>
      <x:c r="F95" s="36" t="n">
        <x:v>2815</x:v>
      </x:c>
      <x:c r="G95" s="36" t="str">
        <x:v>ts-mapping-v1</x:v>
      </x:c>
      <x:c r="H95" s="36" t="str">
        <x:v>ts-review-20260805T184254528647Z</x:v>
      </x:c>
      <x:c r="I95" s="36" t="str">
        <x:v>normalization-pipeline-v4</x:v>
      </x:c>
      <x:c r="J95" s="36" t="str">
        <x:v>provisional</x:v>
      </x:c>
      <x:c r="K95" s="39" t="n">
        <x:v>0.8</x:v>
      </x:c>
      <x:c r="L95" s="36" t="str">
        <x:v>Volkswagen</x:v>
      </x:c>
      <x:c r="M95" s="36" t="str">
        <x:v>PASSAT</x:v>
      </x:c>
      <x:c r="N95" s="36" t="str">
        <x:v>estate</x:v>
      </x:c>
      <x:c r="O95" s="38" t="str">
        <x:v>["diesel"]</x:v>
      </x:c>
      <x:c r="P95" s="36" t="str">
        <x:v>automatic</x:v>
      </x:c>
      <x:c r="Q95" s="36" t="n">
        <x:v>2015</x:v>
      </x:c>
      <x:c r="R95" s="38" t="str">
        <x:v>["MFR-BRAND-CONFIRMED","MFR-BRAND-MODEL","MFR-BRAND-VIN-WMI","DATE-REGISTRATION-V1","DATE-PRODUCTION-MONTH-V1","UNIT-POWER-KW-V1","UNIT-DISPLACEMENT-CCM-V1","TRN-002","BDY-110","FUEL-002"]</x:v>
      </x:c>
      <x:c r="S95" s="38" t="str">
        <x:v>["DRV-008"]</x:v>
      </x:c>
      <x:c r="T95" s="38" t="str">
        <x:v>[]</x:v>
      </x:c>
      <x:c r="U95" s="38" t="str">
        <x:v>{"market":["SE"],"power_kw":140,"manufacturer":"Volkswagen","bodywork_form":"estate","energy_sources":["diesel"],"displacement_cc":1968,"production_date":"2015-03","production_year":2015,"manufacturer_role":"vehicle_manufacturer","power_source_unit":"kw","registration_date":"2015-07-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5" s="38" t="str">
        <x:v>{"drive_type":"awd","model_family":"PASSAT"}</x:v>
      </x:c>
      <x:c r="W95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2015-03","field":"production_date","before":{"build_month":"201503","vehicle_year":2015,"registration_date":"20150730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20150730"},"target":"normalized","rule_ids":["DATE-REGISTRATION-V1","DATE-PRODUCTION-MONTH-V1"],"sequence":10,"transformer_id":"ts.dates","confidence_effect":0.1},{"after":2015,"field":"production_year","before":{"build_month":"201503","vehicle_year":2015,"registration_date":"20150730"},"target":"normalized","rule_ids":["DATE-REGISTRATION-V1","DATE-PRODUCTION-MONTH-V1"],"sequence":11,"transformer_id":"ts.dates","confidence_effect":0.1},{"after":"2015-07-30","field":"registration_date","before":{"build_month":"201503","vehicle_year":2015,"registration_date":"20150730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PASSAT","gearbox":"A","variant":"ACDDAAX1","version":"AD6AD6D9003SH7MMVR261"},"target":"normalized","rule_ids":["TRN-002"],"sequence":17,"transformer_id":"ts.transmission","confidence_effect":0.1},{"after":"estate","field":"bodywork_form","before":{"model":"PASSAT","variant":"ACDDAAX1","version":"AD6AD6D9003SH7MMVR261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DDAAX1","version":"AD6AD6D9003SH7MMVR261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DDAAX1","version":"AD6AD6D9003SH7MMVR261"},"target":"normalized","rule_ids":["FUEL-002"],"sequence":21,"transformer_id":"ts.fuel","confidence_effect":0.0}]</x:v>
      </x:c>
      <x:c r="X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" s="38" t="str">
        <x:v>{"candidates":{"drive_type":"awd","model_family":"PASSAT"},"confidence":0.8,"normalized":{"market":["SE"],"power_kw":140,"manufacturer":"Volkswagen","bodywork_form":"estate","energy_sources":["diesel"],"displacement_cc":1968,"production_date":"2015-03","production_year":2015,"manufacturer_role":"vehicle_manufacturer","power_source_unit":"kw","registration_date":"2015-07-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2015-03","field":"production_date","before":{"build_month":"201503","vehicle_year":2015,"registration_date":"20150730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20150730"},"target":"normalized","rule_ids":["DATE-REGISTRATION-V1","DATE-PRODUCTION-MONTH-V1"],"sequence":10,"transformer_id":"ts.dates","confidence_effect":0.1},{"after":2015,"field":"production_year","before":{"build_month":"201503","vehicle_year":2015,"registration_date":"20150730"},"target":"normalized","rule_ids":["DATE-REGISTRATION-V1","DATE-PRODUCTION-MONTH-V1"],"sequence":11,"transformer_id":"ts.dates","confidence_effect":0.1},{"after":"2015-07-30","field":"registration_date","before":{"build_month":"201503","vehicle_year":2015,"registration_date":"20150730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PASSAT","gearbox":"A","variant":"ACDDAAX1","version":"AD6AD6D9003SH7MMVR261"},"target":"normalized","rule_ids":["TRN-002"],"sequence":17,"transformer_id":"ts.transmission","confidence_effect":0.1},{"after":"estate","field":"bodywork_form","before":{"model":"PASSAT","variant":"ACDDAAX1","version":"AD6AD6D9003SH7MMVR261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DDAAX1","version":"AD6AD6D9003SH7MMVR261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DDAAX1","version":"AD6AD6D9003SH7MMVR261"},"target":"normalized","rule_ids":["FUEL-002"],"sequence":21,"transformer_id":"ts.fuel","confidence_effect":0.0}],"pipeline_version":"normalization-pipeline-v4","candidate_rule_ids":["DRV-008"]}</x:v>
      </x:c>
      <x:c r="Z95" s="36" t="n">
        <x:v>46239.78067015046</x:v>
      </x:c>
      <x:c r="AA95" s="36" t="n">
        <x:v>46239.78067015046</x:v>
      </x:c>
    </x:row>
    <x:row r="96" ht="18" customHeight="1">
      <x:c r="A96" s="36" t="n">
        <x:v>2698</x:v>
      </x:c>
      <x:c r="B96" s="36" t="str">
        <x:v>94aeb8cb-f617-5949-8015-5cb8dddae4ad</x:v>
      </x:c>
      <x:c r="C96" s="36" t="str">
        <x:v>Transportstyrelsen</x:v>
      </x:c>
      <x:c r="D96" s="36" t="str">
        <x:v>normalization-review-passenger-250-v1-rules-20260805T184409855703Z</x:v>
      </x:c>
      <x:c r="E96" s="36" t="str">
        <x:v>staging.transportstyrelsen_raw</x:v>
      </x:c>
      <x:c r="F96" s="36" t="n">
        <x:v>2816</x:v>
      </x:c>
      <x:c r="G96" s="36" t="str">
        <x:v>ts-mapping-v1</x:v>
      </x:c>
      <x:c r="H96" s="36" t="str">
        <x:v>ts-review-20260805T184254528647Z</x:v>
      </x:c>
      <x:c r="I96" s="36" t="str">
        <x:v>normalization-pipeline-v4</x:v>
      </x:c>
      <x:c r="J96" s="36" t="str">
        <x:v>provisional</x:v>
      </x:c>
      <x:c r="K96" s="39" t="n">
        <x:v>0.8</x:v>
      </x:c>
      <x:c r="L96" s="36" t="str">
        <x:v>Toyota</x:v>
      </x:c>
      <x:c r="M96" s="36"/>
      <x:c r="N96" s="36" t="str">
        <x:v>covered_body</x:v>
      </x:c>
      <x:c r="O96" s="38" t="str">
        <x:v>["petrol"]</x:v>
      </x:c>
      <x:c r="P96" s="36" t="str">
        <x:v>manual</x:v>
      </x:c>
      <x:c r="Q96" s="36" t="n">
        <x:v>1998</x:v>
      </x:c>
      <x:c r="R96" s="38" t="str">
        <x:v>["DATE-REGISTRATION-V1","DATE-PRODUCTION-YEAR-V1","UNIT-POWER-KW-V1","TRN-001","BDY-102","FUEL-001"]</x:v>
      </x:c>
      <x:c r="S96" s="38" t="str">
        <x:v>["MFR-BRAND-PREFIX-FALLBACK"]</x:v>
      </x:c>
      <x:c r="T96" s="38" t="str">
        <x:v>[]</x:v>
      </x:c>
      <x:c r="U96" s="38" t="str">
        <x:v>{"market":["SE"],"power_kw":96,"manufacturer":"Toyota","bodywork_form":"covered_body","energy_sources":["petrol"],"production_year":1998,"manufacturer_role":"vehicle_manufacturer","power_source_unit":"kw","registration_date":"1998-05-28","transmission_type":"manual","alias_types_present":["plate","vin"],"builder_converter_names":[],"production_date_precision":"model_year","bodywork_registry_label_sv":"Täckt"}</x:v>
      </x:c>
      <x:c r="V96" s="38" t="str">
        <x:v>{"manufacturer_confirmation":{"source_fields":["brand"],"canonical_name":"Toyota"}}</x:v>
      </x:c>
      <x:c r="W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CAMRY","target":"normalized","rule_ids":["MFR-CLASSIFY-V1"],"sequence":3,"transformer_id":"ts.manufacturer","confidence_effect":0.2},{"after":"Toyota","field":"manufacturer","before":"TOYOTA CAMRY","target":"normalized","rule_ids":["MFR-CLASSIFY-V1"],"sequence":4,"transformer_id":"ts.manufacturer","confidence_effect":0.2},{"after":"vehicle_manufacturer","field":"manufacturer_role","before":"TOYOTA CAMRY","target":"normalized","rule_ids":["MFR-CLASSIFY-V1"],"sequence":5,"transformer_id":"ts.manufacturer","confidence_effect":0.2},{"after":{"source_fields":["brand"],"canonical_name":"Toyota"},"field":"manufacturer_confirmation","before":"TOYOTA CAMRY","target":"candidate","rule_ids":["MFR-BRAND-PREFIX-FALLBACK"],"sequence":6,"transformer_id":"ts.manufacturer","confidence_effect":0.05},{"after":"model_year","field":"production_date_precision","before":{"model_year":1998,"vehicle_year":1998,"registration_date":"19980528"},"target":"normalized","rule_ids":["DATE-REGISTRATION-V1","DATE-PRODUCTION-YEAR-V1"],"sequence":7,"transformer_id":"ts.dates","confidence_effect":0.1},{"after":1998,"field":"production_year","before":{"model_year":1998,"vehicle_year":1998,"registration_date":"19980528"},"target":"normalized","rule_ids":["DATE-REGISTRATION-V1","DATE-PRODUCTION-YEAR-V1"],"sequence":8,"transformer_id":"ts.dates","confidence_effect":0.1},{"after":"1998-05-28","field":"registration_date","before":{"model_year":1998,"vehicle_year":1998,"registration_date":"19980528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SXV20(E)","version":"SXV20L-AEMNKW(1"},"target":"normalized","rule_ids":["TRN-001"],"sequence":12,"transformer_id":"ts.transmission","confidence_effect":0.1},{"after":"covered_body","field":"bodywork_form","before":{"variant":"SXV20(E)","version":"SXV20L-AEMNKW(1","body_code":"01","eu_category":"M1","vehicle_type":"PB"},"target":"normalized","rule_ids":["BDY-102"],"sequence":13,"transformer_id":"ts.bodywork","confidence_effect":0.1},{"after":"Täckt","field":"bodywork_registry_label_sv","before":{"variant":"SXV20(E)","version":"SXV20L-AEM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SXV20(E)","version":"SXV20L-AEMNKW(1"},"target":"normalized","rule_ids":["FUEL-001"],"sequence":15,"transformer_id":"ts.fuel","confidence_effect":0.0}]</x:v>
      </x:c>
      <x:c r="X9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" s="38" t="str">
        <x:v>{"candidates":{"manufacturer_confirmation":{"source_fields":["brand"],"canonical_name":"Toyota"}},"confidence":0.8,"normalized":{"market":["SE"],"power_kw":96,"manufacturer":"Toyota","bodywork_form":"covered_body","energy_sources":["petrol"],"production_year":1998,"manufacturer_role":"vehicle_manufacturer","power_source_unit":"kw","registration_date":"1998-05-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CAMRY","target":"normalized","rule_ids":["MFR-CLASSIFY-V1"],"sequence":3,"transformer_id":"ts.manufacturer","confidence_effect":0.2},{"after":"Toyota","field":"manufacturer","before":"TOYOTA CAMRY","target":"normalized","rule_ids":["MFR-CLASSIFY-V1"],"sequence":4,"transformer_id":"ts.manufacturer","confidence_effect":0.2},{"after":"vehicle_manufacturer","field":"manufacturer_role","before":"TOYOTA CAMRY","target":"normalized","rule_ids":["MFR-CLASSIFY-V1"],"sequence":5,"transformer_id":"ts.manufacturer","confidence_effect":0.2},{"after":{"source_fields":["brand"],"canonical_name":"Toyota"},"field":"manufacturer_confirmation","before":"TOYOTA CAMRY","target":"candidate","rule_ids":["MFR-BRAND-PREFIX-FALLBACK"],"sequence":6,"transformer_id":"ts.manufacturer","confidence_effect":0.05},{"after":"model_year","field":"production_date_precision","before":{"model_year":1998,"vehicle_year":1998,"registration_date":"19980528"},"target":"normalized","rule_ids":["DATE-REGISTRATION-V1","DATE-PRODUCTION-YEAR-V1"],"sequence":7,"transformer_id":"ts.dates","confidence_effect":0.1},{"after":1998,"field":"production_year","before":{"model_year":1998,"vehicle_year":1998,"registration_date":"19980528"},"target":"normalized","rule_ids":["DATE-REGISTRATION-V1","DATE-PRODUCTION-YEAR-V1"],"sequence":8,"transformer_id":"ts.dates","confidence_effect":0.1},{"after":"1998-05-28","field":"registration_date","before":{"model_year":1998,"vehicle_year":1998,"registration_date":"19980528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SXV20(E)","version":"SXV20L-AEMNKW(1"},"target":"normalized","rule_ids":["TRN-001"],"sequence":12,"transformer_id":"ts.transmission","confidence_effect":0.1},{"after":"covered_body","field":"bodywork_form","before":{"variant":"SXV20(E)","version":"SXV20L-AEMNKW(1","body_code":"01","eu_category":"M1","vehicle_type":"PB"},"target":"normalized","rule_ids":["BDY-102"],"sequence":13,"transformer_id":"ts.bodywork","confidence_effect":0.1},{"after":"Täckt","field":"bodywork_registry_label_sv","before":{"variant":"SXV20(E)","version":"SXV20L-AEM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SXV20(E)","version":"SXV20L-AEMNKW(1"},"target":"normalized","rule_ids":["FUEL-001"],"sequence":15,"transformer_id":"ts.fuel","confidence_effect":0.0}],"pipeline_version":"normalization-pipeline-v4","candidate_rule_ids":["MFR-BRAND-PREFIX-FALLBACK"]}</x:v>
      </x:c>
      <x:c r="Z96" s="36" t="n">
        <x:v>46239.78067015046</x:v>
      </x:c>
      <x:c r="AA96" s="36" t="n">
        <x:v>46239.78067015046</x:v>
      </x:c>
    </x:row>
    <x:row r="97" ht="18" customHeight="1">
      <x:c r="A97" s="36" t="n">
        <x:v>2699</x:v>
      </x:c>
      <x:c r="B97" s="36" t="str">
        <x:v>a82bf102-2236-51b5-a224-540ba7184dc5</x:v>
      </x:c>
      <x:c r="C97" s="36" t="str">
        <x:v>Transportstyrelsen</x:v>
      </x:c>
      <x:c r="D97" s="36" t="str">
        <x:v>normalization-review-passenger-250-v1-rules-20260805T184409855703Z</x:v>
      </x:c>
      <x:c r="E97" s="36" t="str">
        <x:v>staging.transportstyrelsen_raw</x:v>
      </x:c>
      <x:c r="F97" s="36" t="n">
        <x:v>2817</x:v>
      </x:c>
      <x:c r="G97" s="36" t="str">
        <x:v>ts-mapping-v1</x:v>
      </x:c>
      <x:c r="H97" s="36" t="str">
        <x:v>ts-review-20260805T184254528647Z</x:v>
      </x:c>
      <x:c r="I97" s="36" t="str">
        <x:v>normalization-pipeline-v4</x:v>
      </x:c>
      <x:c r="J97" s="36" t="str">
        <x:v>provisional</x:v>
      </x:c>
      <x:c r="K97" s="39" t="n">
        <x:v>0.8</x:v>
      </x:c>
      <x:c r="L97" s="36" t="str">
        <x:v>Fiat</x:v>
      </x:c>
      <x:c r="M97" s="36" t="str">
        <x:v>T 6701</x:v>
      </x:c>
      <x:c r="N97" s="36" t="str">
        <x:v>multi_purpose_vehicle</x:v>
      </x:c>
      <x:c r="O97" s="38" t="str">
        <x:v>["diesel"]</x:v>
      </x:c>
      <x:c r="P97" s="36" t="str">
        <x:v>manual</x:v>
      </x:c>
      <x:c r="Q97" s="36" t="n">
        <x:v>2012</x:v>
      </x:c>
      <x:c r="R97" s="38" t="str">
        <x:v>["MFE-83C7791BD5DE63","DATE-REGISTRATION-V1","DATE-PRODUCTION-YEAR-V1","UNIT-POWER-KW-V1","UNIT-DISPLACEMENT-CCM-V1","TRN-001","BDY-113","FUEL-002"]</x:v>
      </x:c>
      <x:c r="S97" s="38" t="str">
        <x:v>[]</x:v>
      </x:c>
      <x:c r="T97" s="38" t="str">
        <x:v>[]</x:v>
      </x:c>
      <x:c r="U97" s="38" t="str">
        <x:v>{"market":["SE"],"power_kw":96,"manufacturer":"Fiat","bodywork_form":"multi_purpose_vehicle","energy_sources":["diesel"],"displacement_cc":2287,"production_year":2012,"manufacturer_role":"bodybuilder_converter","power_source_unit":"kw","registration_date":"2013-06-07","transmission_type":"manual","alias_types_present":["plate","vin","model_name"],"model_family_candidate":true,"builder_converter_names":["Dethleffs"],"displacement_source_unit":"ccm","production_date_precision":"vehicle_year","bodywork_registry_label_sv":"Fordon avsett för flera ändamål"}</x:v>
      </x:c>
      <x:c r="V97" s="38" t="str">
        <x:v>{"model_family":"T 6701"}</x:v>
      </x:c>
      <x:c r="W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DETHLEFFS","target":"normalized","rule_ids":["MFE-83C7791BD5DE63"],"sequence":3,"transformer_id":"ts.manufacturer","confidence_effect":0.2},{"after":"Fiat","field":"manufacturer","before":"FIAT DETHLEFFS","target":"normalized","rule_ids":["MFE-83C7791BD5DE63"],"sequence":4,"transformer_id":"ts.manufacturer","confidence_effect":0.2},{"after":"bodybuilder_converter","field":"manufacturer_role","before":"FIAT DETHLEFFS","target":"normalized","rule_ids":["MFE-83C7791BD5DE63"],"sequence":5,"transformer_id":"ts.manufacturer","confidence_effect":0.2},{"after":true,"field":"model_family_candidate","before":"T 6701","target":"normalized","rule_ids":["MODEL-CANDIDATE-V1"],"sequence":6,"transformer_id":"ts.model-family","confidence_effect":0.0},{"after":"T 6701","field":"model_family","before":"T 6701","target":"candidate","rule_ids":["MODEL-CANDIDATE-V1"],"sequence":7,"transformer_id":"ts.model-family","confidence_effect":0.05},{"after":"vehicle_year","field":"production_date_precision","before":{"vehicle_year":2012,"registration_date":"20130607"},"target":"normalized","rule_ids":["DATE-REGISTRATION-V1","DATE-PRODUCTION-YEAR-V1"],"sequence":8,"transformer_id":"ts.dates","confidence_effect":0.1},{"after":2012,"field":"production_year","before":{"vehicle_year":2012,"registration_date":"20130607"},"target":"normalized","rule_ids":["DATE-REGISTRATION-V1","DATE-PRODUCTION-YEAR-V1"],"sequence":9,"transformer_id":"ts.dates","confidence_effect":0.1},{"after":"2013-06-07","field":"registration_date","before":{"vehicle_year":2012,"registration_date":"20130607"},"target":"normalized","rule_ids":["DATE-REGISTRATION-V1","DATE-PRODUCTION-YEAR-V1"],"sequence":10,"transformer_id":"ts.dates","confidence_effect":0.1},{"after":2287,"field":"displacement_cc","before":{"kw":96,"ccm":2287},"target":"normalized","rule_ids":["UNIT-POWER-KW-V1","UNIT-DISPLACEMENT-CCM-V1"],"sequence":11,"transformer_id":"ts.engine-measurements","confidence_effect":0.1},{"after":"ccm","field":"displacement_source_unit","before":{"kw":96,"ccm":2287},"target":"normalized","rule_ids":["UNIT-POWER-KW-V1","UNIT-DISPLACEMENT-CCM-V1"],"sequence":12,"transformer_id":"ts.engine-measurements","confidence_effect":0.1},{"after":96,"field":"power_kw","before":{"kw":96,"ccm":2287},"target":"normalized","rule_ids":["UNIT-POWER-KW-V1","UNIT-DISPLACEMENT-CCM-V1"],"sequence":13,"transformer_id":"ts.engine-measurements","confidence_effect":0.1},{"after":"kw","field":"power_source_unit","before":{"kw":96,"ccm":2287},"target":"normalized","rule_ids":["UNIT-POWER-KW-V1","UNIT-DISPLACEMENT-CCM-V1"],"sequence":14,"transformer_id":"ts.engine-measurements","confidence_effect":0.1},{"after":"manual","field":"transmission_type","before":{"model":"T 6701","gearbox":"M","variant":"FTF8FE","version":"K1GI000ADTC107"},"target":"normalized","rule_ids":["TRN-001"],"sequence":15,"transformer_id":"ts.transmission","confidence_effect":0.1},{"after":"multi_purpose_vehicle","field":"bodywork_form","before":{"model":"T 6701","variant":"FTF8FE","version":"K1GI000ADTC107","body_code":"AF","eu_category":"M1","vehicle_type":"PB"},"target":"normalized","rule_ids":["BDY-113"],"sequence":16,"transformer_id":"ts.bodywork","confidence_effect":0.1},{"after":"Fordon avsett för flera ändamål","field":"bodywork_registry_label_sv","before":{"model":"T 6701","variant":"FTF8FE","version":"K1GI000ADTC107","body_code":"AF","eu_category":"M1","vehicle_type":"PB"},"target":"normalized","rule_ids":["BDY-113"],"sequence":17,"transformer_id":"ts.bodywork","confidence_effect":0.1},{"after":["diesel"],"field":"energy_sources","before":{"fuel1":"2","fuel2":"0","fuel3":"0","model":"T 6701","variant":"FTF8FE","version":"K1GI000ADTC107"},"target":"normalized","rule_ids":["FUEL-002"],"sequence":18,"transformer_id":"ts.fuel","confidence_effect":0.0}]</x:v>
      </x:c>
      <x:c r="X9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" s="38" t="str">
        <x:v>{"candidates":{"model_family":"T 6701"},"confidence":0.8,"normalized":{"market":["SE"],"power_kw":96,"manufacturer":"Fiat","bodywork_form":"multi_purpose_vehicle","energy_sources":["diesel"],"displacement_cc":2287,"production_year":2012,"manufacturer_role":"bodybuilder_converter","power_source_unit":"kw","registration_date":"2013-06-07","transmission_type":"manual","alias_types_present":["plate","vin","model_name"],"model_family_candidate":true,"builder_converter_names":["Dethleffs"],"displacement_source_unit":"ccm","production_date_precision":"vehicle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DETHLEFFS","target":"normalized","rule_ids":["MFE-83C7791BD5DE63"],"sequence":3,"transformer_id":"ts.manufacturer","confidence_effect":0.2},{"after":"Fiat","field":"manufacturer","before":"FIAT DETHLEFFS","target":"normalized","rule_ids":["MFE-83C7791BD5DE63"],"sequence":4,"transformer_id":"ts.manufacturer","confidence_effect":0.2},{"after":"bodybuilder_converter","field":"manufacturer_role","before":"FIAT DETHLEFFS","target":"normalized","rule_ids":["MFE-83C7791BD5DE63"],"sequence":5,"transformer_id":"ts.manufacturer","confidence_effect":0.2},{"after":true,"field":"model_family_candidate","before":"T 6701","target":"normalized","rule_ids":["MODEL-CANDIDATE-V1"],"sequence":6,"transformer_id":"ts.model-family","confidence_effect":0.0},{"after":"T 6701","field":"model_family","before":"T 6701","target":"candidate","rule_ids":["MODEL-CANDIDATE-V1"],"sequence":7,"transformer_id":"ts.model-family","confidence_effect":0.05},{"after":"vehicle_year","field":"production_date_precision","before":{"vehicle_year":2012,"registration_date":"20130607"},"target":"normalized","rule_ids":["DATE-REGISTRATION-V1","DATE-PRODUCTION-YEAR-V1"],"sequence":8,"transformer_id":"ts.dates","confidence_effect":0.1},{"after":2012,"field":"production_year","before":{"vehicle_year":2012,"registration_date":"20130607"},"target":"normalized","rule_ids":["DATE-REGISTRATION-V1","DATE-PRODUCTION-YEAR-V1"],"sequence":9,"transformer_id":"ts.dates","confidence_effect":0.1},{"after":"2013-06-07","field":"registration_date","before":{"vehicle_year":2012,"registration_date":"20130607"},"target":"normalized","rule_ids":["DATE-REGISTRATION-V1","DATE-PRODUCTION-YEAR-V1"],"sequence":10,"transformer_id":"ts.dates","confidence_effect":0.1},{"after":2287,"field":"displacement_cc","before":{"kw":96,"ccm":2287},"target":"normalized","rule_ids":["UNIT-POWER-KW-V1","UNIT-DISPLACEMENT-CCM-V1"],"sequence":11,"transformer_id":"ts.engine-measurements","confidence_effect":0.1},{"after":"ccm","field":"displacement_source_unit","before":{"kw":96,"ccm":2287},"target":"normalized","rule_ids":["UNIT-POWER-KW-V1","UNIT-DISPLACEMENT-CCM-V1"],"sequence":12,"transformer_id":"ts.engine-measurements","confidence_effect":0.1},{"after":96,"field":"power_kw","before":{"kw":96,"ccm":2287},"target":"normalized","rule_ids":["UNIT-POWER-KW-V1","UNIT-DISPLACEMENT-CCM-V1"],"sequence":13,"transformer_id":"ts.engine-measurements","confidence_effect":0.1},{"after":"kw","field":"power_source_unit","before":{"kw":96,"ccm":2287},"target":"normalized","rule_ids":["UNIT-POWER-KW-V1","UNIT-DISPLACEMENT-CCM-V1"],"sequence":14,"transformer_id":"ts.engine-measurements","confidence_effect":0.1},{"after":"manual","field":"transmission_type","before":{"model":"T 6701","gearbox":"M","variant":"FTF8FE","version":"K1GI000ADTC107"},"target":"normalized","rule_ids":["TRN-001"],"sequence":15,"transformer_id":"ts.transmission","confidence_effect":0.1},{"after":"multi_purpose_vehicle","field":"bodywork_form","before":{"model":"T 6701","variant":"FTF8FE","version":"K1GI000ADTC107","body_code":"AF","eu_category":"M1","vehicle_type":"PB"},"target":"normalized","rule_ids":["BDY-113"],"sequence":16,"transformer_id":"ts.bodywork","confidence_effect":0.1},{"after":"Fordon avsett för flera ändamål","field":"bodywork_registry_label_sv","before":{"model":"T 6701","variant":"FTF8FE","version":"K1GI000ADTC107","body_code":"AF","eu_category":"M1","vehicle_type":"PB"},"target":"normalized","rule_ids":["BDY-113"],"sequence":17,"transformer_id":"ts.bodywork","confidence_effect":0.1},{"after":["diesel"],"field":"energy_sources","before":{"fuel1":"2","fuel2":"0","fuel3":"0","model":"T 6701","variant":"FTF8FE","version":"K1GI000ADTC107"},"target":"normalized","rule_ids":["FUEL-002"],"sequence":18,"transformer_id":"ts.fuel","confidence_effect":0.0}],"pipeline_version":"normalization-pipeline-v4","candidate_rule_ids":[]}</x:v>
      </x:c>
      <x:c r="Z97" s="36" t="n">
        <x:v>46239.78067015046</x:v>
      </x:c>
      <x:c r="AA97" s="36" t="n">
        <x:v>46239.78067015046</x:v>
      </x:c>
    </x:row>
    <x:row r="98" ht="18" customHeight="1">
      <x:c r="A98" s="36" t="n">
        <x:v>2700</x:v>
      </x:c>
      <x:c r="B98" s="36" t="str">
        <x:v>991aad41-fdcd-560b-aa36-e6a91c112fb2</x:v>
      </x:c>
      <x:c r="C98" s="36" t="str">
        <x:v>Transportstyrelsen</x:v>
      </x:c>
      <x:c r="D98" s="36" t="str">
        <x:v>normalization-review-passenger-250-v1-rules-20260805T184409855703Z</x:v>
      </x:c>
      <x:c r="E98" s="36" t="str">
        <x:v>staging.transportstyrelsen_raw</x:v>
      </x:c>
      <x:c r="F98" s="36" t="n">
        <x:v>2818</x:v>
      </x:c>
      <x:c r="G98" s="36" t="str">
        <x:v>ts-mapping-v1</x:v>
      </x:c>
      <x:c r="H98" s="36" t="str">
        <x:v>ts-review-20260805T184254528647Z</x:v>
      </x:c>
      <x:c r="I98" s="36" t="str">
        <x:v>normalization-pipeline-v4</x:v>
      </x:c>
      <x:c r="J98" s="36" t="str">
        <x:v>provisional</x:v>
      </x:c>
      <x:c r="K98" s="39" t="n">
        <x:v>0.8</x:v>
      </x:c>
      <x:c r="L98" s="36" t="str">
        <x:v>Volvo</x:v>
      </x:c>
      <x:c r="M98" s="36"/>
      <x:c r="N98" s="36" t="str">
        <x:v>covered_body</x:v>
      </x:c>
      <x:c r="O98" s="38" t="str">
        <x:v>["petrol"]</x:v>
      </x:c>
      <x:c r="P98" s="36" t="str">
        <x:v>manual</x:v>
      </x:c>
      <x:c r="Q98" s="36" t="n">
        <x:v>1967</x:v>
      </x:c>
      <x:c r="R98" s="38" t="str">
        <x:v>["DATE-REGISTRATION-V1","DATE-PRODUCTION-YEAR-V1","UNIT-POWER-KW-V1","TRN-001","BDY-102","FUEL-001"]</x:v>
      </x:c>
      <x:c r="S98" s="38" t="str">
        <x:v>["MFR-BRAND-PREFIX-FALLBACK"]</x:v>
      </x:c>
      <x:c r="T98" s="38" t="str">
        <x:v>[]</x:v>
      </x:c>
      <x:c r="U98" s="38" t="str">
        <x:v>{"market":["SE"],"power_kw":55,"manufacturer":"Volvo","bodywork_form":"covered_body","energy_sources":["petrol"],"production_year":1967,"manufacturer_role":"vehicle_manufacturer","power_source_unit":"kw","registration_date":"1967-06-07","transmission_type":"manual","alias_types_present":["plate","vin"],"builder_converter_names":[],"production_date_precision":"model_year","bodywork_registry_label_sv":"Täckt"}</x:v>
      </x:c>
      <x:c r="V98" s="38" t="str">
        <x:v>{"manufacturer_confirmation":{"source_fields":["brand"],"canonical_name":"Volvo"}}</x:v>
      </x:c>
      <x:c r="W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19670607"},"target":"normalized","rule_ids":["DATE-REGISTRATION-V1","DATE-PRODUCTION-YEAR-V1"],"sequence":7,"transformer_id":"ts.dates","confidence_effect":0.1},{"after":1967,"field":"production_year","before":{"model_year":1967,"vehicle_year":1967,"registration_date":"19670607"},"target":"normalized","rule_ids":["DATE-REGISTRATION-V1","DATE-PRODUCTION-YEAR-V1"],"sequence":8,"transformer_id":"ts.dates","confidence_effect":0.1},{"after":"1967-06-07","field":"registration_date","before":{"model_year":1967,"vehicle_year":1967,"registration_date":"19670607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1967-06-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19670607"},"target":"normalized","rule_ids":["DATE-REGISTRATION-V1","DATE-PRODUCTION-YEAR-V1"],"sequence":7,"transformer_id":"ts.dates","confidence_effect":0.1},{"after":1967,"field":"production_year","before":{"model_year":1967,"vehicle_year":1967,"registration_date":"19670607"},"target":"normalized","rule_ids":["DATE-REGISTRATION-V1","DATE-PRODUCTION-YEAR-V1"],"sequence":8,"transformer_id":"ts.dates","confidence_effect":0.1},{"after":"1967-06-07","field":"registration_date","before":{"model_year":1967,"vehicle_year":1967,"registration_date":"19670607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8" s="36" t="n">
        <x:v>46239.78067015046</x:v>
      </x:c>
      <x:c r="AA98" s="36" t="n">
        <x:v>46239.78067015046</x:v>
      </x:c>
    </x:row>
    <x:row r="99" ht="18" customHeight="1">
      <x:c r="A99" s="36" t="n">
        <x:v>2701</x:v>
      </x:c>
      <x:c r="B99" s="36" t="str">
        <x:v>b49e0407-da1c-5bac-b6a1-980b24d66d41</x:v>
      </x:c>
      <x:c r="C99" s="36" t="str">
        <x:v>Transportstyrelsen</x:v>
      </x:c>
      <x:c r="D99" s="36" t="str">
        <x:v>normalization-review-passenger-250-v1-rules-20260805T184409855703Z</x:v>
      </x:c>
      <x:c r="E99" s="36" t="str">
        <x:v>staging.transportstyrelsen_raw</x:v>
      </x:c>
      <x:c r="F99" s="36" t="n">
        <x:v>2819</x:v>
      </x:c>
      <x:c r="G99" s="36" t="str">
        <x:v>ts-mapping-v1</x:v>
      </x:c>
      <x:c r="H99" s="36" t="str">
        <x:v>ts-review-20260805T184254528647Z</x:v>
      </x:c>
      <x:c r="I99" s="36" t="str">
        <x:v>normalization-pipeline-v4</x:v>
      </x:c>
      <x:c r="J99" s="36" t="str">
        <x:v>provisional</x:v>
      </x:c>
      <x:c r="K99" s="39" t="n">
        <x:v>0.8</x:v>
      </x:c>
      <x:c r="L99" s="36" t="str">
        <x:v>Kia</x:v>
      </x:c>
      <x:c r="M99" s="36" t="str">
        <x:v>CEED</x:v>
      </x:c>
      <x:c r="N99" s="36" t="str">
        <x:v>estate</x:v>
      </x:c>
      <x:c r="O99" s="38" t="str">
        <x:v>["diesel"]</x:v>
      </x:c>
      <x:c r="P99" s="36" t="str">
        <x:v>manual</x:v>
      </x:c>
      <x:c r="Q99" s="36" t="n">
        <x:v>2014</x:v>
      </x:c>
      <x:c r="R99" s="38" t="str">
        <x:v>["MFR-BRAND-CONFIRMED","MFR-BRAND-VIN-WMI","DATE-REGISTRATION-V1","DATE-PRODUCTION-MONTH-V1","UNIT-POWER-KW-V1","UNIT-DISPLACEMENT-CCM-V1","TRN-001","BDY-110","FUEL-002"]</x:v>
      </x:c>
      <x:c r="S99" s="38" t="str">
        <x:v>[]</x:v>
      </x:c>
      <x:c r="T99" s="38" t="str">
        <x:v>[]</x:v>
      </x:c>
      <x:c r="U99" s="38" t="str">
        <x:v>{"market":["SE"],"power_kw":94,"manufacturer":"Kia","bodywork_form":"estate","energy_sources":["diesel"],"displacement_cc":1582,"production_date":"2014-03","production_year":2014,"manufacturer_role":"vehicle_manufacturer","power_source_unit":"kw","registration_date":"2014-07-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9" s="38" t="str">
        <x:v>{"model_family":"CEED"}</x:v>
      </x:c>
      <x:c r="W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CRDI LIM","target":"normalized","rule_ids":["MFR-BRAND-CONFIRMED","MFR-BRAND-VIN-WMI"],"sequence":3,"transformer_id":"ts.manufacturer","confidence_effect":0.2},{"after":"Kia","field":"manufacturer","before":"KIA CEED SW 1,6 CRDI LIM","target":"normalized","rule_ids":["MFR-BRAND-CONFIRMED","MFR-BRAND-VIN-WMI"],"sequence":4,"transformer_id":"ts.manufacturer","confidence_effect":0.2},{"after":"vehicle_manufacturer","field":"manufacturer_role","before":"KIA CEED SW 1,6 CRDI LIM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-03","field":"production_date","before":{"build_month":"201403","vehicle_year":2014,"registration_date":"20140711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20140711"},"target":"normalized","rule_ids":["DATE-REGISTRATION-V1","DATE-PRODUCTION-MONTH-V1"],"sequence":9,"transformer_id":"ts.dates","confidence_effect":0.1},{"after":2014,"field":"production_year","before":{"build_month":"201403","vehicle_year":2014,"registration_date":"20140711"},"target":"normalized","rule_ids":["DATE-REGISTRATION-V1","DATE-PRODUCTION-MONTH-V1"],"sequence":10,"transformer_id":"ts.dates","confidence_effect":0.1},{"after":"2014-07-11","field":"registration_date","before":{"build_month":"201403","vehicle_year":2014,"registration_date":"20140711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9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" s="38" t="str">
        <x:v>{"candidates":{"model_family":"CEED"},"confidence":0.8,"normalized":{"market":["SE"],"power_kw":94,"manufacturer":"Kia","bodywork_form":"estate","energy_sources":["diesel"],"displacement_cc":1582,"production_date":"2014-03","production_year":2014,"manufacturer_role":"vehicle_manufacturer","power_source_unit":"kw","registration_date":"2014-07-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CRDI LIM","target":"normalized","rule_ids":["MFR-BRAND-CONFIRMED","MFR-BRAND-VIN-WMI"],"sequence":3,"transformer_id":"ts.manufacturer","confidence_effect":0.2},{"after":"Kia","field":"manufacturer","before":"KIA CEED SW 1,6 CRDI LIM","target":"normalized","rule_ids":["MFR-BRAND-CONFIRMED","MFR-BRAND-VIN-WMI"],"sequence":4,"transformer_id":"ts.manufacturer","confidence_effect":0.2},{"after":"vehicle_manufacturer","field":"manufacturer_role","before":"KIA CEED SW 1,6 CRDI LIM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-03","field":"production_date","before":{"build_month":"201403","vehicle_year":2014,"registration_date":"20140711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20140711"},"target":"normalized","rule_ids":["DATE-REGISTRATION-V1","DATE-PRODUCTION-MONTH-V1"],"sequence":9,"transformer_id":"ts.dates","confidence_effect":0.1},{"after":2014,"field":"production_year","before":{"build_month":"201403","vehicle_year":2014,"registration_date":"20140711"},"target":"normalized","rule_ids":["DATE-REGISTRATION-V1","DATE-PRODUCTION-MONTH-V1"],"sequence":10,"transformer_id":"ts.dates","confidence_effect":0.1},{"after":"2014-07-11","field":"registration_date","before":{"build_month":"201403","vehicle_year":2014,"registration_date":"20140711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99" s="36" t="n">
        <x:v>46239.78067015046</x:v>
      </x:c>
      <x:c r="AA99" s="36" t="n">
        <x:v>46239.78067015046</x:v>
      </x:c>
    </x:row>
    <x:row r="100" ht="18" customHeight="1">
      <x:c r="A100" s="36" t="n">
        <x:v>2702</x:v>
      </x:c>
      <x:c r="B100" s="36" t="str">
        <x:v>1d7cb82d-3265-52fe-a364-ee3ce3816c7b</x:v>
      </x:c>
      <x:c r="C100" s="36" t="str">
        <x:v>Transportstyrelsen</x:v>
      </x:c>
      <x:c r="D100" s="36" t="str">
        <x:v>normalization-review-passenger-250-v1-rules-20260805T184409855703Z</x:v>
      </x:c>
      <x:c r="E100" s="36" t="str">
        <x:v>staging.transportstyrelsen_raw</x:v>
      </x:c>
      <x:c r="F100" s="36" t="n">
        <x:v>2820</x:v>
      </x:c>
      <x:c r="G100" s="36" t="str">
        <x:v>ts-mapping-v1</x:v>
      </x:c>
      <x:c r="H100" s="36" t="str">
        <x:v>ts-review-20260805T184254528647Z</x:v>
      </x:c>
      <x:c r="I100" s="36" t="str">
        <x:v>normalization-pipeline-v4</x:v>
      </x:c>
      <x:c r="J100" s="36" t="str">
        <x:v>provisional</x:v>
      </x:c>
      <x:c r="K100" s="39" t="n">
        <x:v>0.8</x:v>
      </x:c>
      <x:c r="L100" s="36" t="str">
        <x:v>Volkswagen</x:v>
      </x:c>
      <x:c r="M100" s="36" t="str">
        <x:v>PASSAT</x:v>
      </x:c>
      <x:c r="N100" s="36" t="str">
        <x:v>estate</x:v>
      </x:c>
      <x:c r="O100" s="38" t="str">
        <x:v>["diesel"]</x:v>
      </x:c>
      <x:c r="P100" s="36" t="str">
        <x:v>automatic</x:v>
      </x:c>
      <x:c r="Q100" s="36" t="n">
        <x:v>2015</x:v>
      </x:c>
      <x:c r="R100" s="38" t="str">
        <x:v>["MFR-BRAND-CONFIRMED","MFR-BRAND-MODEL","MFR-BRAND-VIN-WMI","DATE-REGISTRATION-V1","DATE-PRODUCTION-MONTH-V1","UNIT-POWER-KW-V1","UNIT-DISPLACEMENT-CCM-V1","TRN-002","BDY-110","FUEL-002"]</x:v>
      </x:c>
      <x:c r="S100" s="38" t="str">
        <x:v>[]</x:v>
      </x:c>
      <x:c r="T100" s="38" t="str">
        <x:v>[]</x:v>
      </x:c>
      <x:c r="U100" s="38" t="str">
        <x:v>{"market":["SE"],"power_kw":140,"manufacturer":"Volkswagen","bodywork_form":"estate","energy_sources":["diesel"],"displacement_cc":1968,"production_date":"2015-04","production_year":2015,"manufacturer_role":"vehicle_manufacturer","power_source_unit":"kw","registration_date":"2015-05-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00" s="38" t="str">
        <x:v>{"model_family":"PASSAT"}</x:v>
      </x:c>
      <x:c r="W1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2015-04","field":"production_date","before":{"build_month":"201504","vehicle_year":2015,"registration_date":"20150521"},"target":"normalized","rule_ids":["DATE-REGISTRATION-V1","DATE-PRODUCTION-MONTH-V1"],"sequence":8,"transformer_id":"ts.dates","confidence_effect":0.1},{"after":"month","field":"production_date_precision","before":{"build_month":"201504","vehicle_year":2015,"registration_date":"20150521"},"target":"normalized","rule_ids":["DATE-REGISTRATION-V1","DATE-PRODUCTION-MONTH-V1"],"sequence":9,"transformer_id":"ts.dates","confidence_effect":0.1},{"after":2015,"field":"production_year","before":{"build_month":"201504","vehicle_year":2015,"registration_date":"20150521"},"target":"normalized","rule_ids":["DATE-REGISTRATION-V1","DATE-PRODUCTION-MONTH-V1"],"sequence":10,"transformer_id":"ts.dates","confidence_effect":0.1},{"after":"2015-05-21","field":"registration_date","before":{"build_month":"201504","vehicle_year":2015,"registration_date":"20150521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DAAX0","version":"FD6FD6D9002SV7MMVR261"},"target":"normalized","rule_ids":["TRN-002"],"sequence":16,"transformer_id":"ts.transmission","confidence_effect":0.1},{"after":"estate","field":"bodywork_form","before":{"model":"PASSAT","variant":"ACDDAAX0","version":"FD6FD6D9002SV7MMVR261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DAAX0","version":"FD6FD6D9002SV7MMVR261","body_code":"AC","eu_category":"M1","vehicle_type":"PB"},"target":"normalized","rule_ids":["BDY-110"],"sequence":18,"transformer_id":"ts.bodywork","confidence_effect":0.1},{"after":["diesel"],"field":"energy_sources","before":{"fuel1":"2","fuel2":"0","fuel3":"0","model":"PASSAT","variant":"ACDDAAX0","version":"FD6FD6D9002SV7MMVR261"},"target":"normalized","rule_ids":["FUEL-002"],"sequence":19,"transformer_id":"ts.fuel","confidence_effect":0.0}]</x:v>
      </x:c>
      <x:c r="X10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0" s="38" t="str">
        <x:v>{"candidates":{"model_family":"PASSAT"},"confidence":0.8,"normalized":{"market":["SE"],"power_kw":140,"manufacturer":"Volkswagen","bodywork_form":"estate","energy_sources":["diesel"],"displacement_cc":1968,"production_date":"2015-04","production_year":2015,"manufacturer_role":"vehicle_manufacturer","power_source_unit":"kw","registration_date":"2015-05-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2015-04","field":"production_date","before":{"build_month":"201504","vehicle_year":2015,"registration_date":"20150521"},"target":"normalized","rule_ids":["DATE-REGISTRATION-V1","DATE-PRODUCTION-MONTH-V1"],"sequence":8,"transformer_id":"ts.dates","confidence_effect":0.1},{"after":"month","field":"production_date_precision","before":{"build_month":"201504","vehicle_year":2015,"registration_date":"20150521"},"target":"normalized","rule_ids":["DATE-REGISTRATION-V1","DATE-PRODUCTION-MONTH-V1"],"sequence":9,"transformer_id":"ts.dates","confidence_effect":0.1},{"after":2015,"field":"production_year","before":{"build_month":"201504","vehicle_year":2015,"registration_date":"20150521"},"target":"normalized","rule_ids":["DATE-REGISTRATION-V1","DATE-PRODUCTION-MONTH-V1"],"sequence":10,"transformer_id":"ts.dates","confidence_effect":0.1},{"after":"2015-05-21","field":"registration_date","before":{"build_month":"201504","vehicle_year":2015,"registration_date":"20150521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DAAX0","version":"FD6FD6D9002SV7MMVR261"},"target":"normalized","rule_ids":["TRN-002"],"sequence":16,"transformer_id":"ts.transmission","confidence_effect":0.1},{"after":"estate","field":"bodywork_form","before":{"model":"PASSAT","variant":"ACDDAAX0","version":"FD6FD6D9002SV7MMVR261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DAAX0","version":"FD6FD6D9002SV7MMVR261","body_code":"AC","eu_category":"M1","vehicle_type":"PB"},"target":"normalized","rule_ids":["BDY-110"],"sequence":18,"transformer_id":"ts.bodywork","confidence_effect":0.1},{"after":["diesel"],"field":"energy_sources","before":{"fuel1":"2","fuel2":"0","fuel3":"0","model":"PASSAT","variant":"ACDDAAX0","version":"FD6FD6D9002SV7MMVR261"},"target":"normalized","rule_ids":["FUEL-002"],"sequence":19,"transformer_id":"ts.fuel","confidence_effect":0.0}],"pipeline_version":"normalization-pipeline-v4","candidate_rule_ids":[]}</x:v>
      </x:c>
      <x:c r="Z100" s="36" t="n">
        <x:v>46239.78067015046</x:v>
      </x:c>
      <x:c r="AA100" s="36" t="n">
        <x:v>46239.78067015046</x:v>
      </x:c>
    </x:row>
    <x:row r="101" ht="18" customHeight="1">
      <x:c r="A101" s="36" t="n">
        <x:v>2703</x:v>
      </x:c>
      <x:c r="B101" s="36" t="str">
        <x:v>89a5187c-71a2-56cd-b0ea-43042b53fa59</x:v>
      </x:c>
      <x:c r="C101" s="36" t="str">
        <x:v>Transportstyrelsen</x:v>
      </x:c>
      <x:c r="D101" s="36" t="str">
        <x:v>normalization-review-passenger-250-v1-rules-20260805T184409855703Z</x:v>
      </x:c>
      <x:c r="E101" s="36" t="str">
        <x:v>staging.transportstyrelsen_raw</x:v>
      </x:c>
      <x:c r="F101" s="36" t="n">
        <x:v>2821</x:v>
      </x:c>
      <x:c r="G101" s="36" t="str">
        <x:v>ts-mapping-v1</x:v>
      </x:c>
      <x:c r="H101" s="36" t="str">
        <x:v>ts-review-20260805T184254528647Z</x:v>
      </x:c>
      <x:c r="I101" s="36" t="str">
        <x:v>normalization-pipeline-v4</x:v>
      </x:c>
      <x:c r="J101" s="36" t="str">
        <x:v>provisional</x:v>
      </x:c>
      <x:c r="K101" s="39" t="n">
        <x:v>0.8</x:v>
      </x:c>
      <x:c r="L101" s="36" t="str">
        <x:v>Jeep</x:v>
      </x:c>
      <x:c r="M101" s="36"/>
      <x:c r="N101" s="36" t="str">
        <x:v>multi_purpose_vehicle</x:v>
      </x:c>
      <x:c r="O101" s="38" t="str">
        <x:v>["petrol"]</x:v>
      </x:c>
      <x:c r="P101" s="36" t="str">
        <x:v>automatic</x:v>
      </x:c>
      <x:c r="Q101" s="36" t="n">
        <x:v>2007</x:v>
      </x:c>
      <x:c r="R101" s="38" t="str">
        <x:v>["DATE-REGISTRATION-V1","DATE-PRODUCTION-MONTH-V1","UNIT-POWER-KW-V1","UNIT-DISPLACEMENT-CCM-V1","TRN-002","BDY-113","FUEL-001"]</x:v>
      </x:c>
      <x:c r="S101" s="38" t="str">
        <x:v>["MFR-BRAND-PREFIX-FALLBACK","DRV-008"]</x:v>
      </x:c>
      <x:c r="T101" s="38" t="str">
        <x:v>[]</x:v>
      </x:c>
      <x:c r="U101" s="38" t="str">
        <x:v>{"market":["SE"],"power_kw":146,"manufacturer":"Jeep","bodywork_form":"multi_purpose_vehicle","energy_sources":["petrol"],"displacement_cc":3778,"production_date":"2007-12","production_year":2007,"manufacturer_role":"vehicle_manufacturer","power_source_unit":"kw","registration_date":"2009-01-30","transmission_type":"automatic","alias_types_present":["plate","vin"],"builder_converter_names":[],"displacement_source_unit":"ccm","production_date_precision":"month","bodywork_registry_label_sv":"Fordon avsett för flera ändamål"}</x:v>
      </x:c>
      <x:c r="V101" s="38" t="str">
        <x:v>{"drive_type":"awd","manufacturer_confirmation":{"source_fields":["brand"],"canonical_name":"Jeep"}}</x:v>
      </x:c>
      <x:c r="W1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WRANGLER UNLIMITED","target":"normalized","rule_ids":["MFR-CLASSIFY-V1"],"sequence":3,"transformer_id":"ts.manufacturer","confidence_effect":0.2},{"after":"Jeep","field":"manufacturer","before":"JEEP WRANGLER UNLIMITED","target":"normalized","rule_ids":["MFR-CLASSIFY-V1"],"sequence":4,"transformer_id":"ts.manufacturer","confidence_effect":0.2},{"after":"vehicle_manufacturer","field":"manufacturer_role","before":"JEEP WRANGLER UNLIMITED","target":"normalized","rule_ids":["MFR-CLASSIFY-V1"],"sequence":5,"transformer_id":"ts.manufacturer","confidence_effect":0.2},{"after":{"source_fields":["brand"],"canonical_name":"Jeep"},"field":"manufacturer_confirmation","before":"JEEP WRANGLER UNLIMITED","target":"candidate","rule_ids":["MFR-BRAND-PREFIX-FALLBACK"],"sequence":6,"transformer_id":"ts.manufacturer","confidence_effect":0.05},{"after":"2007-12","field":"production_date","before":{"build_month":"200712","vehicle_year":2007,"registration_date":"20090130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20090130"},"target":"normalized","rule_ids":["DATE-REGISTRATION-V1","DATE-PRODUCTION-MONTH-V1"],"sequence":8,"transformer_id":"ts.dates","confidence_effect":0.1},{"after":2007,"field":"production_year","before":{"build_month":"200712","vehicle_year":2007,"registration_date":"20090130"},"target":"normalized","rule_ids":["DATE-REGISTRATION-V1","DATE-PRODUCTION-MONTH-V1"],"sequence":9,"transformer_id":"ts.dates","confidence_effect":0.1},{"after":"2009-01-30","field":"registration_date","before":{"build_month":"200712","vehicle_year":2007,"registration_date":"20090130"},"target":"normalized","rule_ids":["DATE-REGISTRATION-V1","DATE-PRODUCTION-MONTH-V1"],"sequence":10,"transformer_id":"ts.dates","confidence_effect":0.1},{"after":3778,"field":"displacement_cc","before":{"kw":146,"ccm":3778},"target":"normalized","rule_ids":["UNIT-POWER-KW-V1","UNIT-DISPLACEMENT-CCM-V1"],"sequence":11,"transformer_id":"ts.engine-measurements","confidence_effect":0.1},{"after":"ccm","field":"displacement_source_unit","before":{"kw":146,"ccm":3778},"target":"normalized","rule_ids":["UNIT-POWER-KW-V1","UNIT-DISPLACEMENT-CCM-V1"],"sequence":12,"transformer_id":"ts.engine-measurements","confidence_effect":0.1},{"after":146,"field":"power_kw","before":{"kw":146,"ccm":3778},"target":"normalized","rule_ids":["UNIT-POWER-KW-V1","UNIT-DISPLACEMENT-CCM-V1"],"sequence":13,"transformer_id":"ts.engine-measurements","confidence_effect":0.1},{"after":"kw","field":"power_source_unit","before":{"kw":146,"ccm":3778},"target":"normalized","rule_ids":["UNIT-POWER-KW-V1","UNIT-DISPLACEMENT-CCM-V1"],"sequence":14,"transformer_id":"ts.engine-measurements","confidence_effect":0.1},{"after":"automatic","field":"transmission_type","before":{"gearbox":"A","variant":"JXBFD","version":"52"},"target":"normalized","rule_ids":["TRN-002"],"sequence":15,"transformer_id":"ts.transmission","confidence_effect":0.1},{"after":"multi_purpose_vehicle","field":"bodywork_form","before":{"variant":"JXBFD","version":"52","body_code":"AF","eu_category":"M1","vehicle_type":"PB"},"target":"normalized","rule_ids":["BDY-113"],"sequence":16,"transformer_id":"ts.bodywork","confidence_effect":0.1},{"after":"Fordon avsett för flera ändamål","field":"bodywork_registry_label_sv","before":{"variant":"JXBFD","version":"52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JXBFD","version":"52"},"target":"normalized","rule_ids":["FUEL-001"],"sequence":19,"transformer_id":"ts.fuel","confidence_effect":0.0}]</x:v>
      </x:c>
      <x:c r="X10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1" s="38" t="str">
        <x:v>{"candidates":{"drive_type":"awd","manufacturer_confirmation":{"source_fields":["brand"],"canonical_name":"Jeep"}},"confidence":0.8,"normalized":{"market":["SE"],"power_kw":146,"manufacturer":"Jeep","bodywork_form":"multi_purpose_vehicle","energy_sources":["petrol"],"displacement_cc":3778,"production_date":"2007-12","production_year":2007,"manufacturer_role":"vehicle_manufacturer","power_source_unit":"kw","registration_date":"2009-01-30","transmission_type":"automatic","alias_types_present":["plate","vin"]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WRANGLER UNLIMITED","target":"normalized","rule_ids":["MFR-CLASSIFY-V1"],"sequence":3,"transformer_id":"ts.manufacturer","confidence_effect":0.2},{"after":"Jeep","field":"manufacturer","before":"JEEP WRANGLER UNLIMITED","target":"normalized","rule_ids":["MFR-CLASSIFY-V1"],"sequence":4,"transformer_id":"ts.manufacturer","confidence_effect":0.2},{"after":"vehicle_manufacturer","field":"manufacturer_role","before":"JEEP WRANGLER UNLIMITED","target":"normalized","rule_ids":["MFR-CLASSIFY-V1"],"sequence":5,"transformer_id":"ts.manufacturer","confidence_effect":0.2},{"after":{"source_fields":["brand"],"canonical_name":"Jeep"},"field":"manufacturer_confirmation","before":"JEEP WRANGLER UNLIMITED","target":"candidate","rule_ids":["MFR-BRAND-PREFIX-FALLBACK"],"sequence":6,"transformer_id":"ts.manufacturer","confidence_effect":0.05},{"after":"2007-12","field":"production_date","before":{"build_month":"200712","vehicle_year":2007,"registration_date":"20090130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20090130"},"target":"normalized","rule_ids":["DATE-REGISTRATION-V1","DATE-PRODUCTION-MONTH-V1"],"sequence":8,"transformer_id":"ts.dates","confidence_effect":0.1},{"after":2007,"field":"production_year","before":{"build_month":"200712","vehicle_year":2007,"registration_date":"20090130"},"target":"normalized","rule_ids":["DATE-REGISTRATION-V1","DATE-PRODUCTION-MONTH-V1"],"sequence":9,"transformer_id":"ts.dates","confidence_effect":0.1},{"after":"2009-01-30","field":"registration_date","before":{"build_month":"200712","vehicle_year":2007,"registration_date":"20090130"},"target":"normalized","rule_ids":["DATE-REGISTRATION-V1","DATE-PRODUCTION-MONTH-V1"],"sequence":10,"transformer_id":"ts.dates","confidence_effect":0.1},{"after":3778,"field":"displacement_cc","before":{"kw":146,"ccm":3778},"target":"normalized","rule_ids":["UNIT-POWER-KW-V1","UNIT-DISPLACEMENT-CCM-V1"],"sequence":11,"transformer_id":"ts.engine-measurements","confidence_effect":0.1},{"after":"ccm","field":"displacement_source_unit","before":{"kw":146,"ccm":3778},"target":"normalized","rule_ids":["UNIT-POWER-KW-V1","UNIT-DISPLACEMENT-CCM-V1"],"sequence":12,"transformer_id":"ts.engine-measurements","confidence_effect":0.1},{"after":146,"field":"power_kw","before":{"kw":146,"ccm":3778},"target":"normalized","rule_ids":["UNIT-POWER-KW-V1","UNIT-DISPLACEMENT-CCM-V1"],"sequence":13,"transformer_id":"ts.engine-measurements","confidence_effect":0.1},{"after":"kw","field":"power_source_unit","before":{"kw":146,"ccm":3778},"target":"normalized","rule_ids":["UNIT-POWER-KW-V1","UNIT-DISPLACEMENT-CCM-V1"],"sequence":14,"transformer_id":"ts.engine-measurements","confidence_effect":0.1},{"after":"automatic","field":"transmission_type","before":{"gearbox":"A","variant":"JXBFD","version":"52"},"target":"normalized","rule_ids":["TRN-002"],"sequence":15,"transformer_id":"ts.transmission","confidence_effect":0.1},{"after":"multi_purpose_vehicle","field":"bodywork_form","before":{"variant":"JXBFD","version":"52","body_code":"AF","eu_category":"M1","vehicle_type":"PB"},"target":"normalized","rule_ids":["BDY-113"],"sequence":16,"transformer_id":"ts.bodywork","confidence_effect":0.1},{"after":"Fordon avsett för flera ändamål","field":"bodywork_registry_label_sv","before":{"variant":"JXBFD","version":"52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JXBFD","version":"52"},"target":"normalized","rule_ids":["FUEL-001"],"sequence":19,"transformer_id":"ts.fuel","confidence_effect":0.0}],"pipeline_version":"normalization-pipeline-v4","candidate_rule_ids":["MFR-BRAND-PREFIX-FALLBACK","DRV-008"]}</x:v>
      </x:c>
      <x:c r="Z101" s="36" t="n">
        <x:v>46239.78067015046</x:v>
      </x:c>
      <x:c r="AA101" s="36" t="n">
        <x:v>46239.78067015046</x:v>
      </x:c>
    </x:row>
    <x:row r="102" ht="18" customHeight="1">
      <x:c r="A102" s="36" t="n">
        <x:v>2704</x:v>
      </x:c>
      <x:c r="B102" s="36" t="str">
        <x:v>57631a9d-423c-5912-85e7-1faeb9ee4df1</x:v>
      </x:c>
      <x:c r="C102" s="36" t="str">
        <x:v>Transportstyrelsen</x:v>
      </x:c>
      <x:c r="D102" s="36" t="str">
        <x:v>normalization-review-passenger-250-v1-rules-20260805T184409855703Z</x:v>
      </x:c>
      <x:c r="E102" s="36" t="str">
        <x:v>staging.transportstyrelsen_raw</x:v>
      </x:c>
      <x:c r="F102" s="36" t="n">
        <x:v>2822</x:v>
      </x:c>
      <x:c r="G102" s="36" t="str">
        <x:v>ts-mapping-v1</x:v>
      </x:c>
      <x:c r="H102" s="36" t="str">
        <x:v>ts-review-20260805T184254528647Z</x:v>
      </x:c>
      <x:c r="I102" s="36" t="str">
        <x:v>normalization-pipeline-v4</x:v>
      </x:c>
      <x:c r="J102" s="36" t="str">
        <x:v>provisional</x:v>
      </x:c>
      <x:c r="K102" s="39" t="n">
        <x:v>0.8</x:v>
      </x:c>
      <x:c r="L102" s="36" t="str">
        <x:v>Citroën</x:v>
      </x:c>
      <x:c r="M102" s="36" t="str">
        <x:v>C4 X</x:v>
      </x:c>
      <x:c r="N102" s="36" t="str">
        <x:v>sedan</x:v>
      </x:c>
      <x:c r="O102" s="38" t="str">
        <x:v>["petrol"]</x:v>
      </x:c>
      <x:c r="P102" s="36" t="str">
        <x:v>automatic</x:v>
      </x:c>
      <x:c r="Q102" s="36" t="n">
        <x:v>2023</x:v>
      </x:c>
      <x:c r="R102" s="38" t="str">
        <x:v>["MFE-8DB3252A955C99","MFR-CORPORATE-BRAND-OVERRIDE","DATE-REGISTRATION-V1","DATE-PRODUCTION-DAY-V1","UNIT-POWER-KW-V1","UNIT-DISPLACEMENT-CCM-V1","TRN-002","BDY-101","FUEL-001"]</x:v>
      </x:c>
      <x:c r="S102" s="38" t="str">
        <x:v>[]</x:v>
      </x:c>
      <x:c r="T102" s="38" t="str">
        <x:v>[]</x:v>
      </x:c>
      <x:c r="U102" s="38" t="str">
        <x:v>{"market":["SE"],"power_kw":96,"manufacturer":"Citroën","bodywork_form":"sedan","energy_sources":["petrol"],"displacement_cc":1199,"production_date":"2023-06-09","production_year":2023,"manufacturer_role":"vehicle_manufacturer","power_source_unit":"kw","registration_date":"2023-07-07","transmission_type":"automatic","alias_types_present":["plate","vin","model_name"],"model_family_candidate":true,"builder_converter_names":[],"displacement_source_unit":"ccm","production_date_precision":"day","bodywork_registry_label_sv":"Sedan"}</x:v>
      </x:c>
      <x:c r="V102" s="38" t="str">
        <x:v>{"model_family":"C4 X"}</x:v>
      </x:c>
      <x:c r="W1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SA"},"target":"normalized","rule_ids":["MFE-8DB3252A955C99","MFR-CORPORATE-BRAND-OVERRIDE"],"sequence":5,"transformer_id":"ts.manufacturer","confidence_effect":0.2},{"after":true,"field":"model_family_candidate","before":"C4 X","target":"normalized","rule_ids":["MODEL-CANDIDATE-V1"],"sequence":6,"transformer_id":"ts.model-family","confidence_effect":0.0},{"after":"C4 X","field":"model_family","before":"C4 X","target":"candidate","rule_ids":["MODEL-CANDIDATE-V1"],"sequence":7,"transformer_id":"ts.model-family","confidence_effect":0.05},{"after":"2023-06-09","field":"production_date","before":{"build_date":"20230609","build_month":"202306","vehicle_year":2023,"registration_date":"20230707"},"target":"normalized","rule_ids":["DATE-REGISTRATION-V1","DATE-PRODUCTION-DAY-V1"],"sequence":8,"transformer_id":"ts.dates","confidence_effect":0.1},{"after":"day","field":"production_date_precision","before":{"build_date":"20230609","build_month":"202306","vehicle_year":2023,"registration_date":"20230707"},"target":"normalized","rule_ids":["DATE-REGISTRATION-V1","DATE-PRODUCTION-DAY-V1"],"sequence":9,"transformer_id":"ts.dates","confidence_effect":0.1},{"after":2023,"field":"production_year","before":{"build_date":"20230609","build_month":"202306","vehicle_year":2023,"registration_date":"20230707"},"target":"normalized","rule_ids":["DATE-REGISTRATION-V1","DATE-PRODUCTION-DAY-V1"],"sequence":10,"transformer_id":"ts.dates","confidence_effect":0.1},{"after":"2023-07-07","field":"registration_date","before":{"build_date":"20230609","build_month":"202306","vehicle_year":2023,"registration_date":"20230707"},"target":"normalized","rule_ids":["DATE-REGISTRATION-V1",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automatic","field":"transmission_type","before":{"model":"C4 X","gearbox":"A","variant":"D","version":"HNSB-B1A600"},"target":"normalized","rule_ids":["TRN-002"],"sequence":16,"transformer_id":"ts.transmission","confidence_effect":0.1},{"after":"sedan","field":"bodywork_form","before":{"model":"C4 X","variant":"D","version":"HNSB-B1A600","body_code":"AA","eu_category":"M1","vehicle_type":"PB"},"target":"normalized","rule_ids":["BDY-101"],"sequence":17,"transformer_id":"ts.bodywork","confidence_effect":0.1},{"after":"Sedan","field":"bodywork_registry_label_sv","before":{"model":"C4 X","variant":"D","version":"HNSB-B1A600","body_code":"AA","eu_category":"M1","vehicle_type":"PB"},"target":"normalized","rule_ids":["BDY-101"],"sequence":18,"transformer_id":"ts.bodywork","confidence_effect":0.1},{"after":["petrol"],"field":"energy_sources","before":{"fuel1":"1","fuel2":"0","fuel3":"0","model":"C4 X","variant":"D","version":"HNSB-B1A600"},"target":"normalized","rule_ids":["FUEL-001"],"sequence":19,"transformer_id":"ts.fuel","confidence_effect":0.0}]</x:v>
      </x:c>
      <x:c r="X10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2" s="38" t="str">
        <x:v>{"candidates":{"model_family":"C4 X"},"confidence":0.8,"normalized":{"market":["SE"],"power_kw":96,"manufacturer":"Citroën","bodywork_form":"sedan","energy_sources":["petrol"],"displacement_cc":1199,"production_date":"2023-06-09","production_year":2023,"manufacturer_role":"vehicle_manufacturer","power_source_unit":"kw","registration_date":"2023-07-07","transmission_type":"automatic","alias_types_present":["plate","vin","model_name"],"model_family_candidate":true,"builder_converter_names":[],"displacement_source_unit":"ccm"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SA"},"target":"normalized","rule_ids":["MFE-8DB3252A955C99","MFR-CORPORATE-BRAND-OVERRIDE"],"sequence":5,"transformer_id":"ts.manufacturer","confidence_effect":0.2},{"after":true,"field":"model_family_candidate","before":"C4 X","target":"normalized","rule_ids":["MODEL-CANDIDATE-V1"],"sequence":6,"transformer_id":"ts.model-family","confidence_effect":0.0},{"after":"C4 X","field":"model_family","before":"C4 X","target":"candidate","rule_ids":["MODEL-CANDIDATE-V1"],"sequence":7,"transformer_id":"ts.model-family","confidence_effect":0.05},{"after":"2023-06-09","field":"production_date","before":{"build_date":"20230609","build_month":"202306","vehicle_year":2023,"registration_date":"20230707"},"target":"normalized","rule_ids":["DATE-REGISTRATION-V1","DATE-PRODUCTION-DAY-V1"],"sequence":8,"transformer_id":"ts.dates","confidence_effect":0.1},{"after":"day","field":"production_date_precision","before":{"build_date":"20230609","build_month":"202306","vehicle_year":2023,"registration_date":"20230707"},"target":"normalized","rule_ids":["DATE-REGISTRATION-V1","DATE-PRODUCTION-DAY-V1"],"sequence":9,"transformer_id":"ts.dates","confidence_effect":0.1},{"after":2023,"field":"production_year","before":{"build_date":"20230609","build_month":"202306","vehicle_year":2023,"registration_date":"20230707"},"target":"normalized","rule_ids":["DATE-REGISTRATION-V1","DATE-PRODUCTION-DAY-V1"],"sequence":10,"transformer_id":"ts.dates","confidence_effect":0.1},{"after":"2023-07-07","field":"registration_date","before":{"build_date":"20230609","build_month":"202306","vehicle_year":2023,"registration_date":"20230707"},"target":"normalized","rule_ids":["DATE-REGISTRATION-V1",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automatic","field":"transmission_type","before":{"model":"C4 X","gearbox":"A","variant":"D","version":"HNSB-B1A600"},"target":"normalized","rule_ids":["TRN-002"],"sequence":16,"transformer_id":"ts.transmission","confidence_effect":0.1},{"after":"sedan","field":"bodywork_form","before":{"model":"C4 X","variant":"D","version":"HNSB-B1A600","body_code":"AA","eu_category":"M1","vehicle_type":"PB"},"target":"normalized","rule_ids":["BDY-101"],"sequence":17,"transformer_id":"ts.bodywork","confidence_effect":0.1},{"after":"Sedan","field":"bodywork_registry_label_sv","before":{"model":"C4 X","variant":"D","version":"HNSB-B1A600","body_code":"AA","eu_category":"M1","vehicle_type":"PB"},"target":"normalized","rule_ids":["BDY-101"],"sequence":18,"transformer_id":"ts.bodywork","confidence_effect":0.1},{"after":["petrol"],"field":"energy_sources","before":{"fuel1":"1","fuel2":"0","fuel3":"0","model":"C4 X","variant":"D","version":"HNSB-B1A600"},"target":"normalized","rule_ids":["FUEL-001"],"sequence":19,"transformer_id":"ts.fuel","confidence_effect":0.0}],"pipeline_version":"normalization-pipeline-v4","candidate_rule_ids":[]}</x:v>
      </x:c>
      <x:c r="Z102" s="36" t="n">
        <x:v>46239.78067015046</x:v>
      </x:c>
      <x:c r="AA102" s="36" t="n">
        <x:v>46239.78067015046</x:v>
      </x:c>
    </x:row>
    <x:row r="103" ht="18" customHeight="1">
      <x:c r="A103" s="36" t="n">
        <x:v>2705</x:v>
      </x:c>
      <x:c r="B103" s="36" t="str">
        <x:v>ada23251-cc97-58d3-80dc-1a1df2dcc2a5</x:v>
      </x:c>
      <x:c r="C103" s="36" t="str">
        <x:v>Transportstyrelsen</x:v>
      </x:c>
      <x:c r="D103" s="36" t="str">
        <x:v>normalization-review-passenger-250-v1-rules-20260805T184409855703Z</x:v>
      </x:c>
      <x:c r="E103" s="36" t="str">
        <x:v>staging.transportstyrelsen_raw</x:v>
      </x:c>
      <x:c r="F103" s="36" t="n">
        <x:v>2823</x:v>
      </x:c>
      <x:c r="G103" s="36" t="str">
        <x:v>ts-mapping-v1</x:v>
      </x:c>
      <x:c r="H103" s="36" t="str">
        <x:v>ts-review-20260805T184254528647Z</x:v>
      </x:c>
      <x:c r="I103" s="36" t="str">
        <x:v>normalization-pipeline-v4</x:v>
      </x:c>
      <x:c r="J103" s="36" t="str">
        <x:v>provisional</x:v>
      </x:c>
      <x:c r="K103" s="39" t="n">
        <x:v>0.8</x:v>
      </x:c>
      <x:c r="L103" s="36" t="str">
        <x:v>Volvo</x:v>
      </x:c>
      <x:c r="M103" s="36"/>
      <x:c r="N103" s="36" t="str">
        <x:v>covered_body</x:v>
      </x:c>
      <x:c r="O103" s="38" t="str">
        <x:v>["diesel"]</x:v>
      </x:c>
      <x:c r="P103" s="36" t="str">
        <x:v>manual</x:v>
      </x:c>
      <x:c r="Q103" s="36" t="n">
        <x:v>1968</x:v>
      </x:c>
      <x:c r="R103" s="38" t="str">
        <x:v>["DATE-REGISTRATION-V1","DATE-PRODUCTION-YEAR-V1","UNIT-POWER-KW-V1","TRN-001","BDY-102","FUEL-002"]</x:v>
      </x:c>
      <x:c r="S103" s="38" t="str">
        <x:v>["MFR-BRAND-PREFIX-FALLBACK"]</x:v>
      </x:c>
      <x:c r="T103" s="38" t="str">
        <x:v>[]</x:v>
      </x:c>
      <x:c r="U103" s="38" t="str">
        <x:v>{"market":["SE"],"power_kw":66,"manufacturer":"Volvo","bodywork_form":"covered_body","energy_sources":["diesel"],"production_year":1968,"manufacturer_role":"vehicle_manufacturer","power_source_unit":"kw","registration_date":"1968-03-20","transmission_type":"manual","alias_types_present":["plate","vin"],"builder_converter_names":[],"production_date_precision":"model_year","bodywork_registry_label_sv":"Täckt"}</x:v>
      </x:c>
      <x:c r="V103" s="38" t="str">
        <x:v>{"manufacturer_confirmation":{"source_fields":["brand"],"canonical_name":"Volvo"}}</x:v>
      </x:c>
      <x:c r="W1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19680320"},"target":"normalized","rule_ids":["DATE-REGISTRATION-V1","DATE-PRODUCTION-YEAR-V1"],"sequence":7,"transformer_id":"ts.dates","confidence_effect":0.1},{"after":1968,"field":"production_year","before":{"model_year":1968,"vehicle_year":1968,"registration_date":"19680320"},"target":"normalized","rule_ids":["DATE-REGISTRATION-V1","DATE-PRODUCTION-YEAR-V1"],"sequence":8,"transformer_id":"ts.dates","confidence_effect":0.1},{"after":"1968-03-20","field":"registration_date","before":{"model_year":1968,"vehicle_year":1968,"registration_date":"19680320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10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3" s="38" t="str">
        <x:v>{"candidates":{"manufacturer_confirmation":{"source_fields":["brand"],"canonical_name":"Volvo"}},"confidence":0.8,"normalized":{"market":["SE"],"power_kw":66,"manufacturer":"Volvo","bodywork_form":"covered_body","energy_sources":["diesel"],"production_year":1968,"manufacturer_role":"vehicle_manufacturer","power_source_unit":"kw","registration_date":"1968-03-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19680320"},"target":"normalized","rule_ids":["DATE-REGISTRATION-V1","DATE-PRODUCTION-YEAR-V1"],"sequence":7,"transformer_id":"ts.dates","confidence_effect":0.1},{"after":1968,"field":"production_year","before":{"model_year":1968,"vehicle_year":1968,"registration_date":"19680320"},"target":"normalized","rule_ids":["DATE-REGISTRATION-V1","DATE-PRODUCTION-YEAR-V1"],"sequence":8,"transformer_id":"ts.dates","confidence_effect":0.1},{"after":"1968-03-20","field":"registration_date","before":{"model_year":1968,"vehicle_year":1968,"registration_date":"19680320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103" s="36" t="n">
        <x:v>46239.78067015046</x:v>
      </x:c>
      <x:c r="AA103" s="36" t="n">
        <x:v>46239.78067015046</x:v>
      </x:c>
    </x:row>
    <x:row r="104" ht="18" customHeight="1">
      <x:c r="A104" s="36" t="n">
        <x:v>2706</x:v>
      </x:c>
      <x:c r="B104" s="36" t="str">
        <x:v>d1e4c510-7e42-5c82-8fd0-1f30bcc49160</x:v>
      </x:c>
      <x:c r="C104" s="36" t="str">
        <x:v>Transportstyrelsen</x:v>
      </x:c>
      <x:c r="D104" s="36" t="str">
        <x:v>normalization-review-passenger-250-v1-rules-20260805T184409855703Z</x:v>
      </x:c>
      <x:c r="E104" s="36" t="str">
        <x:v>staging.transportstyrelsen_raw</x:v>
      </x:c>
      <x:c r="F104" s="36" t="n">
        <x:v>2824</x:v>
      </x:c>
      <x:c r="G104" s="36" t="str">
        <x:v>ts-mapping-v1</x:v>
      </x:c>
      <x:c r="H104" s="36" t="str">
        <x:v>ts-review-20260805T184254528647Z</x:v>
      </x:c>
      <x:c r="I104" s="36" t="str">
        <x:v>normalization-pipeline-v4</x:v>
      </x:c>
      <x:c r="J104" s="36" t="str">
        <x:v>provisional</x:v>
      </x:c>
      <x:c r="K104" s="39" t="n">
        <x:v>0.8</x:v>
      </x:c>
      <x:c r="L104" s="36" t="str">
        <x:v>Renault</x:v>
      </x:c>
      <x:c r="M104" s="36" t="str">
        <x:v>DUSTER</x:v>
      </x:c>
      <x:c r="N104" s="36" t="str">
        <x:v>estate</x:v>
      </x:c>
      <x:c r="O104" s="38" t="str">
        <x:v>["petrol"]</x:v>
      </x:c>
      <x:c r="P104" s="36"/>
      <x:c r="Q104" s="36" t="n">
        <x:v>2019</x:v>
      </x:c>
      <x:c r="R104" s="38" t="str">
        <x:v>["MFR-102","DATE-REGISTRATION-V1","DATE-PRODUCTION-MONTH-V1","UNIT-POWER-KW-V1","UNIT-DISPLACEMENT-CCM-V1","BDY-110","FUEL-001"]</x:v>
      </x:c>
      <x:c r="S104" s="38" t="str">
        <x:v>["DRV-008"]</x:v>
      </x:c>
      <x:c r="T104" s="38" t="str">
        <x:v>[]</x:v>
      </x:c>
      <x:c r="U104" s="38" t="str">
        <x:v>{"market":["SE"],"power_kw":110,"manufacturer":"Renault","bodywork_form":"estate","energy_sources":["petrol"],"displacement_cc":1332,"production_date":"2019-06","production_year":2019,"manufacturer_role":"vehicle_manufacturer","power_source_unit":"kw","registration_date":"2019-08-27","alias_types_present":["plate","vin","model_name"],"model_family_candidate":true,"builder_converter_names":[],"displacement_source_unit":"ccm","production_date_precision":"month","bodywork_registry_label_sv":"Stationsvagn (kombivagn)"}</x:v>
      </x:c>
      <x:c r="V104" s="38" t="str">
        <x:v>{"drive_type":"awd","model_family":"DUSTER"}</x:v>
      </x:c>
      <x:c r="W1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2019-06","field":"production_date","before":{"build_month":"201906","vehicle_year":2019,"registration_date":"20190827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20190827"},"target":"normalized","rule_ids":["DATE-REGISTRATION-V1","DATE-PRODUCTION-MONTH-V1"],"sequence":9,"transformer_id":"ts.dates","confidence_effect":0.1},{"after":2019,"field":"production_year","before":{"build_month":"201906","vehicle_year":2019,"registration_date":"20190827"},"target":"normalized","rule_ids":["DATE-REGISTRATION-V1","DATE-PRODUCTION-MONTH-V1"],"sequence":10,"transformer_id":"ts.dates","confidence_effect":0.1},{"after":"2019-08-27","field":"registration_date","before":{"build_month":"201906","vehicle_year":2019,"registration_date":"20190827"},"target":"normalized","rule_ids":["DATE-REGISTRATION-V1","DATE-PRODUCTION-MONTH-V1"],"sequence":11,"transformer_id":"ts.dates","confidence_effect":0.1},{"after":1332,"field":"displacement_cc","before":{"kw":110,"ccm":1332},"target":"normalized","rule_ids":["UNIT-POWER-KW-V1","UNIT-DISPLACEMENT-CCM-V1"],"sequence":12,"transformer_id":"ts.engine-measurements","confidence_effect":0.1},{"after":"ccm","field":"displacement_source_unit","before":{"kw":110,"ccm":1332},"target":"normalized","rule_ids":["UNIT-POWER-KW-V1","UNIT-DISPLACEMENT-CCM-V1"],"sequence":13,"transformer_id":"ts.engine-measurements","confidence_effect":0.1},{"after":110,"field":"power_kw","before":{"kw":110,"ccm":1332},"target":"normalized","rule_ids":["UNIT-POWER-KW-V1","UNIT-DISPLACEMENT-CCM-V1"],"sequence":14,"transformer_id":"ts.engine-measurements","confidence_effect":0.1},{"after":"kw","field":"power_source_unit","before":{"kw":110,"ccm":1332},"target":"normalized","rule_ids":["UNIT-POWER-KW-V1","UNIT-DISPLACEMENT-CCM-V1"],"sequence":15,"transformer_id":"ts.engine-measurements","confidence_effect":0.1},{"after":"estate","field":"bodywork_form","before":{"model":"DUSTER","variant":"DHE4","version":"M36DA160M000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4","version":"M36DA160M000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DUSTER","variant":"DHE4","version":"M36DA160M000"},"target":"normalized","rule_ids":["FUEL-001"],"sequence":19,"transformer_id":"ts.fuel","confidence_effect":0.0}]</x:v>
      </x:c>
      <x:c r="X104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4" s="38" t="str">
        <x:v>{"candidates":{"drive_type":"awd","model_family":"DUSTER"},"confidence":0.8,"normalized":{"market":["SE"],"power_kw":110,"manufacturer":"Renault","bodywork_form":"estate","energy_sources":["petrol"],"displacement_cc":1332,"production_date":"2019-06","production_year":2019,"manufacturer_role":"vehicle_manufacturer","power_source_unit":"kw","registration_date":"2019-08-27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2019-06","field":"production_date","before":{"build_month":"201906","vehicle_year":2019,"registration_date":"20190827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20190827"},"target":"normalized","rule_ids":["DATE-REGISTRATION-V1","DATE-PRODUCTION-MONTH-V1"],"sequence":9,"transformer_id":"ts.dates","confidence_effect":0.1},{"after":2019,"field":"production_year","before":{"build_month":"201906","vehicle_year":2019,"registration_date":"20190827"},"target":"normalized","rule_ids":["DATE-REGISTRATION-V1","DATE-PRODUCTION-MONTH-V1"],"sequence":10,"transformer_id":"ts.dates","confidence_effect":0.1},{"after":"2019-08-27","field":"registration_date","before":{"build_month":"201906","vehicle_year":2019,"registration_date":"20190827"},"target":"normalized","rule_ids":["DATE-REGISTRATION-V1","DATE-PRODUCTION-MONTH-V1"],"sequence":11,"transformer_id":"ts.dates","confidence_effect":0.1},{"after":1332,"field":"displacement_cc","before":{"kw":110,"ccm":1332},"target":"normalized","rule_ids":["UNIT-POWER-KW-V1","UNIT-DISPLACEMENT-CCM-V1"],"sequence":12,"transformer_id":"ts.engine-measurements","confidence_effect":0.1},{"after":"ccm","field":"displacement_source_unit","before":{"kw":110,"ccm":1332},"target":"normalized","rule_ids":["UNIT-POWER-KW-V1","UNIT-DISPLACEMENT-CCM-V1"],"sequence":13,"transformer_id":"ts.engine-measurements","confidence_effect":0.1},{"after":110,"field":"power_kw","before":{"kw":110,"ccm":1332},"target":"normalized","rule_ids":["UNIT-POWER-KW-V1","UNIT-DISPLACEMENT-CCM-V1"],"sequence":14,"transformer_id":"ts.engine-measurements","confidence_effect":0.1},{"after":"kw","field":"power_source_unit","before":{"kw":110,"ccm":1332},"target":"normalized","rule_ids":["UNIT-POWER-KW-V1","UNIT-DISPLACEMENT-CCM-V1"],"sequence":15,"transformer_id":"ts.engine-measurements","confidence_effect":0.1},{"after":"estate","field":"bodywork_form","before":{"model":"DUSTER","variant":"DHE4","version":"M36DA160M000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4","version":"M36DA160M000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DUSTER","variant":"DHE4","version":"M36DA160M000"},"target":"normalized","rule_ids":["FUEL-001"],"sequence":19,"transformer_id":"ts.fuel","confidence_effect":0.0}],"pipeline_version":"normalization-pipeline-v4","candidate_rule_ids":["DRV-008"]}</x:v>
      </x:c>
      <x:c r="Z104" s="36" t="n">
        <x:v>46239.78067015046</x:v>
      </x:c>
      <x:c r="AA104" s="36" t="n">
        <x:v>46239.78067015046</x:v>
      </x:c>
    </x:row>
    <x:row r="105" ht="18" customHeight="1">
      <x:c r="A105" s="36" t="n">
        <x:v>2707</x:v>
      </x:c>
      <x:c r="B105" s="36" t="str">
        <x:v>ab8bf8ee-3a55-56f8-968e-0995d30cdde6</x:v>
      </x:c>
      <x:c r="C105" s="36" t="str">
        <x:v>Transportstyrelsen</x:v>
      </x:c>
      <x:c r="D105" s="36" t="str">
        <x:v>normalization-review-passenger-250-v1-rules-20260805T184409855703Z</x:v>
      </x:c>
      <x:c r="E105" s="36" t="str">
        <x:v>staging.transportstyrelsen_raw</x:v>
      </x:c>
      <x:c r="F105" s="36" t="n">
        <x:v>2825</x:v>
      </x:c>
      <x:c r="G105" s="36" t="str">
        <x:v>ts-mapping-v1</x:v>
      </x:c>
      <x:c r="H105" s="36" t="str">
        <x:v>ts-review-20260805T184254528647Z</x:v>
      </x:c>
      <x:c r="I105" s="36" t="str">
        <x:v>normalization-pipeline-v4</x:v>
      </x:c>
      <x:c r="J105" s="36" t="str">
        <x:v>resolved</x:v>
      </x:c>
      <x:c r="K105" s="39" t="n">
        <x:v>0.95</x:v>
      </x:c>
      <x:c r="L105" s="36" t="str">
        <x:v>Volkswagen</x:v>
      </x:c>
      <x:c r="M105" s="36"/>
      <x:c r="N105" s="36" t="str">
        <x:v>open_body</x:v>
      </x:c>
      <x:c r="O105" s="38" t="str">
        <x:v>["petrol"]</x:v>
      </x:c>
      <x:c r="P105" s="36" t="str">
        <x:v>manual</x:v>
      </x:c>
      <x:c r="Q105" s="36" t="n">
        <x:v>1970</x:v>
      </x:c>
      <x:c r="R105" s="38" t="str">
        <x:v>["MFR-BRAND-LEGACY-EXACT","DATE-REGISTRATION-V1","DATE-PRODUCTION-YEAR-V1","UNIT-POWER-KW-V1","TRN-001","BDY-116","FUEL-001"]</x:v>
      </x:c>
      <x:c r="S105" s="38" t="str">
        <x:v>[]</x:v>
      </x:c>
      <x:c r="T105" s="38" t="str">
        <x:v>[]</x:v>
      </x:c>
      <x:c r="U105" s="38" t="str">
        <x:v>{"market":["SE"],"power_kw":32,"manufacturer":"Volkswagen","bodywork_form":"open_body","energy_sources":["petrol"],"production_year":1970,"manufacturer_role":"vehicle_manufacturer","power_source_unit":"kw","registration_date":"1970-06-30","transmission_type":"manual","alias_types_present":["plate","vin"],"builder_converter_names":[],"production_date_precision":"model_year","bodywork_registry_label_sv":"Öppet"}</x:v>
      </x:c>
      <x:c r="V105" s="38" t="str">
        <x:v>{}</x:v>
      </x:c>
      <x:c r="W1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 1500LIM113 AVK","target":"normalized","rule_ids":["MFR-BRAND-LEGACY-EXACT"],"sequence":3,"transformer_id":"ts.manufacturer","confidence_effect":0.2},{"after":"Volkswagen","field":"manufacturer","before":"VOLKSW 1500LIM113 AVK","target":"normalized","rule_ids":["MFR-BRAND-LEGACY-EXACT"],"sequence":4,"transformer_id":"ts.manufacturer","confidence_effect":0.2},{"after":"vehicle_manufacturer","field":"manufacturer_role","before":"VOLKSW 1500LIM113 AVK","target":"normalized","rule_ids":["MFR-BRAND-LEGACY-EXACT"],"sequence":5,"transformer_id":"ts.manufacturer","confidence_effect":0.2},{"after":"model_year","field":"production_date_precision","before":{"model_year":1970,"vehicle_year":1970,"registration_date":"19700630"},"target":"normalized","rule_ids":["DATE-REGISTRATION-V1","DATE-PRODUCTION-YEAR-V1"],"sequence":6,"transformer_id":"ts.dates","confidence_effect":0.1},{"after":1970,"field":"production_year","before":{"model_year":1970,"vehicle_year":1970,"registration_date":"19700630"},"target":"normalized","rule_ids":["DATE-REGISTRATION-V1","DATE-PRODUCTION-YEAR-V1"],"sequence":7,"transformer_id":"ts.dates","confidence_effect":0.1},{"after":"1970-06-30","field":"registration_date","before":{"model_year":1970,"vehicle_year":1970,"registration_date":"19700630"},"target":"normalized","rule_ids":["DATE-REGISTRATION-V1","DATE-PRODUCTION-YEAR-V1"],"sequence":8,"transformer_id":"ts.dates","confidence_effect":0.1},{"after":32,"field":"power_kw","before":32,"target":"normalized","rule_ids":["UNIT-POWER-KW-V1"],"sequence":9,"transformer_id":"ts.engine-measurements","confidence_effect":0.1},{"after":"kw","field":"power_source_unit","before":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0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5" s="38" t="str">
        <x:v>{"candidates":{},"confidence":0.95,"normalized":{"market":["SE"],"power_kw":32,"manufacturer":"Volkswagen","bodywork_form":"open_body","energy_sources":["petrol"],"production_year":1970,"manufacturer_role":"vehicle_manufacturer","power_source_unit":"kw","registration_date":"1970-06-30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 1500LIM113 AVK","target":"normalized","rule_ids":["MFR-BRAND-LEGACY-EXACT"],"sequence":3,"transformer_id":"ts.manufacturer","confidence_effect":0.2},{"after":"Volkswagen","field":"manufacturer","before":"VOLKSW 1500LIM113 AVK","target":"normalized","rule_ids":["MFR-BRAND-LEGACY-EXACT"],"sequence":4,"transformer_id":"ts.manufacturer","confidence_effect":0.2},{"after":"vehicle_manufacturer","field":"manufacturer_role","before":"VOLKSW 1500LIM113 AVK","target":"normalized","rule_ids":["MFR-BRAND-LEGACY-EXACT"],"sequence":5,"transformer_id":"ts.manufacturer","confidence_effect":0.2},{"after":"model_year","field":"production_date_precision","before":{"model_year":1970,"vehicle_year":1970,"registration_date":"19700630"},"target":"normalized","rule_ids":["DATE-REGISTRATION-V1","DATE-PRODUCTION-YEAR-V1"],"sequence":6,"transformer_id":"ts.dates","confidence_effect":0.1},{"after":1970,"field":"production_year","before":{"model_year":1970,"vehicle_year":1970,"registration_date":"19700630"},"target":"normalized","rule_ids":["DATE-REGISTRATION-V1","DATE-PRODUCTION-YEAR-V1"],"sequence":7,"transformer_id":"ts.dates","confidence_effect":0.1},{"after":"1970-06-30","field":"registration_date","before":{"model_year":1970,"vehicle_year":1970,"registration_date":"19700630"},"target":"normalized","rule_ids":["DATE-REGISTRATION-V1","DATE-PRODUCTION-YEAR-V1"],"sequence":8,"transformer_id":"ts.dates","confidence_effect":0.1},{"after":32,"field":"power_kw","before":32,"target":"normalized","rule_ids":["UNIT-POWER-KW-V1"],"sequence":9,"transformer_id":"ts.engine-measurements","confidence_effect":0.1},{"after":"kw","field":"power_source_unit","before":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05" s="36" t="n">
        <x:v>46239.78067015046</x:v>
      </x:c>
      <x:c r="AA105" s="36" t="n">
        <x:v>46239.78067015046</x:v>
      </x:c>
    </x:row>
    <x:row r="106" ht="18" customHeight="1">
      <x:c r="A106" s="36" t="n">
        <x:v>2708</x:v>
      </x:c>
      <x:c r="B106" s="36" t="str">
        <x:v>7d59102e-a51c-5820-a1dd-1c94b37c4ce8</x:v>
      </x:c>
      <x:c r="C106" s="36" t="str">
        <x:v>Transportstyrelsen</x:v>
      </x:c>
      <x:c r="D106" s="36" t="str">
        <x:v>normalization-review-passenger-250-v1-rules-20260805T184409855703Z</x:v>
      </x:c>
      <x:c r="E106" s="36" t="str">
        <x:v>staging.transportstyrelsen_raw</x:v>
      </x:c>
      <x:c r="F106" s="36" t="n">
        <x:v>2826</x:v>
      </x:c>
      <x:c r="G106" s="36" t="str">
        <x:v>ts-mapping-v1</x:v>
      </x:c>
      <x:c r="H106" s="36" t="str">
        <x:v>ts-review-20260805T184254528647Z</x:v>
      </x:c>
      <x:c r="I106" s="36" t="str">
        <x:v>normalization-pipeline-v4</x:v>
      </x:c>
      <x:c r="J106" s="36" t="str">
        <x:v>provisional</x:v>
      </x:c>
      <x:c r="K106" s="39" t="n">
        <x:v>0.8</x:v>
      </x:c>
      <x:c r="L106" s="36" t="str">
        <x:v>Ford</x:v>
      </x:c>
      <x:c r="M106" s="36" t="str">
        <x:v>B-MAX</x:v>
      </x:c>
      <x:c r="N106" s="36" t="str">
        <x:v>multi_purpose_vehicle</x:v>
      </x:c>
      <x:c r="O106" s="38" t="str">
        <x:v>["petrol"]</x:v>
      </x:c>
      <x:c r="P106" s="36" t="str">
        <x:v>manual</x:v>
      </x:c>
      <x:c r="Q106" s="36" t="n">
        <x:v>2013</x:v>
      </x:c>
      <x:c r="R106" s="38" t="str">
        <x:v>["MFR-BRAND-CONFIRMED","MFR-BRAND-MODEL","MFR-BRAND-VIN-WMI","DATE-REGISTRATION-V1","DATE-PRODUCTION-MONTH-V1","UNIT-POWER-KW-V1","UNIT-DISPLACEMENT-CCM-V1","TRN-001","BDY-113","FUEL-001"]</x:v>
      </x:c>
      <x:c r="S106" s="38" t="str">
        <x:v>[]</x:v>
      </x:c>
      <x:c r="T106" s="38" t="str">
        <x:v>[]</x:v>
      </x:c>
      <x:c r="U106" s="38" t="str">
        <x:v>{"market":["SE"],"power_kw":92,"manufacturer":"Ford","bodywork_form":"multi_purpose_vehicle","energy_sources":["petrol"],"displacement_cc":998,"production_date":"2013-10","production_year":2013,"manufacturer_role":"vehicle_manufacturer","power_source_unit":"kw","registration_date":"2013-11-28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06" s="38" t="str">
        <x:v>{"model_family":"B-MAX"}</x:v>
      </x:c>
      <x:c r="W1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JK8","target":"normalized","rule_ids":["MFR-BRAND-CONFIRMED","MFR-BRAND-MODEL","MFR-BRAND-VIN-WMI"],"sequence":3,"transformer_id":"ts.manufacturer","confidence_effect":0.2},{"after":"Ford","field":"manufacturer","before":"FORD JK8","target":"normalized","rule_ids":["MFR-BRAND-CONFIRMED","MFR-BRAND-MODEL","MFR-BRAND-VIN-WMI"],"sequence":4,"transformer_id":"ts.manufacturer","confidence_effect":0.2},{"after":"vehicle_manufacturer","field":"manufacturer_role","before":"FORD JK8","target":"normalized","rule_ids":["MFR-BRAND-CONFIRMED","MFR-BRAND-MODEL","MFR-BRAND-VIN-WMI"],"sequence":5,"transformer_id":"ts.manufacturer","confidence_effect":0.2},{"after":true,"field":"model_family_candidate","before":"B-MAX","target":"normalized","rule_ids":["MODEL-CANDIDATE-V1"],"sequence":6,"transformer_id":"ts.model-family","confidence_effect":0.0},{"after":"B-MAX","field":"model_family","before":"B-MAX","target":"candidate","rule_ids":["MODEL-CANDIDATE-V1"],"sequence":7,"transformer_id":"ts.model-family","confidence_effect":0.05},{"after":"2013-10","field":"production_date","before":{"build_month":"201310","vehicle_year":2013,"registration_date":"20131128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20131128"},"target":"normalized","rule_ids":["DATE-REGISTRATION-V1","DATE-PRODUCTION-MONTH-V1"],"sequence":9,"transformer_id":"ts.dates","confidence_effect":0.1},{"after":2013,"field":"production_year","before":{"build_month":"201310","vehicle_year":2013,"registration_date":"20131128"},"target":"normalized","rule_ids":["DATE-REGISTRATION-V1","DATE-PRODUCTION-MONTH-V1"],"sequence":10,"transformer_id":"ts.dates","confidence_effect":0.1},{"after":"2013-11-28","field":"registration_date","before":{"build_month":"201310","vehicle_year":2013,"registration_date":"20131128"},"target":"normalized","rule_ids":["DATE-REGISTRATION-V1","DATE-PRODUCTION-MONTH-V1"],"sequence":11,"transformer_id":"ts.dates","confidence_effect":0.1},{"after":998,"field":"displacement_cc","before":{"kw":92,"ccm":998},"target":"normalized","rule_ids":["UNIT-POWER-KW-V1","UNIT-DISPLACEMENT-CCM-V1"],"sequence":12,"transformer_id":"ts.engine-measurements","confidence_effect":0.1},{"after":"ccm","field":"displacement_source_unit","before":{"kw":92,"ccm":998},"target":"normalized","rule_ids":["UNIT-POWER-KW-V1","UNIT-DISPLACEMENT-CCM-V1"],"sequence":13,"transformer_id":"ts.engine-measurements","confidence_effect":0.1},{"after":92,"field":"power_kw","before":{"kw":92,"ccm":998},"target":"normalized","rule_ids":["UNIT-POWER-KW-V1","UNIT-DISPLACEMENT-CCM-V1"],"sequence":14,"transformer_id":"ts.engine-measurements","confidence_effect":0.1},{"after":"kw","field":"power_source_unit","before":{"kw":92,"ccm":998},"target":"normalized","rule_ids":["UNIT-POWER-KW-V1","UNIT-DISPLACEMENT-CCM-V1"],"sequence":15,"transformer_id":"ts.engine-measurements","confidence_effect":0.1},{"after":"manual","field":"transmission_type","before":{"model":"B-MAX","gearbox":"M","variant":"M1JE1K","version":"5ABALR"},"target":"normalized","rule_ids":["TRN-001"],"sequence":16,"transformer_id":"ts.transmission","confidence_effect":0.1},{"after":"multi_purpose_vehicle","field":"bodywork_form","before":{"model":"B-MAX","variant":"M1JE1K","version":"5ABALR","body_code":"AF","eu_category":"M1","vehicle_type":"PB"},"target":"normalized","rule_ids":["BDY-113"],"sequence":17,"transformer_id":"ts.bodywork","confidence_effect":0.1},{"after":"Fordon avsett för flera ändamål","field":"bodywork_registry_label_sv","before":{"model":"B-MAX","variant":"M1JE1K","version":"5ABALR","body_code":"AF","eu_category":"M1","vehicle_type":"PB"},"target":"normalized","rule_ids":["BDY-113"],"sequence":18,"transformer_id":"ts.bodywork","confidence_effect":0.1},{"after":["petrol"],"field":"energy_sources","before":{"fuel1":"1","fuel2":"0","fuel3":"0","model":"B-MAX","variant":"M1JE1K","version":"5ABALR"},"target":"normalized","rule_ids":["FUEL-001"],"sequence":19,"transformer_id":"ts.fuel","confidence_effect":0.0}]</x:v>
      </x:c>
      <x:c r="X10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6" s="38" t="str">
        <x:v>{"candidates":{"model_family":"B-MAX"},"confidence":0.8,"normalized":{"market":["SE"],"power_kw":92,"manufacturer":"Ford","bodywork_form":"multi_purpose_vehicle","energy_sources":["petrol"],"displacement_cc":998,"production_date":"2013-10","production_year":2013,"manufacturer_role":"vehicle_manufacturer","power_source_unit":"kw","registration_date":"2013-11-28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JK8","target":"normalized","rule_ids":["MFR-BRAND-CONFIRMED","MFR-BRAND-MODEL","MFR-BRAND-VIN-WMI"],"sequence":3,"transformer_id":"ts.manufacturer","confidence_effect":0.2},{"after":"Ford","field":"manufacturer","before":"FORD JK8","target":"normalized","rule_ids":["MFR-BRAND-CONFIRMED","MFR-BRAND-MODEL","MFR-BRAND-VIN-WMI"],"sequence":4,"transformer_id":"ts.manufacturer","confidence_effect":0.2},{"after":"vehicle_manufacturer","field":"manufacturer_role","before":"FORD JK8","target":"normalized","rule_ids":["MFR-BRAND-CONFIRMED","MFR-BRAND-MODEL","MFR-BRAND-VIN-WMI"],"sequence":5,"transformer_id":"ts.manufacturer","confidence_effect":0.2},{"after":true,"field":"model_family_candidate","before":"B-MAX","target":"normalized","rule_ids":["MODEL-CANDIDATE-V1"],"sequence":6,"transformer_id":"ts.model-family","confidence_effect":0.0},{"after":"B-MAX","field":"model_family","before":"B-MAX","target":"candidate","rule_ids":["MODEL-CANDIDATE-V1"],"sequence":7,"transformer_id":"ts.model-family","confidence_effect":0.05},{"after":"2013-10","field":"production_date","before":{"build_month":"201310","vehicle_year":2013,"registration_date":"20131128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20131128"},"target":"normalized","rule_ids":["DATE-REGISTRATION-V1","DATE-PRODUCTION-MONTH-V1"],"sequence":9,"transformer_id":"ts.dates","confidence_effect":0.1},{"after":2013,"field":"production_year","before":{"build_month":"201310","vehicle_year":2013,"registration_date":"20131128"},"target":"normalized","rule_ids":["DATE-REGISTRATION-V1","DATE-PRODUCTION-MONTH-V1"],"sequence":10,"transformer_id":"ts.dates","confidence_effect":0.1},{"after":"2013-11-28","field":"registration_date","before":{"build_month":"201310","vehicle_year":2013,"registration_date":"20131128"},"target":"normalized","rule_ids":["DATE-REGISTRATION-V1","DATE-PRODUCTION-MONTH-V1"],"sequence":11,"transformer_id":"ts.dates","confidence_effect":0.1},{"after":998,"field":"displacement_cc","before":{"kw":92,"ccm":998},"target":"normalized","rule_ids":["UNIT-POWER-KW-V1","UNIT-DISPLACEMENT-CCM-V1"],"sequence":12,"transformer_id":"ts.engine-measurements","confidence_effect":0.1},{"after":"ccm","field":"displacement_source_unit","before":{"kw":92,"ccm":998},"target":"normalized","rule_ids":["UNIT-POWER-KW-V1","UNIT-DISPLACEMENT-CCM-V1"],"sequence":13,"transformer_id":"ts.engine-measurements","confidence_effect":0.1},{"after":92,"field":"power_kw","before":{"kw":92,"ccm":998},"target":"normalized","rule_ids":["UNIT-POWER-KW-V1","UNIT-DISPLACEMENT-CCM-V1"],"sequence":14,"transformer_id":"ts.engine-measurements","confidence_effect":0.1},{"after":"kw","field":"power_source_unit","before":{"kw":92,"ccm":998},"target":"normalized","rule_ids":["UNIT-POWER-KW-V1","UNIT-DISPLACEMENT-CCM-V1"],"sequence":15,"transformer_id":"ts.engine-measurements","confidence_effect":0.1},{"after":"manual","field":"transmission_type","before":{"model":"B-MAX","gearbox":"M","variant":"M1JE1K","version":"5ABALR"},"target":"normalized","rule_ids":["TRN-001"],"sequence":16,"transformer_id":"ts.transmission","confidence_effect":0.1},{"after":"multi_purpose_vehicle","field":"bodywork_form","before":{"model":"B-MAX","variant":"M1JE1K","version":"5ABALR","body_code":"AF","eu_category":"M1","vehicle_type":"PB"},"target":"normalized","rule_ids":["BDY-113"],"sequence":17,"transformer_id":"ts.bodywork","confidence_effect":0.1},{"after":"Fordon avsett för flera ändamål","field":"bodywork_registry_label_sv","before":{"model":"B-MAX","variant":"M1JE1K","version":"5ABALR","body_code":"AF","eu_category":"M1","vehicle_type":"PB"},"target":"normalized","rule_ids":["BDY-113"],"sequence":18,"transformer_id":"ts.bodywork","confidence_effect":0.1},{"after":["petrol"],"field":"energy_sources","before":{"fuel1":"1","fuel2":"0","fuel3":"0","model":"B-MAX","variant":"M1JE1K","version":"5ABALR"},"target":"normalized","rule_ids":["FUEL-001"],"sequence":19,"transformer_id":"ts.fuel","confidence_effect":0.0}],"pipeline_version":"normalization-pipeline-v4","candidate_rule_ids":[]}</x:v>
      </x:c>
      <x:c r="Z106" s="36" t="n">
        <x:v>46239.78067015046</x:v>
      </x:c>
      <x:c r="AA106" s="36" t="n">
        <x:v>46239.78067015046</x:v>
      </x:c>
    </x:row>
    <x:row r="107" ht="18" customHeight="1">
      <x:c r="A107" s="36" t="n">
        <x:v>2709</x:v>
      </x:c>
      <x:c r="B107" s="36" t="str">
        <x:v>0e820325-f90c-5114-b869-0c8b8f7ac5ae</x:v>
      </x:c>
      <x:c r="C107" s="36" t="str">
        <x:v>Transportstyrelsen</x:v>
      </x:c>
      <x:c r="D107" s="36" t="str">
        <x:v>normalization-review-passenger-250-v1-rules-20260805T184409855703Z</x:v>
      </x:c>
      <x:c r="E107" s="36" t="str">
        <x:v>staging.transportstyrelsen_raw</x:v>
      </x:c>
      <x:c r="F107" s="36" t="n">
        <x:v>2827</x:v>
      </x:c>
      <x:c r="G107" s="36" t="str">
        <x:v>ts-mapping-v1</x:v>
      </x:c>
      <x:c r="H107" s="36" t="str">
        <x:v>ts-review-20260805T184254528647Z</x:v>
      </x:c>
      <x:c r="I107" s="36" t="str">
        <x:v>normalization-pipeline-v4</x:v>
      </x:c>
      <x:c r="J107" s="36" t="str">
        <x:v>provisional</x:v>
      </x:c>
      <x:c r="K107" s="39" t="n">
        <x:v>0.8</x:v>
      </x:c>
      <x:c r="L107" s="36" t="str">
        <x:v>Volvo</x:v>
      </x:c>
      <x:c r="M107" s="36"/>
      <x:c r="N107" s="36" t="str">
        <x:v>covered_body</x:v>
      </x:c>
      <x:c r="O107" s="38" t="str">
        <x:v>["petrol"]</x:v>
      </x:c>
      <x:c r="P107" s="36" t="str">
        <x:v>manual</x:v>
      </x:c>
      <x:c r="Q107" s="36" t="n">
        <x:v>1964</x:v>
      </x:c>
      <x:c r="R107" s="38" t="str">
        <x:v>["DATE-REGISTRATION-V1","DATE-PRODUCTION-YEAR-V1","UNIT-POWER-KW-V1","TRN-001","BDY-102","FUEL-001"]</x:v>
      </x:c>
      <x:c r="S107" s="38" t="str">
        <x:v>["MFR-BRAND-PREFIX-FALLBACK"]</x:v>
      </x:c>
      <x:c r="T107" s="38" t="str">
        <x:v>[]</x:v>
      </x:c>
      <x:c r="U107" s="38" t="str">
        <x:v>{"market":["SE"],"power_kw":59,"manufacturer":"Volvo","bodywork_form":"covered_body","energy_sources":["petrol"],"production_year":1964,"manufacturer_role":"vehicle_manufacturer","power_source_unit":"kw","registration_date":"1963-09-17","transmission_type":"manual","alias_types_present":["plate","vin"],"builder_converter_names":[],"production_date_precision":"model_year","bodywork_registry_label_sv":"Täckt"}</x:v>
      </x:c>
      <x:c r="V107" s="38" t="str">
        <x:v>{"manufacturer_confirmation":{"source_fields":["brand"],"canonical_name":"Volvo"}}</x:v>
      </x:c>
      <x:c r="W1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19630917"},"target":"normalized","rule_ids":["DATE-REGISTRATION-V1","DATE-PRODUCTION-YEAR-V1"],"sequence":7,"transformer_id":"ts.dates","confidence_effect":0.1},{"after":1964,"field":"production_year","before":{"model_year":1964,"vehicle_year":1964,"registration_date":"19630917"},"target":"normalized","rule_ids":["DATE-REGISTRATION-V1","DATE-PRODUCTION-YEAR-V1"],"sequence":8,"transformer_id":"ts.dates","confidence_effect":0.1},{"after":"1963-09-17","field":"registration_date","before":{"model_year":1964,"vehicle_year":1964,"registration_date":"19630917"},"target":"normalized","rule_ids":["DATE-REGISTRATION-V1","DATE-PRODUCTION-YEAR-V1"],"sequence":9,"transformer_id":"ts.dates","confidence_effect":0.1},{"after":59,"field":"power_kw","before":59,"target":"normalized","rule_ids":["UNIT-POWER-KW-V1"],"sequence":10,"transformer_id":"ts.engine-measurements","confidence_effect":0.1},{"after":"kw","field":"power_source_unit","before":59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7" s="38" t="str">
        <x:v>{"candidates":{"manufacturer_confirmation":{"source_fields":["brand"],"canonical_name":"Volvo"}},"confidence":0.8,"normalized":{"market":["SE"],"power_kw":59,"manufacturer":"Volvo","bodywork_form":"covered_body","energy_sources":["petrol"],"production_year":1964,"manufacturer_role":"vehicle_manufacturer","power_source_unit":"kw","registration_date":"1963-09-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19630917"},"target":"normalized","rule_ids":["DATE-REGISTRATION-V1","DATE-PRODUCTION-YEAR-V1"],"sequence":7,"transformer_id":"ts.dates","confidence_effect":0.1},{"after":1964,"field":"production_year","before":{"model_year":1964,"vehicle_year":1964,"registration_date":"19630917"},"target":"normalized","rule_ids":["DATE-REGISTRATION-V1","DATE-PRODUCTION-YEAR-V1"],"sequence":8,"transformer_id":"ts.dates","confidence_effect":0.1},{"after":"1963-09-17","field":"registration_date","before":{"model_year":1964,"vehicle_year":1964,"registration_date":"19630917"},"target":"normalized","rule_ids":["DATE-REGISTRATION-V1","DATE-PRODUCTION-YEAR-V1"],"sequence":9,"transformer_id":"ts.dates","confidence_effect":0.1},{"after":59,"field":"power_kw","before":59,"target":"normalized","rule_ids":["UNIT-POWER-KW-V1"],"sequence":10,"transformer_id":"ts.engine-measurements","confidence_effect":0.1},{"after":"kw","field":"power_source_unit","before":59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7" s="36" t="n">
        <x:v>46239.78067015046</x:v>
      </x:c>
      <x:c r="AA107" s="36" t="n">
        <x:v>46239.78067015046</x:v>
      </x:c>
    </x:row>
    <x:row r="108" ht="18" customHeight="1">
      <x:c r="A108" s="36" t="n">
        <x:v>2710</x:v>
      </x:c>
      <x:c r="B108" s="36" t="str">
        <x:v>d866c626-c240-5e0d-8cb3-fe2c47dca64c</x:v>
      </x:c>
      <x:c r="C108" s="36" t="str">
        <x:v>Transportstyrelsen</x:v>
      </x:c>
      <x:c r="D108" s="36" t="str">
        <x:v>normalization-review-passenger-250-v1-rules-20260805T184409855703Z</x:v>
      </x:c>
      <x:c r="E108" s="36" t="str">
        <x:v>staging.transportstyrelsen_raw</x:v>
      </x:c>
      <x:c r="F108" s="36" t="n">
        <x:v>2828</x:v>
      </x:c>
      <x:c r="G108" s="36" t="str">
        <x:v>ts-mapping-v1</x:v>
      </x:c>
      <x:c r="H108" s="36" t="str">
        <x:v>ts-review-20260805T184254528647Z</x:v>
      </x:c>
      <x:c r="I108" s="36" t="str">
        <x:v>normalization-pipeline-v4</x:v>
      </x:c>
      <x:c r="J108" s="36" t="str">
        <x:v>provisional</x:v>
      </x:c>
      <x:c r="K108" s="39" t="n">
        <x:v>0.8</x:v>
      </x:c>
      <x:c r="L108" s="36" t="str">
        <x:v>Volvo</x:v>
      </x:c>
      <x:c r="M108" s="36"/>
      <x:c r="N108" s="36" t="str">
        <x:v>covered_body</x:v>
      </x:c>
      <x:c r="O108" s="38" t="str">
        <x:v>["petrol"]</x:v>
      </x:c>
      <x:c r="P108" s="36" t="str">
        <x:v>manual</x:v>
      </x:c>
      <x:c r="Q108" s="36" t="n">
        <x:v>1966</x:v>
      </x:c>
      <x:c r="R108" s="38" t="str">
        <x:v>["DATE-REGISTRATION-V1","DATE-PRODUCTION-YEAR-V1","UNIT-POWER-KW-V1","TRN-001","BDY-102","FUEL-001"]</x:v>
      </x:c>
      <x:c r="S108" s="38" t="str">
        <x:v>["MFR-BRAND-PREFIX-FALLBACK"]</x:v>
      </x:c>
      <x:c r="T108" s="38" t="str">
        <x:v>[]</x:v>
      </x:c>
      <x:c r="U108" s="38" t="str">
        <x:v>{"market":["SE"],"power_kw":70,"manufacturer":"Volvo","bodywork_form":"covered_body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,"bodywork_registry_label_sv":"Täckt"}</x:v>
      </x:c>
      <x:c r="V108" s="38" t="str">
        <x:v>{"manufacturer_confirmation":{"source_fields":["brand"],"canonical_name":"Volvo"}}</x:v>
      </x:c>
      <x:c r="W1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13235 VF","target":"normalized","rule_ids":["MFR-CLASSIFY-V1"],"sequence":3,"transformer_id":"ts.manufacturer","confidence_effect":0.2},{"after":"Volvo","field":"manufacturer","before":"VOLVO 13235 VF","target":"normalized","rule_ids":["MFR-CLASSIFY-V1"],"sequence":4,"transformer_id":"ts.manufacturer","confidence_effect":0.2},{"after":"vehicle_manufacturer","field":"manufacturer_role","before":"VOLVO 13235 VF","target":"normalized","rule_ids":["MFR-CLASSIFY-V1"],"sequence":5,"transformer_id":"ts.manufacturer","confidence_effect":0.2},{"after":{"source_fields":["brand"],"canonical_name":"Volvo"},"field":"manufacturer_confirmation","before":"VOLVO 13235 VF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8" s="38" t="str">
        <x:v>{"candidates":{"manufacturer_confirmation":{"source_fields":["brand"],"canonical_name":"Volvo"}},"confidence":0.8,"normalized":{"market":["SE"],"power_kw":70,"manufacturer":"Volvo","bodywork_form":"covered_body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13235 VF","target":"normalized","rule_ids":["MFR-CLASSIFY-V1"],"sequence":3,"transformer_id":"ts.manufacturer","confidence_effect":0.2},{"after":"Volvo","field":"manufacturer","before":"VOLVO 13235 VF","target":"normalized","rule_ids":["MFR-CLASSIFY-V1"],"sequence":4,"transformer_id":"ts.manufacturer","confidence_effect":0.2},{"after":"vehicle_manufacturer","field":"manufacturer_role","before":"VOLVO 13235 VF","target":"normalized","rule_ids":["MFR-CLASSIFY-V1"],"sequence":5,"transformer_id":"ts.manufacturer","confidence_effect":0.2},{"after":{"source_fields":["brand"],"canonical_name":"Volvo"},"field":"manufacturer_confirmation","before":"VOLVO 13235 VF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8" s="36" t="n">
        <x:v>46239.78067015046</x:v>
      </x:c>
      <x:c r="AA108" s="36" t="n">
        <x:v>46239.78067015046</x:v>
      </x:c>
    </x:row>
    <x:row r="109" ht="18" customHeight="1">
      <x:c r="A109" s="36" t="n">
        <x:v>2711</x:v>
      </x:c>
      <x:c r="B109" s="36" t="str">
        <x:v>435e599e-d315-5fc7-9325-2b31f7922676</x:v>
      </x:c>
      <x:c r="C109" s="36" t="str">
        <x:v>Transportstyrelsen</x:v>
      </x:c>
      <x:c r="D109" s="36" t="str">
        <x:v>normalization-review-passenger-250-v1-rules-20260805T184409855703Z</x:v>
      </x:c>
      <x:c r="E109" s="36" t="str">
        <x:v>staging.transportstyrelsen_raw</x:v>
      </x:c>
      <x:c r="F109" s="36" t="n">
        <x:v>2829</x:v>
      </x:c>
      <x:c r="G109" s="36" t="str">
        <x:v>ts-mapping-v1</x:v>
      </x:c>
      <x:c r="H109" s="36" t="str">
        <x:v>ts-review-20260805T184254528647Z</x:v>
      </x:c>
      <x:c r="I109" s="36" t="str">
        <x:v>normalization-pipeline-v4</x:v>
      </x:c>
      <x:c r="J109" s="36" t="str">
        <x:v>provisional</x:v>
      </x:c>
      <x:c r="K109" s="39" t="n">
        <x:v>0.8</x:v>
      </x:c>
      <x:c r="L109" s="36" t="str">
        <x:v>Mercedes-Benz</x:v>
      </x:c>
      <x:c r="M109" s="36" t="str">
        <x:v>C 200 4MATIC</x:v>
      </x:c>
      <x:c r="N109" s="36" t="str">
        <x:v>coupe</x:v>
      </x:c>
      <x:c r="O109" s="38" t="str">
        <x:v>["petrol","electricity"]</x:v>
      </x:c>
      <x:c r="P109" s="36"/>
      <x:c r="Q109" s="36" t="n">
        <x:v>2020</x:v>
      </x:c>
      <x:c r="R109" s="38" t="str">
        <x:v>["MFR-102","DATE-REGISTRATION-V1","DATE-PRODUCTION-MONTH-V1","UNIT-POWER-KW-V1","UNIT-DISPLACEMENT-CCM-V1","BDY-107","FUEL-001","ELEC-002"]</x:v>
      </x:c>
      <x:c r="S109" s="38" t="str">
        <x:v>["DRV-008"]</x:v>
      </x:c>
      <x:c r="T109" s="38" t="str">
        <x:v>[]</x:v>
      </x:c>
      <x:c r="U109" s="38" t="str">
        <x:v>{"market":["SE"],"power_kw":135,"manufacturer":"Mercedes-Benz","bodywork_form":"coupe","energy_sources":["petrol","electricity"],"displacement_cc":1497,"production_date":"2020-07","production_year":2020,"manufacturer_role":"vehicle_manufacturer","power_source_unit":"kw","registration_date":"2020-09-02","alias_types_present":["plate","vin","model_name"],"electrification_type":"hybrid","model_family_candidate":true,"builder_converter_names":[],"displacement_source_unit":"ccm","production_date_precision":"month","bodywork_registry_label_sv":"Kupé"}</x:v>
      </x:c>
      <x:c r="V109" s="38" t="str">
        <x:v>{"drive_type":"awd","model_family":"C 200 4MATIC"}</x:v>
      </x:c>
      <x:c r="W1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STUTTGART"},"target":"normalized","rule_ids":["MFR-102"],"sequence":5,"transformer_id":"ts.manufacturer","confidence_effect":0.2},{"after":true,"field":"model_family_candidate","before":"C 200 4MATIC","target":"normalized","rule_ids":["MODEL-CANDIDATE-V1"],"sequence":6,"transformer_id":"ts.model-family","confidence_effect":0.0},{"after":"C 200 4MATIC","field":"model_family","before":"C 200 4MATIC","target":"candidate","rule_ids":["MODEL-CANDIDATE-V1"],"sequence":7,"transformer_id":"ts.model-family","confidence_effect":0.05},{"after":"2020-07","field":"production_date","before":{"build_month":"202007","vehicle_year":2020,"registration_date":"20200902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20200902"},"target":"normalized","rule_ids":["DATE-REGISTRATION-V1","DATE-PRODUCTION-MONTH-V1"],"sequence":9,"transformer_id":"ts.dates","confidence_effect":0.1},{"after":2020,"field":"production_year","before":{"build_month":"202007","vehicle_year":2020,"registration_date":"20200902"},"target":"normalized","rule_ids":["DATE-REGISTRATION-V1","DATE-PRODUCTION-MONTH-V1"],"sequence":10,"transformer_id":"ts.dates","confidence_effect":0.1},{"after":"2020-09-02","field":"registration_date","before":{"build_month":"202007","vehicle_year":2020,"registration_date":"20200902"},"target":"normalized","rule_ids":["DATE-REGISTRATION-V1","DATE-PRODUCTION-MONTH-V1"],"sequence":11,"transformer_id":"ts.dates","confidence_effect":0.1},{"after":1497,"field":"displacement_cc","before":{"kw":135,"ccm":1497},"target":"normalized","rule_ids":["UNIT-POWER-KW-V1","UNIT-DISPLACEMENT-CCM-V1"],"sequence":12,"transformer_id":"ts.engine-measurements","confidence_effect":0.1},{"after":"ccm","field":"displacement_source_unit","before":{"kw":135,"ccm":1497},"target":"normalized","rule_ids":["UNIT-POWER-KW-V1","UNIT-DISPLACEMENT-CCM-V1"],"sequence":13,"transformer_id":"ts.engine-measurements","confidence_effect":0.1},{"after":135,"field":"power_kw","before":{"kw":135,"ccm":1497},"target":"normalized","rule_ids":["UNIT-POWER-KW-V1","UNIT-DISPLACEMENT-CCM-V1"],"sequence":14,"transformer_id":"ts.engine-measurements","confidence_effect":0.1},{"after":"kw","field":"power_source_unit","before":{"kw":135,"ccm":1497},"target":"normalized","rule_ids":["UNIT-POWER-KW-V1","UNIT-DISPLACEMENT-CCM-V1"],"sequence":15,"transformer_id":"ts.engine-measurements","confidence_effect":0.1},{"after":"coupe","field":"bodywork_form","before":{"model":"C 200 4MATIC","variant":"R377T1","version":"CLAA040A","body_code":"AD","eu_category":"M1","vehicle_type":"PB"},"target":"normalized","rule_ids":["BDY-107"],"sequence":16,"transformer_id":"ts.bodywork","confidence_effect":0.1},{"after":"Kupé","field":"bodywork_registry_label_sv","before":{"model":"C 200 4MATIC","variant":"R377T1","version":"CLAA040A","body_code":"AD","eu_category":"M1","vehicle_type":"PB"},"target":"normalized","rule_ids":["BDY-107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1","fuel2":"0","fuel3":"0","model":"C 200 4MATIC","variant":"R377T1","version":"CLAA040A","ev_config":"ELHYBRID"},"target":"normalized","rule_ids":["FUEL-001","ELEC-002"],"sequence":19,"transformer_id":"ts.fuel","confidence_effect":0.0},{"after":["petrol","electricity"],"field":"energy_sources","before":{"fuel1":"1","fuel2":"0","fuel3":"0","model":"C 200 4MATIC","variant":"R377T1","version":"CLAA040A","ev_config":"ELHYBRID"},"target":"normalized","rule_ids":["FUEL-001","ELEC-002"],"sequence":20,"transformer_id":"ts.fuel","confidence_effect":0.0}]</x:v>
      </x:c>
      <x:c r="X109" s="38" t="str">
        <x:v>[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09" s="38" t="str">
        <x:v>{"candidates":{"drive_type":"awd","model_family":"C 200 4MATIC"},"confidence":0.8,"normalized":{"market":["SE"],"power_kw":135,"manufacturer":"Mercedes-Benz","bodywork_form":"coupe","energy_sources":["petrol","electricity"],"displacement_cc":1497,"production_date":"2020-07","production_year":2020,"manufacturer_role":"vehicle_manufacturer","power_source_unit":"kw","registration_date":"2020-09-02","alias_types_present":["plate","vin","model_name"],"electrification_type":"hybrid","model_family_candidate":true,"builder_converter_names":[],"displacement_source_unit":"ccm","production_date_precision":"month","bodywork_registry_label_sv":"Kupé"},"rule_matches":[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STUTTGART"},"target":"normalized","rule_ids":["MFR-102"],"sequence":5,"transformer_id":"ts.manufacturer","confidence_effect":0.2},{"after":true,"field":"model_family_candidate","before":"C 200 4MATIC","target":"normalized","rule_ids":["MODEL-CANDIDATE-V1"],"sequence":6,"transformer_id":"ts.model-family","confidence_effect":0.0},{"after":"C 200 4MATIC","field":"model_family","before":"C 200 4MATIC","target":"candidate","rule_ids":["MODEL-CANDIDATE-V1"],"sequence":7,"transformer_id":"ts.model-family","confidence_effect":0.05},{"after":"2020-07","field":"production_date","before":{"build_month":"202007","vehicle_year":2020,"registration_date":"20200902"},"target":"normalized","rule_ids":["DATE-REGISTRATION-V1","DATE-PRODUCTION-MONTH-V1"],"sequence":8,"transformer_id":"ts.dates","confidence_effect":0.1},{"after":"month","field":"production_date_precision","before":{"build_month":"202007","vehicle_year":2020,"registration_date":"20200902"},"target":"normalized","rule_ids":["DATE-REGISTRATION-V1","DATE-PRODUCTION-MONTH-V1"],"sequence":9,"transformer_id":"ts.dates","confidence_effect":0.1},{"after":2020,"field":"production_year","before":{"build_month":"202007","vehicle_year":2020,"registration_date":"20200902"},"target":"normalized","rule_ids":["DATE-REGISTRATION-V1","DATE-PRODUCTION-MONTH-V1"],"sequence":10,"transformer_id":"ts.dates","confidence_effect":0.1},{"after":"2020-09-02","field":"registration_date","before":{"build_month":"202007","vehicle_year":2020,"registration_date":"20200902"},"target":"normalized","rule_ids":["DATE-REGISTRATION-V1","DATE-PRODUCTION-MONTH-V1"],"sequence":11,"transformer_id":"ts.dates","confidence_effect":0.1},{"after":1497,"field":"displacement_cc","before":{"kw":135,"ccm":1497},"target":"normalized","rule_ids":["UNIT-POWER-KW-V1","UNIT-DISPLACEMENT-CCM-V1"],"sequence":12,"transformer_id":"ts.engine-measurements","confidence_effect":0.1},{"after":"ccm","field":"displacement_source_unit","before":{"kw":135,"ccm":1497},"target":"normalized","rule_ids":["UNIT-POWER-KW-V1","UNIT-DISPLACEMENT-CCM-V1"],"sequence":13,"transformer_id":"ts.engine-measurements","confidence_effect":0.1},{"after":135,"field":"power_kw","before":{"kw":135,"ccm":1497},"target":"normalized","rule_ids":["UNIT-POWER-KW-V1","UNIT-DISPLACEMENT-CCM-V1"],"sequence":14,"transformer_id":"ts.engine-measurements","confidence_effect":0.1},{"after":"kw","field":"power_source_unit","before":{"kw":135,"ccm":1497},"target":"normalized","rule_ids":["UNIT-POWER-KW-V1","UNIT-DISPLACEMENT-CCM-V1"],"sequence":15,"transformer_id":"ts.engine-measurements","confidence_effect":0.1},{"after":"coupe","field":"bodywork_form","before":{"model":"C 200 4MATIC","variant":"R377T1","version":"CLAA040A","body_code":"AD","eu_category":"M1","vehicle_type":"PB"},"target":"normalized","rule_ids":["BDY-107"],"sequence":16,"transformer_id":"ts.bodywork","confidence_effect":0.1},{"after":"Kupé","field":"bodywork_registry_label_sv","before":{"model":"C 200 4MATIC","variant":"R377T1","version":"CLAA040A","body_code":"AD","eu_category":"M1","vehicle_type":"PB"},"target":"normalized","rule_ids":["BDY-107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1","fuel2":"0","fuel3":"0","model":"C 200 4MATIC","variant":"R377T1","version":"CLAA040A","ev_config":"ELHYBRID"},"target":"normalized","rule_ids":["FUEL-001","ELEC-002"],"sequence":19,"transformer_id":"ts.fuel","confidence_effect":0.0},{"after":["petrol","electricity"],"field":"energy_sources","before":{"fuel1":"1","fuel2":"0","fuel3":"0","model":"C 200 4MATIC","variant":"R377T1","version":"CLAA040A","ev_config":"ELHYBRID"},"target":"normalized","rule_ids":["FUEL-001","ELEC-002"],"sequence":20,"transformer_id":"ts.fuel","confidence_effect":0.0}],"pipeline_version":"normalization-pipeline-v4","candidate_rule_ids":["DRV-008"]}</x:v>
      </x:c>
      <x:c r="Z109" s="36" t="n">
        <x:v>46239.78067015046</x:v>
      </x:c>
      <x:c r="AA109" s="36" t="n">
        <x:v>46239.78067015046</x:v>
      </x:c>
    </x:row>
    <x:row r="110" ht="18" customHeight="1">
      <x:c r="A110" s="36" t="n">
        <x:v>2712</x:v>
      </x:c>
      <x:c r="B110" s="36" t="str">
        <x:v>a249e888-3198-5f85-9ec4-3e3d9ec90841</x:v>
      </x:c>
      <x:c r="C110" s="36" t="str">
        <x:v>Transportstyrelsen</x:v>
      </x:c>
      <x:c r="D110" s="36" t="str">
        <x:v>normalization-review-passenger-250-v1-rules-20260805T184409855703Z</x:v>
      </x:c>
      <x:c r="E110" s="36" t="str">
        <x:v>staging.transportstyrelsen_raw</x:v>
      </x:c>
      <x:c r="F110" s="36" t="n">
        <x:v>2830</x:v>
      </x:c>
      <x:c r="G110" s="36" t="str">
        <x:v>ts-mapping-v1</x:v>
      </x:c>
      <x:c r="H110" s="36" t="str">
        <x:v>ts-review-20260805T184254528647Z</x:v>
      </x:c>
      <x:c r="I110" s="36" t="str">
        <x:v>normalization-pipeline-v4</x:v>
      </x:c>
      <x:c r="J110" s="36" t="str">
        <x:v>provisional</x:v>
      </x:c>
      <x:c r="K110" s="39" t="n">
        <x:v>0.8</x:v>
      </x:c>
      <x:c r="L110" s="36" t="str">
        <x:v>Hyundai</x:v>
      </x:c>
      <x:c r="M110" s="36" t="str">
        <x:v>KONA</x:v>
      </x:c>
      <x:c r="N110" s="36" t="str">
        <x:v>multi_purpose_vehicle</x:v>
      </x:c>
      <x:c r="O110" s="38" t="str">
        <x:v>["petrol","electricity"]</x:v>
      </x:c>
      <x:c r="P110" s="36" t="str">
        <x:v>automatic</x:v>
      </x:c>
      <x:c r="Q110" s="36" t="n">
        <x:v>2020</x:v>
      </x:c>
      <x:c r="R110" s="38" t="str">
        <x:v>["MFR-102","DATE-REGISTRATION-V1","DATE-PRODUCTION-DAY-V1","UNIT-POWER-KW-V1","UNIT-DISPLACEMENT-CCM-V1","TRN-002","BDY-113","FUEL-001","ELEC-002"]</x:v>
      </x:c>
      <x:c r="S110" s="38" t="str">
        <x:v>[]</x:v>
      </x:c>
      <x:c r="T110" s="38" t="str">
        <x:v>[]</x:v>
      </x:c>
      <x:c r="U110" s="38" t="str">
        <x:v>{"market":["SE"],"power_kw":77,"manufacturer":"Hyundai","bodywork_form":"multi_purpose_vehicle","energy_sources":["petrol","electricity"],"displacement_cc":1580,"production_date":"2020-11-26","production_year":2020,"manufacturer_role":"vehicle_manufacturer","power_source_unit":"kw","registration_date":"2021-04-22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</x:v>
      </x:c>
      <x:c r="V110" s="38" t="str">
        <x:v>{"model_family":"KONA"}</x:v>
      </x:c>
      <x:c r="W1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12,HEOLLEUNG-RO,SEOCHO-GU,SEOUL,KOREA"},"target":"normalized","rule_ids":["MFR-102"],"sequence":3,"transformer_id":"ts.manufacturer","confidence_effect":0.2},{"after":"Hyundai","field":"manufacturer","before":{"brand":"HYUNDAI","manufacturer":"HYUNDAI MOTOR COMPANY 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5,"transformer_id":"ts.manufacturer","confidence_effect":0.2},{"after":true,"field":"model_family_candidate","before":"KONA","target":"normalized","rule_ids":["MODEL-CANDIDATE-V1"],"sequence":6,"transformer_id":"ts.model-family","confidence_effect":0.0},{"after":"KONA","field":"model_family","before":"KONA","target":"candidate","rule_ids":["MODEL-CANDIDATE-V1"],"sequence":7,"transformer_id":"ts.model-family","confidence_effect":0.05},{"after":"2020-11-26","field":"production_date","before":{"build_date":"20201126","build_month":"202011","vehicle_year":2020,"registration_date":"20210422"},"target":"normalized","rule_ids":["DATE-REGISTRATION-V1","DATE-PRODUCTION-DAY-V1"],"sequence":8,"transformer_id":"ts.dates","confidence_effect":0.1},{"after":"day","field":"production_date_precision","before":{"build_date":"20201126","build_month":"202011","vehicle_year":2020,"registration_date":"20210422"},"target":"normalized","rule_ids":["DATE-REGISTRATION-V1","DATE-PRODUCTION-DAY-V1"],"sequence":9,"transformer_id":"ts.dates","confidence_effect":0.1},{"after":2020,"field":"production_year","before":{"build_date":"20201126","build_month":"202011","vehicle_year":2020,"registration_date":"20210422"},"target":"normalized","rule_ids":["DATE-REGISTRATION-V1","DATE-PRODUCTION-DAY-V1"],"sequence":10,"transformer_id":"ts.dates","confidence_effect":0.1},{"after":"2021-04-22","field":"registration_date","before":{"build_date":"20201126","build_month":"202011","vehicle_year":2020,"registration_date":"20210422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KONA","gearbox":"A","variant":"F5P31","version":"D61CY1"},"target":"normalized","rule_ids":["TRN-002"],"sequence":16,"transformer_id":"ts.transmission","confidence_effect":0.1},{"after":"multi_purpose_vehicle","field":"bodywork_form","before":{"model":"KONA","variant":"F5P31","version":"D61CY1","body_code":"AF","eu_category":"M1","vehicle_type":"PB"},"target":"normalized","rule_ids":["BDY-113"],"sequence":17,"transformer_id":"ts.bodywork","confidence_effect":0.1},{"after":"Fordon avsett för flera ändamål","field":"bodywork_registry_label_sv","before":{"model":"KONA","variant":"F5P31","version":"D61CY1","body_code":"AF","eu_category":"M1","vehicle_type":"PB"},"target":"normalized","rule_ids":["BDY-113"],"sequence":18,"transformer_id":"ts.bodywork","confidence_effect":0.1},{"after":"hybrid","field":"electrification_type","before":{"fuel1":"1","fuel2":"0","fuel3":"0","model":"KONA","variant":"F5P31","version":"D61CY1","ev_config":"ELHYBRID"},"target":"normalized","rule_ids":["FUEL-001","ELEC-002"],"sequence":19,"transformer_id":"ts.fuel","confidence_effect":0.0},{"after":["petrol","electricity"],"field":"energy_sources","before":{"fuel1":"1","fuel2":"0","fuel3":"0","model":"KONA","variant":"F5P31","version":"D61CY1","ev_config":"ELHYBRID"},"target":"normalized","rule_ids":["FUEL-001","ELEC-002"],"sequence":20,"transformer_id":"ts.fuel","confidence_effect":0.0}]</x:v>
      </x:c>
      <x:c r="X11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10" s="38" t="str">
        <x:v>{"candidates":{"model_family":"KONA"},"confidence":0.8,"normalized":{"market":["SE"],"power_kw":77,"manufacturer":"Hyundai","bodywork_form":"multi_purpose_vehicle","energy_sources":["petrol","electricity"],"displacement_cc":1580,"production_date":"2020-11-26","production_year":2020,"manufacturer_role":"vehicle_manufacturer","power_source_unit":"kw","registration_date":"2021-04-22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 12,HEOLLEUNG-RO,SEOCHO-GU,SEOUL,KOREA"},"target":"normalized","rule_ids":["MFR-102"],"sequence":3,"transformer_id":"ts.manufacturer","confidence_effect":0.2},{"after":"Hyundai","field":"manufacturer","before":{"brand":"HYUNDAI","manufacturer":"HYUNDAI MOTOR COMPANY 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 12,HEOLLEUNG-RO,SEOCHO-GU,SEOUL,KOREA"},"target":"normalized","rule_ids":["MFR-102"],"sequence":5,"transformer_id":"ts.manufacturer","confidence_effect":0.2},{"after":true,"field":"model_family_candidate","before":"KONA","target":"normalized","rule_ids":["MODEL-CANDIDATE-V1"],"sequence":6,"transformer_id":"ts.model-family","confidence_effect":0.0},{"after":"KONA","field":"model_family","before":"KONA","target":"candidate","rule_ids":["MODEL-CANDIDATE-V1"],"sequence":7,"transformer_id":"ts.model-family","confidence_effect":0.05},{"after":"2020-11-26","field":"production_date","before":{"build_date":"20201126","build_month":"202011","vehicle_year":2020,"registration_date":"20210422"},"target":"normalized","rule_ids":["DATE-REGISTRATION-V1","DATE-PRODUCTION-DAY-V1"],"sequence":8,"transformer_id":"ts.dates","confidence_effect":0.1},{"after":"day","field":"production_date_precision","before":{"build_date":"20201126","build_month":"202011","vehicle_year":2020,"registration_date":"20210422"},"target":"normalized","rule_ids":["DATE-REGISTRATION-V1","DATE-PRODUCTION-DAY-V1"],"sequence":9,"transformer_id":"ts.dates","confidence_effect":0.1},{"after":2020,"field":"production_year","before":{"build_date":"20201126","build_month":"202011","vehicle_year":2020,"registration_date":"20210422"},"target":"normalized","rule_ids":["DATE-REGISTRATION-V1","DATE-PRODUCTION-DAY-V1"],"sequence":10,"transformer_id":"ts.dates","confidence_effect":0.1},{"after":"2021-04-22","field":"registration_date","before":{"build_date":"20201126","build_month":"202011","vehicle_year":2020,"registration_date":"20210422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KONA","gearbox":"A","variant":"F5P31","version":"D61CY1"},"target":"normalized","rule_ids":["TRN-002"],"sequence":16,"transformer_id":"ts.transmission","confidence_effect":0.1},{"after":"multi_purpose_vehicle","field":"bodywork_form","before":{"model":"KONA","variant":"F5P31","version":"D61CY1","body_code":"AF","eu_category":"M1","vehicle_type":"PB"},"target":"normalized","rule_ids":["BDY-113"],"sequence":17,"transformer_id":"ts.bodywork","confidence_effect":0.1},{"after":"Fordon avsett för flera ändamål","field":"bodywork_registry_label_sv","before":{"model":"KONA","variant":"F5P31","version":"D61CY1","body_code":"AF","eu_category":"M1","vehicle_type":"PB"},"target":"normalized","rule_ids":["BDY-113"],"sequence":18,"transformer_id":"ts.bodywork","confidence_effect":0.1},{"after":"hybrid","field":"electrification_type","before":{"fuel1":"1","fuel2":"0","fuel3":"0","model":"KONA","variant":"F5P31","version":"D61CY1","ev_config":"ELHYBRID"},"target":"normalized","rule_ids":["FUEL-001","ELEC-002"],"sequence":19,"transformer_id":"ts.fuel","confidence_effect":0.0},{"after":["petrol","electricity"],"field":"energy_sources","before":{"fuel1":"1","fuel2":"0","fuel3":"0","model":"KONA","variant":"F5P31","version":"D61CY1","ev_config":"ELHYBRID"},"target":"normalized","rule_ids":["FUEL-001","ELEC-002"],"sequence":20,"transformer_id":"ts.fuel","confidence_effect":0.0}],"pipeline_version":"normalization-pipeline-v4","candidate_rule_ids":[]}</x:v>
      </x:c>
      <x:c r="Z110" s="36" t="n">
        <x:v>46239.78067015046</x:v>
      </x:c>
      <x:c r="AA110" s="36" t="n">
        <x:v>46239.78067015046</x:v>
      </x:c>
    </x:row>
    <x:row r="111" ht="18" customHeight="1">
      <x:c r="A111" s="36" t="n">
        <x:v>2713</x:v>
      </x:c>
      <x:c r="B111" s="36" t="str">
        <x:v>7f124a6f-a32d-5a5c-92b0-90e5c57ab7ee</x:v>
      </x:c>
      <x:c r="C111" s="36" t="str">
        <x:v>Transportstyrelsen</x:v>
      </x:c>
      <x:c r="D111" s="36" t="str">
        <x:v>normalization-review-passenger-250-v1-rules-20260805T184409855703Z</x:v>
      </x:c>
      <x:c r="E111" s="36" t="str">
        <x:v>staging.transportstyrelsen_raw</x:v>
      </x:c>
      <x:c r="F111" s="36" t="n">
        <x:v>2831</x:v>
      </x:c>
      <x:c r="G111" s="36" t="str">
        <x:v>ts-mapping-v1</x:v>
      </x:c>
      <x:c r="H111" s="36" t="str">
        <x:v>ts-review-20260805T184254528647Z</x:v>
      </x:c>
      <x:c r="I111" s="36" t="str">
        <x:v>normalization-pipeline-v4</x:v>
      </x:c>
      <x:c r="J111" s="36" t="str">
        <x:v>provisional</x:v>
      </x:c>
      <x:c r="K111" s="39" t="n">
        <x:v>0.8</x:v>
      </x:c>
      <x:c r="L111" s="36" t="str">
        <x:v>Volvo</x:v>
      </x:c>
      <x:c r="M111" s="36" t="str">
        <x:v>XC60</x:v>
      </x:c>
      <x:c r="N111" s="36" t="str">
        <x:v>estate</x:v>
      </x:c>
      <x:c r="O111" s="38" t="str">
        <x:v>["diesel"]</x:v>
      </x:c>
      <x:c r="P111" s="36" t="str">
        <x:v>automatic</x:v>
      </x:c>
      <x:c r="Q111" s="36" t="n">
        <x:v>2013</x:v>
      </x:c>
      <x:c r="R111" s="38" t="str">
        <x:v>["MFR-BRAND-CONFIRMED","MFR-BRAND-MODEL","MFR-BRAND-VIN-WMI","DATE-REGISTRATION-V1","DATE-PRODUCTION-MONTH-V1","UNIT-POWER-KW-V1","UNIT-DISPLACEMENT-CCM-V1","TRN-002","BDY-110","FUEL-002"]</x:v>
      </x:c>
      <x:c r="S111" s="38" t="str">
        <x:v>[]</x:v>
      </x:c>
      <x:c r="T111" s="38" t="str">
        <x:v>[]</x:v>
      </x:c>
      <x:c r="U111" s="38" t="str">
        <x:v>{"market":["SE"],"power_kw":120,"manufacturer":"Volvo","bodywork_form":"estate","energy_sources":["diesel"],"displacement_cc":1984,"production_date":"2013-09","production_year":2013,"manufacturer_role":"vehicle_manufacturer","power_source_unit":"kw","registration_date":"2013-09-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11" s="38" t="str">
        <x:v>{"model_family":"XC60"}</x:v>
      </x:c>
      <x:c r="W1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-09","field":"production_date","before":{"build_month":"201309","vehicle_year":2013,"registration_date":"20130927"},"target":"normalized","rule_ids":["DATE-REGISTRATION-V1","DATE-PRODUCTION-MONTH-V1"],"sequence":8,"transformer_id":"ts.dates","confidence_effect":0.1},{"after":"month","field":"production_date_precision","before":{"build_month":"201309","vehicle_year":2013,"registration_date":"20130927"},"target":"normalized","rule_ids":["DATE-REGISTRATION-V1","DATE-PRODUCTION-MONTH-V1"],"sequence":9,"transformer_id":"ts.dates","confidence_effect":0.1},{"after":2013,"field":"production_year","before":{"build_month":"201309","vehicle_year":2013,"registration_date":"20130927"},"target":"normalized","rule_ids":["DATE-REGISTRATION-V1","DATE-PRODUCTION-MONTH-V1"],"sequence":10,"transformer_id":"ts.dates","confidence_effect":0.1},{"after":"2013-09-27","field":"registration_date","before":{"build_month":"201309","vehicle_year":2013,"registration_date":"20130927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XC60","gearbox":"A","variant":"DZ88","version":"DZ8850??"},"target":"normalized","rule_ids":["TRN-002"],"sequence":16,"transformer_id":"ts.transmission","confidence_effect":0.1},{"after":"estate","field":"bodywork_form","before":{"model":"XC60","variant":"DZ88","version":"DZ8850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88","version":"DZ8850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88","version":"DZ8850??"},"target":"normalized","rule_ids":["FUEL-002"],"sequence":19,"transformer_id":"ts.fuel","confidence_effect":0.0}]</x:v>
      </x:c>
      <x:c r="X1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1" s="38" t="str">
        <x:v>{"candidates":{"model_family":"XC60"},"confidence":0.8,"normalized":{"market":["SE"],"power_kw":120,"manufacturer":"Volvo","bodywork_form":"estate","energy_sources":["diesel"],"displacement_cc":1984,"production_date":"2013-09","production_year":2013,"manufacturer_role":"vehicle_manufacturer","power_source_unit":"kw","registration_date":"2013-09-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-09","field":"production_date","before":{"build_month":"201309","vehicle_year":2013,"registration_date":"20130927"},"target":"normalized","rule_ids":["DATE-REGISTRATION-V1","DATE-PRODUCTION-MONTH-V1"],"sequence":8,"transformer_id":"ts.dates","confidence_effect":0.1},{"after":"month","field":"production_date_precision","before":{"build_month":"201309","vehicle_year":2013,"registration_date":"20130927"},"target":"normalized","rule_ids":["DATE-REGISTRATION-V1","DATE-PRODUCTION-MONTH-V1"],"sequence":9,"transformer_id":"ts.dates","confidence_effect":0.1},{"after":2013,"field":"production_year","before":{"build_month":"201309","vehicle_year":2013,"registration_date":"20130927"},"target":"normalized","rule_ids":["DATE-REGISTRATION-V1","DATE-PRODUCTION-MONTH-V1"],"sequence":10,"transformer_id":"ts.dates","confidence_effect":0.1},{"after":"2013-09-27","field":"registration_date","before":{"build_month":"201309","vehicle_year":2013,"registration_date":"20130927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XC60","gearbox":"A","variant":"DZ88","version":"DZ8850??"},"target":"normalized","rule_ids":["TRN-002"],"sequence":16,"transformer_id":"ts.transmission","confidence_effect":0.1},{"after":"estate","field":"bodywork_form","before":{"model":"XC60","variant":"DZ88","version":"DZ8850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88","version":"DZ8850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88","version":"DZ8850??"},"target":"normalized","rule_ids":["FUEL-002"],"sequence":19,"transformer_id":"ts.fuel","confidence_effect":0.0}],"pipeline_version":"normalization-pipeline-v4","candidate_rule_ids":[]}</x:v>
      </x:c>
      <x:c r="Z111" s="36" t="n">
        <x:v>46239.78067015046</x:v>
      </x:c>
      <x:c r="AA111" s="36" t="n">
        <x:v>46239.78067015046</x:v>
      </x:c>
    </x:row>
    <x:row r="112" ht="18" customHeight="1">
      <x:c r="A112" s="36" t="n">
        <x:v>2714</x:v>
      </x:c>
      <x:c r="B112" s="36" t="str">
        <x:v>ed40a676-a762-50f1-a855-ebabf62c5ffd</x:v>
      </x:c>
      <x:c r="C112" s="36" t="str">
        <x:v>Transportstyrelsen</x:v>
      </x:c>
      <x:c r="D112" s="36" t="str">
        <x:v>normalization-review-passenger-250-v1-rules-20260805T184409855703Z</x:v>
      </x:c>
      <x:c r="E112" s="36" t="str">
        <x:v>staging.transportstyrelsen_raw</x:v>
      </x:c>
      <x:c r="F112" s="36" t="n">
        <x:v>2832</x:v>
      </x:c>
      <x:c r="G112" s="36" t="str">
        <x:v>ts-mapping-v1</x:v>
      </x:c>
      <x:c r="H112" s="36" t="str">
        <x:v>ts-review-20260805T184254528647Z</x:v>
      </x:c>
      <x:c r="I112" s="36" t="str">
        <x:v>normalization-pipeline-v4</x:v>
      </x:c>
      <x:c r="J112" s="36" t="str">
        <x:v>provisional</x:v>
      </x:c>
      <x:c r="K112" s="39" t="n">
        <x:v>0.8</x:v>
      </x:c>
      <x:c r="L112" s="36" t="str">
        <x:v>BMW</x:v>
      </x:c>
      <x:c r="M112" s="36" t="str">
        <x:v>320D</x:v>
      </x:c>
      <x:c r="N112" s="36" t="str">
        <x:v>sedan</x:v>
      </x:c>
      <x:c r="O112" s="38" t="str">
        <x:v>["diesel"]</x:v>
      </x:c>
      <x:c r="P112" s="36" t="str">
        <x:v>automatic</x:v>
      </x:c>
      <x:c r="Q112" s="36" t="n">
        <x:v>2013</x:v>
      </x:c>
      <x:c r="R112" s="38" t="str">
        <x:v>["MFR-BRAND-CONFIRMED","MFR-BRAND-VIN-WMI","DATE-REGISTRATION-V1","DATE-PRODUCTION-MONTH-V1","UNIT-POWER-KW-V1","UNIT-DISPLACEMENT-CCM-V1","TRN-002","BDY-101","FUEL-002"]</x:v>
      </x:c>
      <x:c r="S112" s="38" t="str">
        <x:v>[]</x:v>
      </x:c>
      <x:c r="T112" s="38" t="str">
        <x:v>[]</x:v>
      </x:c>
      <x:c r="U112" s="38" t="str">
        <x:v>{"market":["SE"],"power_kw":135,"manufacturer":"BMW","bodywork_form":"sedan","energy_sources":["diesel"],"displacement_cc":1995,"production_date":"2013-12","production_year":2013,"manufacturer_role":"vehicle_manufacturer","power_source_unit":"kw","registration_date":"2014-03-12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112" s="38" t="str">
        <x:v>{"model_family":"320D"}</x:v>
      </x:c>
      <x:c r="W1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","target":"normalized","rule_ids":["MODEL-CANDIDATE-V1"],"sequence":6,"transformer_id":"ts.model-family","confidence_effect":0.0},{"after":"320D","field":"model_family","before":"320D","target":"candidate","rule_ids":["MODEL-CANDIDATE-V1"],"sequence":7,"transformer_id":"ts.model-family","confidence_effect":0.05},{"after":"2013-12","field":"production_date","before":{"build_month":"201312","vehicle_year":2013,"registration_date":"20140312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20140312"},"target":"normalized","rule_ids":["DATE-REGISTRATION-V1","DATE-PRODUCTION-MONTH-V1"],"sequence":9,"transformer_id":"ts.dates","confidence_effect":0.1},{"after":2013,"field":"production_year","before":{"build_month":"201312","vehicle_year":2013,"registration_date":"20140312"},"target":"normalized","rule_ids":["DATE-REGISTRATION-V1","DATE-PRODUCTION-MONTH-V1"],"sequence":10,"transformer_id":"ts.dates","confidence_effect":0.1},{"after":"2014-03-12","field":"registration_date","before":{"build_month":"201312","vehicle_year":2013,"registration_date":"20140312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","gearbox":"A","variant":"3Y31","version":"6A250000"},"target":"normalized","rule_ids":["TRN-002"],"sequence":16,"transformer_id":"ts.transmission","confidence_effect":0.1},{"after":"sedan","field":"bodywork_form","before":{"model":"320D","variant":"3Y31","version":"6A250000","body_code":"AA","eu_category":"M1","vehicle_type":"PB"},"target":"normalized","rule_ids":["BDY-101"],"sequence":17,"transformer_id":"ts.bodywork","confidence_effect":0.1},{"after":"Sedan","field":"bodywork_registry_label_sv","before":{"model":"320D","variant":"3Y31","version":"6A250000","body_code":"AA","eu_category":"M1","vehicle_type":"PB"},"target":"normalized","rule_ids":["BDY-101"],"sequence":18,"transformer_id":"ts.bodywork","confidence_effect":0.1},{"after":["diesel"],"field":"energy_sources","before":{"fuel1":"2","fuel2":"0","fuel3":"0","model":"320D","variant":"3Y31","version":"6A250000"},"target":"normalized","rule_ids":["FUEL-002"],"sequence":19,"transformer_id":"ts.fuel","confidence_effect":0.0}]</x:v>
      </x:c>
      <x:c r="X11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2" s="38" t="str">
        <x:v>{"candidates":{"model_family":"320D"},"confidence":0.8,"normalized":{"market":["SE"],"power_kw":135,"manufacturer":"BMW","bodywork_form":"sedan","energy_sources":["diesel"],"displacement_cc":1995,"production_date":"2013-12","production_year":2013,"manufacturer_role":"vehicle_manufacturer","power_source_unit":"kw","registration_date":"2014-03-12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","target":"normalized","rule_ids":["MODEL-CANDIDATE-V1"],"sequence":6,"transformer_id":"ts.model-family","confidence_effect":0.0},{"after":"320D","field":"model_family","before":"320D","target":"candidate","rule_ids":["MODEL-CANDIDATE-V1"],"sequence":7,"transformer_id":"ts.model-family","confidence_effect":0.05},{"after":"2013-12","field":"production_date","before":{"build_month":"201312","vehicle_year":2013,"registration_date":"20140312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20140312"},"target":"normalized","rule_ids":["DATE-REGISTRATION-V1","DATE-PRODUCTION-MONTH-V1"],"sequence":9,"transformer_id":"ts.dates","confidence_effect":0.1},{"after":2013,"field":"production_year","before":{"build_month":"201312","vehicle_year":2013,"registration_date":"20140312"},"target":"normalized","rule_ids":["DATE-REGISTRATION-V1","DATE-PRODUCTION-MONTH-V1"],"sequence":10,"transformer_id":"ts.dates","confidence_effect":0.1},{"after":"2014-03-12","field":"registration_date","before":{"build_month":"201312","vehicle_year":2013,"registration_date":"20140312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","gearbox":"A","variant":"3Y31","version":"6A250000"},"target":"normalized","rule_ids":["TRN-002"],"sequence":16,"transformer_id":"ts.transmission","confidence_effect":0.1},{"after":"sedan","field":"bodywork_form","before":{"model":"320D","variant":"3Y31","version":"6A250000","body_code":"AA","eu_category":"M1","vehicle_type":"PB"},"target":"normalized","rule_ids":["BDY-101"],"sequence":17,"transformer_id":"ts.bodywork","confidence_effect":0.1},{"after":"Sedan","field":"bodywork_registry_label_sv","before":{"model":"320D","variant":"3Y31","version":"6A250000","body_code":"AA","eu_category":"M1","vehicle_type":"PB"},"target":"normalized","rule_ids":["BDY-101"],"sequence":18,"transformer_id":"ts.bodywork","confidence_effect":0.1},{"after":["diesel"],"field":"energy_sources","before":{"fuel1":"2","fuel2":"0","fuel3":"0","model":"320D","variant":"3Y31","version":"6A250000"},"target":"normalized","rule_ids":["FUEL-002"],"sequence":19,"transformer_id":"ts.fuel","confidence_effect":0.0}],"pipeline_version":"normalization-pipeline-v4","candidate_rule_ids":[]}</x:v>
      </x:c>
      <x:c r="Z112" s="36" t="n">
        <x:v>46239.78067015046</x:v>
      </x:c>
      <x:c r="AA112" s="36" t="n">
        <x:v>46239.78067015046</x:v>
      </x:c>
    </x:row>
    <x:row r="113" ht="18" customHeight="1">
      <x:c r="A113" s="36" t="n">
        <x:v>2715</x:v>
      </x:c>
      <x:c r="B113" s="36" t="str">
        <x:v>5bdd5af7-84ef-5066-9c0f-fa1660a05a54</x:v>
      </x:c>
      <x:c r="C113" s="36" t="str">
        <x:v>Transportstyrelsen</x:v>
      </x:c>
      <x:c r="D113" s="36" t="str">
        <x:v>normalization-review-passenger-250-v1-rules-20260805T184409855703Z</x:v>
      </x:c>
      <x:c r="E113" s="36" t="str">
        <x:v>staging.transportstyrelsen_raw</x:v>
      </x:c>
      <x:c r="F113" s="36" t="n">
        <x:v>2833</x:v>
      </x:c>
      <x:c r="G113" s="36" t="str">
        <x:v>ts-mapping-v1</x:v>
      </x:c>
      <x:c r="H113" s="36" t="str">
        <x:v>ts-review-20260805T184254528647Z</x:v>
      </x:c>
      <x:c r="I113" s="36" t="str">
        <x:v>normalization-pipeline-v4</x:v>
      </x:c>
      <x:c r="J113" s="36" t="str">
        <x:v>provisional</x:v>
      </x:c>
      <x:c r="K113" s="39" t="n">
        <x:v>0.8</x:v>
      </x:c>
      <x:c r="L113" s="36" t="str">
        <x:v>Audi</x:v>
      </x:c>
      <x:c r="M113" s="36" t="str">
        <x:v>A4 LIMOUSINE</x:v>
      </x:c>
      <x:c r="N113" s="36" t="str">
        <x:v>sedan</x:v>
      </x:c>
      <x:c r="O113" s="38" t="str">
        <x:v>["petrol","electricity"]</x:v>
      </x:c>
      <x:c r="P113" s="36" t="str">
        <x:v>automatic</x:v>
      </x:c>
      <x:c r="Q113" s="36" t="n">
        <x:v>2021</x:v>
      </x:c>
      <x:c r="R113" s="38" t="str">
        <x:v>["MFR-102","DATE-REGISTRATION-V1","DATE-PRODUCTION-DAY-V1","UNIT-POWER-KW-V1","UNIT-DISPLACEMENT-CCM-V1","TRN-002","BDY-101","BDY-006","FUEL-001","ELEC-002"]</x:v>
      </x:c>
      <x:c r="S113" s="38" t="str">
        <x:v>["DRV-008"]</x:v>
      </x:c>
      <x:c r="T113" s="38" t="str">
        <x:v>[]</x:v>
      </x:c>
      <x:c r="U113" s="38" t="str">
        <x:v>{"market":["SE"],"power_kw":150,"manufacturer":"Audi","bodywork_form":"sedan","energy_sources":["petrol","electricity"],"displacement_cc":1984,"production_date":"2021-05-07","production_year":2021,"manufacturer_role":"vehicle_manufacturer","power_source_unit":"kw","registration_date":"2021-06-14","transmission_type":"automatic","alias_types_present":["plate","vin","model_name"],"electrification_type":"hybrid","model_family_candidate":true,"builder_converter_names":[],"displacement_source_unit":"ccm","production_date_precision":"day","bodywork_registry_label_sv":"Sedan"}</x:v>
      </x:c>
      <x:c r="V113" s="38" t="str">
        <x:v>{"drive_type":"awd","model_family":"A4 LIMOUSINE"}</x:v>
      </x:c>
      <x:c r="W1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AG"},"target":"normalized","rule_ids":["MFR-102"],"sequence":5,"transformer_id":"ts.manufacturer","confidence_effect":0.2},{"after":true,"field":"model_family_candidate","before":"A4 LIMOUSINE","target":"normalized","rule_ids":["MODEL-CANDIDATE-V1"],"sequence":6,"transformer_id":"ts.model-family","confidence_effect":0.0},{"after":"A4 LIMOUSINE","field":"model_family","before":"A4 LIMOUSINE","target":"candidate","rule_ids":["MODEL-CANDIDATE-V1"],"sequence":7,"transformer_id":"ts.model-family","confidence_effect":0.05},{"after":"2021-05-07","field":"production_date","before":{"build_date":"20210507","build_month":"202105","vehicle_year":2021,"registration_date":"20210614"},"target":"normalized","rule_ids":["DATE-REGISTRATION-V1","DATE-PRODUCTION-DAY-V1"],"sequence":8,"transformer_id":"ts.dates","confidence_effect":0.1},{"after":"day","field":"production_date_precision","before":{"build_date":"20210507","build_month":"202105","vehicle_year":2021,"registration_date":"20210614"},"target":"normalized","rule_ids":["DATE-REGISTRATION-V1","DATE-PRODUCTION-DAY-V1"],"sequence":9,"transformer_id":"ts.dates","confidence_effect":0.1},{"after":2021,"field":"production_year","before":{"build_date":"20210507","build_month":"202105","vehicle_year":2021,"registration_date":"20210614"},"target":"normalized","rule_ids":["DATE-REGISTRATION-V1","DATE-PRODUCTION-DAY-V1"],"sequence":10,"transformer_id":"ts.dates","confidence_effect":0.1},{"after":"2021-06-14","field":"registration_date","before":{"build_date":"20210507","build_month":"202105","vehicle_year":2021,"registration_date":"20210614"},"target":"normalized","rule_ids":["DATE-REGISTRATION-V1","DATE-PRODUCTION-DAY-V1"],"sequence":11,"transformer_id":"ts.dates","confidence_effect":0.1},{"after":1984,"field":"displacement_cc","before":{"kw":150,"ccm":1984},"target":"normalized","rule_ids":["UNIT-POWER-KW-V1","UNIT-DISPLACEMENT-CCM-V1"],"sequence":12,"transformer_id":"ts.engine-measurements","confidence_effect":0.1},{"after":"ccm","field":"displacement_source_unit","before":{"kw":150,"ccm":1984},"target":"normalized","rule_ids":["UNIT-POWER-KW-V1","UNIT-DISPLACEMENT-CCM-V1"],"sequence":13,"transformer_id":"ts.engine-measurements","confidence_effect":0.1},{"after":150,"field":"power_kw","before":{"kw":150,"ccm":1984},"target":"normalized","rule_ids":["UNIT-POWER-KW-V1","UNIT-DISPLACEMENT-CCM-V1"],"sequence":14,"transformer_id":"ts.engine-measurements","confidence_effect":0.1},{"after":"kw","field":"power_source_unit","before":{"kw":150,"ccm":1984},"target":"normalized","rule_ids":["UNIT-POWER-KW-V1","UNIT-DISPLACEMENT-CCM-V1"],"sequence":15,"transformer_id":"ts.engine-measurements","confidence_effect":0.1},{"after":"automatic","field":"transmission_type","before":{"model":"A4 LIMOUSINE","gearbox":"A","variant":"L2DMSAQ1","version":"QD7AD7CJ004RT011B18S54BIAEM1CB1"},"target":"normalized","rule_ids":["TRN-002"],"sequence":16,"transformer_id":"ts.transmission","confidence_effect":0.1},{"after":"sedan","field":"bodywork_form","before":{"model":"A4 LIMOUSINE","variant":"L2DMSAQ1","version":"QD7AD7CJ004RT011B18S54BIAEM1CB1","body_code":"AA","eu_category":"M1","vehicle_type":"PB"},"target":"normalized","rule_ids":["BDY-101","BDY-006"],"sequence":17,"transformer_id":"ts.bodywork","confidence_effect":0.1},{"after":"Sedan","field":"bodywork_registry_label_sv","before":{"model":"A4 LIMOUSINE","variant":"L2DMSAQ1","version":"QD7AD7CJ004RT011B18S54BIAEM1CB1","body_code":"AA","eu_category":"M1","vehicle_type":"PB"},"target":"normalized","rule_ids":["BDY-101","BDY-006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4 LIMOUSINE","variant":"L2DMSAQ1","version":"QD7AD7CJ004RT011B18S54BIAEM1CB1","ev_config":"ELHYBRID"},"target":"normalized","rule_ids":["FUEL-001","ELEC-002"],"sequence":20,"transformer_id":"ts.fuel","confidence_effect":0.0},{"after":["petrol","electricity"],"field":"energy_sources","before":{"fuel1":"1","fuel2":"0","fuel3":"0","model":"A4 LIMOUSINE","variant":"L2DMSAQ1","version":"QD7AD7CJ004RT011B18S54BIAEM1CB1","ev_config":"ELHYBRID"},"target":"normalized","rule_ids":["FUEL-001","ELEC-002"],"sequence":21,"transformer_id":"ts.fuel","confidence_effect":0.0}]</x:v>
      </x:c>
      <x:c r="X113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BDY-006","decision":"accepted","source_term":"Limousine","source_field":"model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13" s="38" t="str">
        <x:v>{"candidates":{"drive_type":"awd","model_family":"A4 LIMOUSINE"},"confidence":0.8,"normalized":{"market":["SE"],"power_kw":150,"manufacturer":"Audi","bodywork_form":"sedan","energy_sources":["petrol","electricity"],"displacement_cc":1984,"production_date":"2021-05-07","production_year":2021,"manufacturer_role":"vehicle_manufacturer","power_source_unit":"kw","registration_date":"2021-06-14","transmission_type":"automatic","alias_types_present":["plate","vin","model_name"],"electrification_type":"hybrid","model_family_candidate":true,"builder_converter_names":[],"displacement_source_unit":"ccm"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BDY-006","decision":"accepted","source_term":"Limousine","source_field":"model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AG"},"target":"normalized","rule_ids":["MFR-102"],"sequence":5,"transformer_id":"ts.manufacturer","confidence_effect":0.2},{"after":true,"field":"model_family_candidate","before":"A4 LIMOUSINE","target":"normalized","rule_ids":["MODEL-CANDIDATE-V1"],"sequence":6,"transformer_id":"ts.model-family","confidence_effect":0.0},{"after":"A4 LIMOUSINE","field":"model_family","before":"A4 LIMOUSINE","target":"candidate","rule_ids":["MODEL-CANDIDATE-V1"],"sequence":7,"transformer_id":"ts.model-family","confidence_effect":0.05},{"after":"2021-05-07","field":"production_date","before":{"build_date":"20210507","build_month":"202105","vehicle_year":2021,"registration_date":"20210614"},"target":"normalized","rule_ids":["DATE-REGISTRATION-V1","DATE-PRODUCTION-DAY-V1"],"sequence":8,"transformer_id":"ts.dates","confidence_effect":0.1},{"after":"day","field":"production_date_precision","before":{"build_date":"20210507","build_month":"202105","vehicle_year":2021,"registration_date":"20210614"},"target":"normalized","rule_ids":["DATE-REGISTRATION-V1","DATE-PRODUCTION-DAY-V1"],"sequence":9,"transformer_id":"ts.dates","confidence_effect":0.1},{"after":2021,"field":"production_year","before":{"build_date":"20210507","build_month":"202105","vehicle_year":2021,"registration_date":"20210614"},"target":"normalized","rule_ids":["DATE-REGISTRATION-V1","DATE-PRODUCTION-DAY-V1"],"sequence":10,"transformer_id":"ts.dates","confidence_effect":0.1},{"after":"2021-06-14","field":"registration_date","before":{"build_date":"20210507","build_month":"202105","vehicle_year":2021,"registration_date":"20210614"},"target":"normalized","rule_ids":["DATE-REGISTRATION-V1","DATE-PRODUCTION-DAY-V1"],"sequence":11,"transformer_id":"ts.dates","confidence_effect":0.1},{"after":1984,"field":"displacement_cc","before":{"kw":150,"ccm":1984},"target":"normalized","rule_ids":["UNIT-POWER-KW-V1","UNIT-DISPLACEMENT-CCM-V1"],"sequence":12,"transformer_id":"ts.engine-measurements","confidence_effect":0.1},{"after":"ccm","field":"displacement_source_unit","before":{"kw":150,"ccm":1984},"target":"normalized","rule_ids":["UNIT-POWER-KW-V1","UNIT-DISPLACEMENT-CCM-V1"],"sequence":13,"transformer_id":"ts.engine-measurements","confidence_effect":0.1},{"after":150,"field":"power_kw","before":{"kw":150,"ccm":1984},"target":"normalized","rule_ids":["UNIT-POWER-KW-V1","UNIT-DISPLACEMENT-CCM-V1"],"sequence":14,"transformer_id":"ts.engine-measurements","confidence_effect":0.1},{"after":"kw","field":"power_source_unit","before":{"kw":150,"ccm":1984},"target":"normalized","rule_ids":["UNIT-POWER-KW-V1","UNIT-DISPLACEMENT-CCM-V1"],"sequence":15,"transformer_id":"ts.engine-measurements","confidence_effect":0.1},{"after":"automatic","field":"transmission_type","before":{"model":"A4 LIMOUSINE","gearbox":"A","variant":"L2DMSAQ1","version":"QD7AD7CJ004RT011B18S54BIAEM1CB1"},"target":"normalized","rule_ids":["TRN-002"],"sequence":16,"transformer_id":"ts.transmission","confidence_effect":0.1},{"after":"sedan","field":"bodywork_form","before":{"model":"A4 LIMOUSINE","variant":"L2DMSAQ1","version":"QD7AD7CJ004RT011B18S54BIAEM1CB1","body_code":"AA","eu_category":"M1","vehicle_type":"PB"},"target":"normalized","rule_ids":["BDY-101","BDY-006"],"sequence":17,"transformer_id":"ts.bodywork","confidence_effect":0.1},{"after":"Sedan","field":"bodywork_registry_label_sv","before":{"model":"A4 LIMOUSINE","variant":"L2DMSAQ1","version":"QD7AD7CJ004RT011B18S54BIAEM1CB1","body_code":"AA","eu_category":"M1","vehicle_type":"PB"},"target":"normalized","rule_ids":["BDY-101","BDY-006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4 LIMOUSINE","variant":"L2DMSAQ1","version":"QD7AD7CJ004RT011B18S54BIAEM1CB1","ev_config":"ELHYBRID"},"target":"normalized","rule_ids":["FUEL-001","ELEC-002"],"sequence":20,"transformer_id":"ts.fuel","confidence_effect":0.0},{"after":["petrol","electricity"],"field":"energy_sources","before":{"fuel1":"1","fuel2":"0","fuel3":"0","model":"A4 LIMOUSINE","variant":"L2DMSAQ1","version":"QD7AD7CJ004RT011B18S54BIAEM1CB1","ev_config":"ELHYBRID"},"target":"normalized","rule_ids":["FUEL-001","ELEC-002"],"sequence":21,"transformer_id":"ts.fuel","confidence_effect":0.0}],"pipeline_version":"normalization-pipeline-v4","candidate_rule_ids":["DRV-008"]}</x:v>
      </x:c>
      <x:c r="Z113" s="36" t="n">
        <x:v>46239.78067015046</x:v>
      </x:c>
      <x:c r="AA113" s="36" t="n">
        <x:v>46239.78067015046</x:v>
      </x:c>
    </x:row>
    <x:row r="114" ht="18" customHeight="1">
      <x:c r="A114" s="36" t="n">
        <x:v>2716</x:v>
      </x:c>
      <x:c r="B114" s="36" t="str">
        <x:v>2a803ec4-bc71-5a69-8585-d414e451bc38</x:v>
      </x:c>
      <x:c r="C114" s="36" t="str">
        <x:v>Transportstyrelsen</x:v>
      </x:c>
      <x:c r="D114" s="36" t="str">
        <x:v>normalization-review-passenger-250-v1-rules-20260805T184409855703Z</x:v>
      </x:c>
      <x:c r="E114" s="36" t="str">
        <x:v>staging.transportstyrelsen_raw</x:v>
      </x:c>
      <x:c r="F114" s="36" t="n">
        <x:v>2834</x:v>
      </x:c>
      <x:c r="G114" s="36" t="str">
        <x:v>ts-mapping-v1</x:v>
      </x:c>
      <x:c r="H114" s="36" t="str">
        <x:v>ts-review-20260805T184254528647Z</x:v>
      </x:c>
      <x:c r="I114" s="36" t="str">
        <x:v>normalization-pipeline-v4</x:v>
      </x:c>
      <x:c r="J114" s="36" t="str">
        <x:v>provisional</x:v>
      </x:c>
      <x:c r="K114" s="39" t="n">
        <x:v>0.8</x:v>
      </x:c>
      <x:c r="L114" s="36" t="str">
        <x:v>Chevrolet</x:v>
      </x:c>
      <x:c r="M114" s="36" t="str">
        <x:v>AVEO</x:v>
      </x:c>
      <x:c r="N114" s="36" t="str">
        <x:v>hatchback</x:v>
      </x:c>
      <x:c r="O114" s="38" t="str">
        <x:v>["diesel"]</x:v>
      </x:c>
      <x:c r="P114" s="36"/>
      <x:c r="Q114" s="36" t="n">
        <x:v>2012</x:v>
      </x:c>
      <x:c r="R114" s="38" t="str">
        <x:v>["MFR-BRAND-LEGACY-EXACT","DATE-REGISTRATION-V1","DATE-PRODUCTION-MONTH-V1","UNIT-POWER-KW-V1","UNIT-DISPLACEMENT-CCM-V1","BDY-109","FUEL-002"]</x:v>
      </x:c>
      <x:c r="S114" s="38" t="str">
        <x:v>[]</x:v>
      </x:c>
      <x:c r="T114" s="38" t="str">
        <x:v>[]</x:v>
      </x:c>
      <x:c r="U114" s="38" t="str">
        <x:v>{"market":["SE"],"power_kw":70,"manufacturer":"Chevrolet","bodywork_form":"hatchback","energy_sources":["diesel"],"displacement_cc":1248,"production_date":"2012-02","production_year":2012,"manufacturer_role":"vehicle_manufacturer","power_source_unit":"kw","registration_date":"2012-02-29","alias_types_present":["plate","vin","model_name"],"model_family_candidate":true,"builder_converter_names":[],"displacement_source_unit":"ccm","production_date_precision":"month","bodywork_registry_label_sv":"Halvkombi"}</x:v>
      </x:c>
      <x:c r="V114" s="38" t="str">
        <x:v>{"model_family":"AVEO"}</x:v>
      </x:c>
      <x:c r="W1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KL1T","target":"normalized","rule_ids":["MFR-BRAND-LEGACY-EXACT"],"sequence":3,"transformer_id":"ts.manufacturer","confidence_effect":0.2},{"after":"Chevrolet","field":"manufacturer","before":"CHEVROLET KL1T","target":"normalized","rule_ids":["MFR-BRAND-LEGACY-EXACT"],"sequence":4,"transformer_id":"ts.manufacturer","confidence_effect":0.2},{"after":"vehicle_manufacturer","field":"manufacturer_role","before":"CHEVROLET KL1T","target":"normalized","rule_ids":["MFR-BRAND-LEGACY-EXACT"],"sequence":5,"transformer_id":"ts.manufacturer","confidence_effect":0.2},{"after":true,"field":"model_family_candidate","before":"AVEO","target":"normalized","rule_ids":["MODEL-CANDIDATE-V1"],"sequence":6,"transformer_id":"ts.model-family","confidence_effect":0.0},{"after":"AVEO","field":"model_family","before":"AVEO","target":"candidate","rule_ids":["MODEL-CANDIDATE-V1"],"sequence":7,"transformer_id":"ts.model-family","confidence_effect":0.05},{"after":"2012-02","field":"production_date","before":{"build_month":"201202","vehicle_year":2012,"registration_date":"20120229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20120229"},"target":"normalized","rule_ids":["DATE-REGISTRATION-V1","DATE-PRODUCTION-MONTH-V1"],"sequence":9,"transformer_id":"ts.dates","confidence_effect":0.1},{"after":2012,"field":"production_year","before":{"build_month":"201202","vehicle_year":2012,"registration_date":"20120229"},"target":"normalized","rule_ids":["DATE-REGISTRATION-V1","DATE-PRODUCTION-MONTH-V1"],"sequence":10,"transformer_id":"ts.dates","confidence_effect":0.1},{"after":"2012-02-29","field":"registration_date","before":{"build_month":"201202","vehicle_year":2012,"registration_date":"20120229"},"target":"normalized","rule_ids":["DATE-REGISTRATION-V1","DATE-PRODUCTION-MONTH-V1"],"sequence":11,"transformer_id":"ts.dates","confidence_effect":0.1},{"after":1248,"field":"displacement_cc","before":{"kw":70,"ccm":1248},"target":"normalized","rule_ids":["UNIT-POWER-KW-V1","UNIT-DISPLACEMENT-CCM-V1"],"sequence":12,"transformer_id":"ts.engine-measurements","confidence_effect":0.1},{"after":"ccm","field":"displacement_source_unit","before":{"kw":70,"ccm":1248},"target":"normalized","rule_ids":["UNIT-POWER-KW-V1","UNIT-DISPLACEMENT-CCM-V1"],"sequence":13,"transformer_id":"ts.engine-measurements","confidence_effect":0.1},{"after":70,"field":"power_kw","before":{"kw":70,"ccm":1248},"target":"normalized","rule_ids":["UNIT-POWER-KW-V1","UNIT-DISPLACEMENT-CCM-V1"],"sequence":14,"transformer_id":"ts.engine-measurements","confidence_effect":0.1},{"after":"kw","field":"power_source_unit","before":{"kw":70,"ccm":1248},"target":"normalized","rule_ids":["UNIT-POWER-KW-V1","UNIT-DISPLACEMENT-CCM-V1"],"sequence":15,"transformer_id":"ts.engine-measurements","confidence_effect":0.1},{"after":"hatchback","field":"bodywork_form","before":{"model":"AVEO","variant":"KHFE1","version":"RDG5","body_code":"AB","eu_category":"M1","vehicle_type":"PB"},"target":"normalized","rule_ids":["BDY-109"],"sequence":16,"transformer_id":"ts.bodywork","confidence_effect":0.1},{"after":"Halvkombi","field":"bodywork_registry_label_sv","before":{"model":"AVEO","variant":"KHFE1","version":"RDG5","body_code":"AB","eu_category":"M1","vehicle_type":"PB"},"target":"normalized","rule_ids":["BDY-109"],"sequence":17,"transformer_id":"ts.bodywork","confidence_effect":0.1},{"after":["diesel"],"field":"energy_sources","before":{"fuel1":"2","fuel2":"0","fuel3":"0","model":"AVEO","variant":"KHFE1","version":"RDG5"},"target":"normalized","rule_ids":["FUEL-002"],"sequence":18,"transformer_id":"ts.fuel","confidence_effect":0.0}]</x:v>
      </x:c>
      <x:c r="X114" s="38" t="str">
        <x:v>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4" s="38" t="str">
        <x:v>{"candidates":{"model_family":"AVEO"},"confidence":0.8,"normalized":{"market":["SE"],"power_kw":70,"manufacturer":"Chevrolet","bodywork_form":"hatchback","energy_sources":["diesel"],"displacement_cc":1248,"production_date":"2012-02","production_year":2012,"manufacturer_role":"vehicle_manufacturer","power_source_unit":"kw","registration_date":"2012-02-29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KL1T","target":"normalized","rule_ids":["MFR-BRAND-LEGACY-EXACT"],"sequence":3,"transformer_id":"ts.manufacturer","confidence_effect":0.2},{"after":"Chevrolet","field":"manufacturer","before":"CHEVROLET KL1T","target":"normalized","rule_ids":["MFR-BRAND-LEGACY-EXACT"],"sequence":4,"transformer_id":"ts.manufacturer","confidence_effect":0.2},{"after":"vehicle_manufacturer","field":"manufacturer_role","before":"CHEVROLET KL1T","target":"normalized","rule_ids":["MFR-BRAND-LEGACY-EXACT"],"sequence":5,"transformer_id":"ts.manufacturer","confidence_effect":0.2},{"after":true,"field":"model_family_candidate","before":"AVEO","target":"normalized","rule_ids":["MODEL-CANDIDATE-V1"],"sequence":6,"transformer_id":"ts.model-family","confidence_effect":0.0},{"after":"AVEO","field":"model_family","before":"AVEO","target":"candidate","rule_ids":["MODEL-CANDIDATE-V1"],"sequence":7,"transformer_id":"ts.model-family","confidence_effect":0.05},{"after":"2012-02","field":"production_date","before":{"build_month":"201202","vehicle_year":2012,"registration_date":"20120229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20120229"},"target":"normalized","rule_ids":["DATE-REGISTRATION-V1","DATE-PRODUCTION-MONTH-V1"],"sequence":9,"transformer_id":"ts.dates","confidence_effect":0.1},{"after":2012,"field":"production_year","before":{"build_month":"201202","vehicle_year":2012,"registration_date":"20120229"},"target":"normalized","rule_ids":["DATE-REGISTRATION-V1","DATE-PRODUCTION-MONTH-V1"],"sequence":10,"transformer_id":"ts.dates","confidence_effect":0.1},{"after":"2012-02-29","field":"registration_date","before":{"build_month":"201202","vehicle_year":2012,"registration_date":"20120229"},"target":"normalized","rule_ids":["DATE-REGISTRATION-V1","DATE-PRODUCTION-MONTH-V1"],"sequence":11,"transformer_id":"ts.dates","confidence_effect":0.1},{"after":1248,"field":"displacement_cc","before":{"kw":70,"ccm":1248},"target":"normalized","rule_ids":["UNIT-POWER-KW-V1","UNIT-DISPLACEMENT-CCM-V1"],"sequence":12,"transformer_id":"ts.engine-measurements","confidence_effect":0.1},{"after":"ccm","field":"displacement_source_unit","before":{"kw":70,"ccm":1248},"target":"normalized","rule_ids":["UNIT-POWER-KW-V1","UNIT-DISPLACEMENT-CCM-V1"],"sequence":13,"transformer_id":"ts.engine-measurements","confidence_effect":0.1},{"after":70,"field":"power_kw","before":{"kw":70,"ccm":1248},"target":"normalized","rule_ids":["UNIT-POWER-KW-V1","UNIT-DISPLACEMENT-CCM-V1"],"sequence":14,"transformer_id":"ts.engine-measurements","confidence_effect":0.1},{"after":"kw","field":"power_source_unit","before":{"kw":70,"ccm":1248},"target":"normalized","rule_ids":["UNIT-POWER-KW-V1","UNIT-DISPLACEMENT-CCM-V1"],"sequence":15,"transformer_id":"ts.engine-measurements","confidence_effect":0.1},{"after":"hatchback","field":"bodywork_form","before":{"model":"AVEO","variant":"KHFE1","version":"RDG5","body_code":"AB","eu_category":"M1","vehicle_type":"PB"},"target":"normalized","rule_ids":["BDY-109"],"sequence":16,"transformer_id":"ts.bodywork","confidence_effect":0.1},{"after":"Halvkombi","field":"bodywork_registry_label_sv","before":{"model":"AVEO","variant":"KHFE1","version":"RDG5","body_code":"AB","eu_category":"M1","vehicle_type":"PB"},"target":"normalized","rule_ids":["BDY-109"],"sequence":17,"transformer_id":"ts.bodywork","confidence_effect":0.1},{"after":["diesel"],"field":"energy_sources","before":{"fuel1":"2","fuel2":"0","fuel3":"0","model":"AVEO","variant":"KHFE1","version":"RDG5"},"target":"normalized","rule_ids":["FUEL-002"],"sequence":18,"transformer_id":"ts.fuel","confidence_effect":0.0}],"pipeline_version":"normalization-pipeline-v4","candidate_rule_ids":[]}</x:v>
      </x:c>
      <x:c r="Z114" s="36" t="n">
        <x:v>46239.78067015046</x:v>
      </x:c>
      <x:c r="AA114" s="36" t="n">
        <x:v>46239.78067015046</x:v>
      </x:c>
    </x:row>
    <x:row r="115" ht="18" customHeight="1">
      <x:c r="A115" s="36" t="n">
        <x:v>2717</x:v>
      </x:c>
      <x:c r="B115" s="36" t="str">
        <x:v>a28990cb-429f-548d-88cb-8e2953f637d1</x:v>
      </x:c>
      <x:c r="C115" s="36" t="str">
        <x:v>Transportstyrelsen</x:v>
      </x:c>
      <x:c r="D115" s="36" t="str">
        <x:v>normalization-review-passenger-250-v1-rules-20260805T184409855703Z</x:v>
      </x:c>
      <x:c r="E115" s="36" t="str">
        <x:v>staging.transportstyrelsen_raw</x:v>
      </x:c>
      <x:c r="F115" s="36" t="n">
        <x:v>2835</x:v>
      </x:c>
      <x:c r="G115" s="36" t="str">
        <x:v>ts-mapping-v1</x:v>
      </x:c>
      <x:c r="H115" s="36" t="str">
        <x:v>ts-review-20260805T184254528647Z</x:v>
      </x:c>
      <x:c r="I115" s="36" t="str">
        <x:v>normalization-pipeline-v4</x:v>
      </x:c>
      <x:c r="J115" s="36" t="str">
        <x:v>provisional</x:v>
      </x:c>
      <x:c r="K115" s="39" t="n">
        <x:v>0.8</x:v>
      </x:c>
      <x:c r="L115" s="36" t="str">
        <x:v>Volkswagen</x:v>
      </x:c>
      <x:c r="M115" s="36" t="str">
        <x:v>GOLF</x:v>
      </x:c>
      <x:c r="N115" s="36" t="str">
        <x:v>estate</x:v>
      </x:c>
      <x:c r="O115" s="38" t="str">
        <x:v>["electricity"]</x:v>
      </x:c>
      <x:c r="P115" s="36" t="str">
        <x:v>automatic</x:v>
      </x:c>
      <x:c r="Q115" s="36" t="n">
        <x:v>2014</x:v>
      </x:c>
      <x:c r="R115" s="38" t="str">
        <x:v>["MFR-BRAND-CONFIRMED","MFR-BRAND-MODEL","MFR-BRAND-VIN-WMI","DATE-REGISTRATION-V1","DATE-PRODUCTION-MONTH-V1","UNIT-POWER-KW-V1","TRN-002","BDY-110","FUEL-003"]</x:v>
      </x:c>
      <x:c r="S115" s="38" t="str">
        <x:v>[]</x:v>
      </x:c>
      <x:c r="T115" s="38" t="str">
        <x:v>[]</x:v>
      </x:c>
      <x:c r="U115" s="38" t="str">
        <x:v>{"market":["SE"],"power_kw":85,"manufacturer":"Volkswagen","bodywork_form":"estate","energy_sources":["electricity"],"production_date":"2014-09","production_year":2014,"manufacturer_role":"vehicle_manufacturer","power_source_unit":"kw","registration_date":"2015-09-24","transmission_type":"automatic","alias_types_present":["plate","vin","model_name"],"model_family_candidate":true,"builder_converter_names":[],"production_date_precision":"month","bodywork_registry_label_sv":"Stationsvagn (kombivagn)"}</x:v>
      </x:c>
      <x:c r="V115" s="38" t="str">
        <x:v>{"model_family":"GOLF"}</x:v>
      </x:c>
      <x:c r="W115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-09","field":"production_date","before":{"build_month":"201409","vehicle_year":2014,"registration_date":"20150924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20150924"},"target":"normalized","rule_ids":["DATE-REGISTRATION-V1","DATE-PRODUCTION-MONTH-V1"],"sequence":10,"transformer_id":"ts.dates","confidence_effect":0.1},{"after":2014,"field":"production_year","before":{"build_month":"201409","vehicle_year":2014,"registration_date":"20150924"},"target":"normalized","rule_ids":["DATE-REGISTRATION-V1","DATE-PRODUCTION-MONTH-V1"],"sequence":11,"transformer_id":"ts.dates","confidence_effect":0.1},{"after":"2015-09-24","field":"registration_date","before":{"build_month":"201409","vehicle_year":2014,"registration_date":"20150924"},"target":"normalized","rule_ids":["DATE-REGISTRATION-V1","DATE-PRODUCTION-MONTH-V1"],"sequence":12,"transformer_id":"ts.dates","confidence_effect":0.1},{"after":85,"field":"power_kw","before":85,"target":"normalized","rule_ids":["UNIT-POWER-KW-V1"],"sequence":13,"transformer_id":"ts.engine-measurements","confidence_effect":0.1},{"after":"kw","field":"power_source_unit","before":85,"target":"normalized","rule_ids":["UNIT-POWER-KW-V1"],"sequence":14,"transformer_id":"ts.engine-measurements","confidence_effect":0.1},{"after":"automatic","field":"transmission_type","before":{"model":"GOLF","gearbox":"A","variant":"GAC4EAGAX0","version":"FA1FA1CZ003E0GAON1ML01VR0"},"target":"normalized","rule_ids":["TRN-002"],"sequence":15,"transformer_id":"ts.transmission","confidence_effect":0.1},{"after":"estate","field":"bodywork_form","before":{"model":"GOLF","variant":"GAC4EAGAX0","version":"FA1FA1CZ003E0GAON1ML01VR0","body_code":"AC","eu_category":"M1","vehicle_type":"PB"},"target":"normalized","rule_ids":["BDY-110"],"sequence":16,"transformer_id":"ts.bodywork","confidence_effect":0.1},{"after":"Stationsvagn (kombivagn)","field":"bodywork_registry_label_sv","before":{"model":"GOLF","variant":"GAC4EAGAX0","version":"FA1FA1CZ003E0GAON1ML01VR0","body_code":"AC","eu_category":"M1","vehicle_type":"PB"},"target":"normalized","rule_ids":["BDY-110"],"sequence":17,"transformer_id":"ts.bodywork","confidence_effect":0.1},{"after":["electricity"],"field":"energy_sources","before":{"fuel1":"3","fuel2":"0","fuel3":"0","model":"GOLF","variant":"GAC4EAGAX0","version":"FA1FA1CZ003E0GAON1ML01VR0"},"target":"normalized","rule_ids":["FUEL-003"],"sequence":18,"transformer_id":"ts.fuel","confidence_effect":0.0}]</x:v>
      </x:c>
      <x:c r="X11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]</x:v>
      </x:c>
      <x:c r="Y115" s="38" t="str">
        <x:v>{"candidates":{"model_family":"GOLF"},"confidence":0.8,"normalized":{"market":["SE"],"power_kw":85,"manufacturer":"Volkswagen","bodywork_form":"estate","energy_sources":["electricity"],"production_date":"2014-09","production_year":2014,"manufacturer_role":"vehicle_manufacturer","power_source_unit":"kw","registration_date":"2015-09-24","transmission_type":"automatic","alias_types_present":["plate","vin","model_name"],"model_family_candidate":true,"builder_converter_names":[]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-09","field":"production_date","before":{"build_month":"201409","vehicle_year":2014,"registration_date":"20150924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20150924"},"target":"normalized","rule_ids":["DATE-REGISTRATION-V1","DATE-PRODUCTION-MONTH-V1"],"sequence":10,"transformer_id":"ts.dates","confidence_effect":0.1},{"after":2014,"field":"production_year","before":{"build_month":"201409","vehicle_year":2014,"registration_date":"20150924"},"target":"normalized","rule_ids":["DATE-REGISTRATION-V1","DATE-PRODUCTION-MONTH-V1"],"sequence":11,"transformer_id":"ts.dates","confidence_effect":0.1},{"after":"2015-09-24","field":"registration_date","before":{"build_month":"201409","vehicle_year":2014,"registration_date":"20150924"},"target":"normalized","rule_ids":["DATE-REGISTRATION-V1","DATE-PRODUCTION-MONTH-V1"],"sequence":12,"transformer_id":"ts.dates","confidence_effect":0.1},{"after":85,"field":"power_kw","before":85,"target":"normalized","rule_ids":["UNIT-POWER-KW-V1"],"sequence":13,"transformer_id":"ts.engine-measurements","confidence_effect":0.1},{"after":"kw","field":"power_source_unit","before":85,"target":"normalized","rule_ids":["UNIT-POWER-KW-V1"],"sequence":14,"transformer_id":"ts.engine-measurements","confidence_effect":0.1},{"after":"automatic","field":"transmission_type","before":{"model":"GOLF","gearbox":"A","variant":"GAC4EAGAX0","version":"FA1FA1CZ003E0GAON1ML01VR0"},"target":"normalized","rule_ids":["TRN-002"],"sequence":15,"transformer_id":"ts.transmission","confidence_effect":0.1},{"after":"estate","field":"bodywork_form","before":{"model":"GOLF","variant":"GAC4EAGAX0","version":"FA1FA1CZ003E0GAON1ML01VR0","body_code":"AC","eu_category":"M1","vehicle_type":"PB"},"target":"normalized","rule_ids":["BDY-110"],"sequence":16,"transformer_id":"ts.bodywork","confidence_effect":0.1},{"after":"Stationsvagn (kombivagn)","field":"bodywork_registry_label_sv","before":{"model":"GOLF","variant":"GAC4EAGAX0","version":"FA1FA1CZ003E0GAON1ML01VR0","body_code":"AC","eu_category":"M1","vehicle_type":"PB"},"target":"normalized","rule_ids":["BDY-110"],"sequence":17,"transformer_id":"ts.bodywork","confidence_effect":0.1},{"after":["electricity"],"field":"energy_sources","before":{"fuel1":"3","fuel2":"0","fuel3":"0","model":"GOLF","variant":"GAC4EAGAX0","version":"FA1FA1CZ003E0GAON1ML01VR0"},"target":"normalized","rule_ids":["FUEL-003"],"sequence":18,"transformer_id":"ts.fuel","confidence_effect":0.0}],"pipeline_version":"normalization-pipeline-v4","candidate_rule_ids":[]}</x:v>
      </x:c>
      <x:c r="Z115" s="36" t="n">
        <x:v>46239.78067015046</x:v>
      </x:c>
      <x:c r="AA115" s="36" t="n">
        <x:v>46239.78067015046</x:v>
      </x:c>
    </x:row>
    <x:row r="116" ht="18" customHeight="1">
      <x:c r="A116" s="36" t="n">
        <x:v>2718</x:v>
      </x:c>
      <x:c r="B116" s="36" t="str">
        <x:v>878e750c-be72-5d30-b5a3-a54646a3a5a7</x:v>
      </x:c>
      <x:c r="C116" s="36" t="str">
        <x:v>Transportstyrelsen</x:v>
      </x:c>
      <x:c r="D116" s="36" t="str">
        <x:v>normalization-review-passenger-250-v1-rules-20260805T184409855703Z</x:v>
      </x:c>
      <x:c r="E116" s="36" t="str">
        <x:v>staging.transportstyrelsen_raw</x:v>
      </x:c>
      <x:c r="F116" s="36" t="n">
        <x:v>2836</x:v>
      </x:c>
      <x:c r="G116" s="36" t="str">
        <x:v>ts-mapping-v1</x:v>
      </x:c>
      <x:c r="H116" s="36" t="str">
        <x:v>ts-review-20260805T184254528647Z</x:v>
      </x:c>
      <x:c r="I116" s="36" t="str">
        <x:v>normalization-pipeline-v4</x:v>
      </x:c>
      <x:c r="J116" s="36" t="str">
        <x:v>provisional</x:v>
      </x:c>
      <x:c r="K116" s="39" t="n">
        <x:v>0.8</x:v>
      </x:c>
      <x:c r="L116" s="36" t="str">
        <x:v>Volkswagen</x:v>
      </x:c>
      <x:c r="M116" s="36" t="str">
        <x:v>UP!</x:v>
      </x:c>
      <x:c r="N116" s="36" t="str">
        <x:v>hatchback</x:v>
      </x:c>
      <x:c r="O116" s="38" t="str">
        <x:v>["petrol"]</x:v>
      </x:c>
      <x:c r="P116" s="36" t="str">
        <x:v>manual</x:v>
      </x:c>
      <x:c r="Q116" s="36" t="n">
        <x:v>2012</x:v>
      </x:c>
      <x:c r="R116" s="38" t="str">
        <x:v>["MFR-BRAND-CONFIRMED","MFR-BRAND-MODEL","MFR-BRAND-VIN-WMI","DATE-REGISTRATION-V1","DATE-PRODUCTION-MONTH-V1","UNIT-POWER-KW-V1","UNIT-DISPLACEMENT-CCM-V1","TRN-001","BDY-109","FUEL-001"]</x:v>
      </x:c>
      <x:c r="S116" s="38" t="str">
        <x:v>[]</x:v>
      </x:c>
      <x:c r="T116" s="38" t="str">
        <x:v>[]</x:v>
      </x:c>
      <x:c r="U116" s="38" t="str">
        <x:v>{"market":["SE"],"power_kw":55,"manufacturer":"Volkswagen","bodywork_form":"hatchback","energy_sources":["petrol"],"displacement_cc":999,"production_date":"2012-01","production_year":2012,"manufacturer_role":"vehicle_manufacturer","power_source_unit":"kw","registration_date":"2012-05-31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16" s="38" t="str">
        <x:v>{"model_family":"UP!"}</x:v>
      </x:c>
      <x:c r="W116" s="38" t="str">
        <x:v>[{"after":"VOLKSWAGEN, VW AA","field":"brand","before":"VOLKSWAGEN, VW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AA","target":"normalized","rule_ids":["MFR-BRAND-CONFIRMED","MFR-BRAND-MODEL","MFR-BRAND-VIN-WMI"],"sequence":4,"transformer_id":"ts.manufacturer","confidence_effect":0.2},{"after":"Volkswagen","field":"manufacturer","before":"VOLKSWAGEN, VW AA","target":"normalized","rule_ids":["MFR-BRAND-CONFIRMED","MFR-BRAND-MODEL","MFR-BRAND-VIN-WMI"],"sequence":5,"transformer_id":"ts.manufacturer","confidence_effect":0.2},{"after":"vehicle_manufacturer","field":"manufacturer_role","before":"VOLKSWAGEN, VW AA","target":"normalized","rule_ids":["MFR-BRAND-CONFIRMED","MFR-BRAND-MODEL","MFR-BRAND-VIN-WMI"],"sequence":6,"transformer_id":"ts.manufacturer","confidence_effect":0.2},{"after":true,"field":"model_family_candidate","before":"UP!","target":"normalized","rule_ids":["MODEL-CANDIDATE-V1"],"sequence":7,"transformer_id":"ts.model-family","confidence_effect":0.0},{"after":"UP!","field":"model_family","before":"UP!","target":"candidate","rule_ids":["MODEL-CANDIDATE-V1"],"sequence":8,"transformer_id":"ts.model-family","confidence_effect":0.05},{"after":"2012-01","field":"production_date","before":{"build_month":"201201","vehicle_year":2012,"registration_date":"20120531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20120531"},"target":"normalized","rule_ids":["DATE-REGISTRATION-V1","DATE-PRODUCTION-MONTH-V1"],"sequence":10,"transformer_id":"ts.dates","confidence_effect":0.1},{"after":2012,"field":"production_year","before":{"build_month":"201201","vehicle_year":2012,"registration_date":"20120531"},"target":"normalized","rule_ids":["DATE-REGISTRATION-V1","DATE-PRODUCTION-MONTH-V1"],"sequence":11,"transformer_id":"ts.dates","confidence_effect":0.1},{"after":"2012-05-31","field":"registration_date","before":{"build_month":"201201","vehicle_year":2012,"registration_date":"20120531"},"target":"normalized","rule_ids":["DATE-REGISTRATION-V1","DATE-PRODUCTION-MONTH-V1"],"sequence":12,"transformer_id":"ts.dates","confidence_effect":0.1},{"after":999,"field":"displacement_cc","before":{"kw":55,"ccm":999},"target":"normalized","rule_ids":["UNIT-POWER-KW-V1","UNIT-DISPLACEMENT-CCM-V1"],"sequence":13,"transformer_id":"ts.engine-measurements","confidence_effect":0.1},{"after":"ccm","field":"displacement_source_unit","before":{"kw":55,"ccm":999},"target":"normalized","rule_ids":["UNIT-POWER-KW-V1","UNIT-DISPLACEMENT-CCM-V1"],"sequence":14,"transformer_id":"ts.engine-measurements","confidence_effect":0.1},{"after":55,"field":"power_kw","before":{"kw":55,"ccm":999},"target":"normalized","rule_ids":["UNIT-POWER-KW-V1","UNIT-DISPLACEMENT-CCM-V1"],"sequence":15,"transformer_id":"ts.engine-measurements","confidence_effect":0.1},{"after":"kw","field":"power_source_unit","before":{"kw":55,"ccm":999},"target":"normalized","rule_ids":["UNIT-POWER-KW-V1","UNIT-DISPLACEMENT-CCM-V1"],"sequence":16,"transformer_id":"ts.engine-measurements","confidence_effect":0.1},{"after":"manual","field":"transmission_type","before":{"model":"UP!","gearbox":"M","variant":"ABCHYB","version":"FM5FM5CF0047MGVR0N1FA1VW"},"target":"normalized","rule_ids":["TRN-001"],"sequence":17,"transformer_id":"ts.transmission","confidence_effect":0.1},{"after":"hatchback","field":"bodywork_form","before":{"model":"UP!","variant":"ABCHYB","version":"FM5FM5CF0047MGVR0N1FA1VW","body_code":"AB","eu_category":"M1","vehicle_type":"PB"},"target":"normalized","rule_ids":["BDY-109"],"sequence":18,"transformer_id":"ts.bodywork","confidence_effect":0.1},{"after":"Halvkombi","field":"bodywork_registry_label_sv","before":{"model":"UP!","variant":"ABCHYB","version":"FM5FM5CF0047MGVR0N1FA1VW","body_code":"AB","eu_category":"M1","vehicle_type":"PB"},"target":"normalized","rule_ids":["BDY-109"],"sequence":19,"transformer_id":"ts.bodywork","confidence_effect":0.1},{"after":["petrol"],"field":"energy_sources","before":{"fuel1":"1","fuel2":"0","fuel3":"0","model":"UP!","variant":"ABCHYB","version":"FM5FM5CF0047MGVR0N1FA1VW"},"target":"normalized","rule_ids":["FUEL-001"],"sequence":20,"transformer_id":"ts.fuel","confidence_effect":0.0}]</x:v>
      </x:c>
      <x:c r="X11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6" s="38" t="str">
        <x:v>{"candidates":{"model_family":"UP!"},"confidence":0.8,"normalized":{"market":["SE"],"power_kw":55,"manufacturer":"Volkswagen","bodywork_form":"hatchback","energy_sources":["petrol"],"displacement_cc":999,"production_date":"2012-01","production_year":2012,"manufacturer_role":"vehicle_manufacturer","power_source_unit":"kw","registration_date":"2012-05-31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AA","field":"brand","before":"VOLKSWAGEN, VW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AA","target":"normalized","rule_ids":["MFR-BRAND-CONFIRMED","MFR-BRAND-MODEL","MFR-BRAND-VIN-WMI"],"sequence":4,"transformer_id":"ts.manufacturer","confidence_effect":0.2},{"after":"Volkswagen","field":"manufacturer","before":"VOLKSWAGEN, VW AA","target":"normalized","rule_ids":["MFR-BRAND-CONFIRMED","MFR-BRAND-MODEL","MFR-BRAND-VIN-WMI"],"sequence":5,"transformer_id":"ts.manufacturer","confidence_effect":0.2},{"after":"vehicle_manufacturer","field":"manufacturer_role","before":"VOLKSWAGEN, VW AA","target":"normalized","rule_ids":["MFR-BRAND-CONFIRMED","MFR-BRAND-MODEL","MFR-BRAND-VIN-WMI"],"sequence":6,"transformer_id":"ts.manufacturer","confidence_effect":0.2},{"after":true,"field":"model_family_candidate","before":"UP!","target":"normalized","rule_ids":["MODEL-CANDIDATE-V1"],"sequence":7,"transformer_id":"ts.model-family","confidence_effect":0.0},{"after":"UP!","field":"model_family","before":"UP!","target":"candidate","rule_ids":["MODEL-CANDIDATE-V1"],"sequence":8,"transformer_id":"ts.model-family","confidence_effect":0.05},{"after":"2012-01","field":"production_date","before":{"build_month":"201201","vehicle_year":2012,"registration_date":"20120531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20120531"},"target":"normalized","rule_ids":["DATE-REGISTRATION-V1","DATE-PRODUCTION-MONTH-V1"],"sequence":10,"transformer_id":"ts.dates","confidence_effect":0.1},{"after":2012,"field":"production_year","before":{"build_month":"201201","vehicle_year":2012,"registration_date":"20120531"},"target":"normalized","rule_ids":["DATE-REGISTRATION-V1","DATE-PRODUCTION-MONTH-V1"],"sequence":11,"transformer_id":"ts.dates","confidence_effect":0.1},{"after":"2012-05-31","field":"registration_date","before":{"build_month":"201201","vehicle_year":2012,"registration_date":"20120531"},"target":"normalized","rule_ids":["DATE-REGISTRATION-V1","DATE-PRODUCTION-MONTH-V1"],"sequence":12,"transformer_id":"ts.dates","confidence_effect":0.1},{"after":999,"field":"displacement_cc","before":{"kw":55,"ccm":999},"target":"normalized","rule_ids":["UNIT-POWER-KW-V1","UNIT-DISPLACEMENT-CCM-V1"],"sequence":13,"transformer_id":"ts.engine-measurements","confidence_effect":0.1},{"after":"ccm","field":"displacement_source_unit","before":{"kw":55,"ccm":999},"target":"normalized","rule_ids":["UNIT-POWER-KW-V1","UNIT-DISPLACEMENT-CCM-V1"],"sequence":14,"transformer_id":"ts.engine-measurements","confidence_effect":0.1},{"after":55,"field":"power_kw","before":{"kw":55,"ccm":999},"target":"normalized","rule_ids":["UNIT-POWER-KW-V1","UNIT-DISPLACEMENT-CCM-V1"],"sequence":15,"transformer_id":"ts.engine-measurements","confidence_effect":0.1},{"after":"kw","field":"power_source_unit","before":{"kw":55,"ccm":999},"target":"normalized","rule_ids":["UNIT-POWER-KW-V1","UNIT-DISPLACEMENT-CCM-V1"],"sequence":16,"transformer_id":"ts.engine-measurements","confidence_effect":0.1},{"after":"manual","field":"transmission_type","before":{"model":"UP!","gearbox":"M","variant":"ABCHYB","version":"FM5FM5CF0047MGVR0N1FA1VW"},"target":"normalized","rule_ids":["TRN-001"],"sequence":17,"transformer_id":"ts.transmission","confidence_effect":0.1},{"after":"hatchback","field":"bodywork_form","before":{"model":"UP!","variant":"ABCHYB","version":"FM5FM5CF0047MGVR0N1FA1VW","body_code":"AB","eu_category":"M1","vehicle_type":"PB"},"target":"normalized","rule_ids":["BDY-109"],"sequence":18,"transformer_id":"ts.bodywork","confidence_effect":0.1},{"after":"Halvkombi","field":"bodywork_registry_label_sv","before":{"model":"UP!","variant":"ABCHYB","version":"FM5FM5CF0047MGVR0N1FA1VW","body_code":"AB","eu_category":"M1","vehicle_type":"PB"},"target":"normalized","rule_ids":["BDY-109"],"sequence":19,"transformer_id":"ts.bodywork","confidence_effect":0.1},{"after":["petrol"],"field":"energy_sources","before":{"fuel1":"1","fuel2":"0","fuel3":"0","model":"UP!","variant":"ABCHYB","version":"FM5FM5CF0047MGVR0N1FA1VW"},"target":"normalized","rule_ids":["FUEL-001"],"sequence":20,"transformer_id":"ts.fuel","confidence_effect":0.0}],"pipeline_version":"normalization-pipeline-v4","candidate_rule_ids":[]}</x:v>
      </x:c>
      <x:c r="Z116" s="36" t="n">
        <x:v>46239.78067015046</x:v>
      </x:c>
      <x:c r="AA116" s="36" t="n">
        <x:v>46239.78067015046</x:v>
      </x:c>
    </x:row>
    <x:row r="117" ht="18" customHeight="1">
      <x:c r="A117" s="36" t="n">
        <x:v>2719</x:v>
      </x:c>
      <x:c r="B117" s="36" t="str">
        <x:v>37fe6ccb-bb99-526b-9f15-261842562d49</x:v>
      </x:c>
      <x:c r="C117" s="36" t="str">
        <x:v>Transportstyrelsen</x:v>
      </x:c>
      <x:c r="D117" s="36" t="str">
        <x:v>normalization-review-passenger-250-v1-rules-20260805T184409855703Z</x:v>
      </x:c>
      <x:c r="E117" s="36" t="str">
        <x:v>staging.transportstyrelsen_raw</x:v>
      </x:c>
      <x:c r="F117" s="36" t="n">
        <x:v>2837</x:v>
      </x:c>
      <x:c r="G117" s="36" t="str">
        <x:v>ts-mapping-v1</x:v>
      </x:c>
      <x:c r="H117" s="36" t="str">
        <x:v>ts-review-20260805T184254528647Z</x:v>
      </x:c>
      <x:c r="I117" s="36" t="str">
        <x:v>normalization-pipeline-v4</x:v>
      </x:c>
      <x:c r="J117" s="36" t="str">
        <x:v>provisional</x:v>
      </x:c>
      <x:c r="K117" s="39" t="n">
        <x:v>0.8</x:v>
      </x:c>
      <x:c r="L117" s="36" t="str">
        <x:v>Audi</x:v>
      </x:c>
      <x:c r="M117" s="36" t="str">
        <x:v>A6 AVANT</x:v>
      </x:c>
      <x:c r="N117" s="36" t="str">
        <x:v>estate</x:v>
      </x:c>
      <x:c r="O117" s="38" t="str">
        <x:v>["diesel","electricity"]</x:v>
      </x:c>
      <x:c r="P117" s="36" t="str">
        <x:v>automatic</x:v>
      </x:c>
      <x:c r="Q117" s="36" t="n">
        <x:v>2020</x:v>
      </x:c>
      <x:c r="R117" s="38" t="str">
        <x:v>["MFR-102","DATE-REGISTRATION-V1","DATE-PRODUCTION-MONTH-V1","UNIT-POWER-KW-V1","UNIT-DISPLACEMENT-CCM-V1","TRN-002","BDY-110","BDY-002","FUEL-002","ELEC-002"]</x:v>
      </x:c>
      <x:c r="S117" s="38" t="str">
        <x:v>["DRV-008"]</x:v>
      </x:c>
      <x:c r="T117" s="38" t="str">
        <x:v>[]</x:v>
      </x:c>
      <x:c r="U117" s="38" t="str">
        <x:v>{"market":["SE"],"power_kw":150,"manufacturer":"Audi","bodywork_form":"estate","energy_sources":["diesel","electricity"],"displacement_cc":1968,"production_date":"2020-03","production_year":2020,"manufacturer_role":"vehicle_manufacturer","power_source_unit":"kw","registration_date":"2020-04-29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117" s="38" t="str">
        <x:v>{"drive_type":"awd","model_family":"A6 AVANT"}</x:v>
      </x:c>
      <x:c r="W1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2020-03","field":"production_date","before":{"build_month":"202003","vehicle_year":2020,"registration_date":"20200429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20200429"},"target":"normalized","rule_ids":["DATE-REGISTRATION-V1","DATE-PRODUCTION-MONTH-V1"],"sequence":9,"transformer_id":"ts.dates","confidence_effect":0.1},{"after":2020,"field":"production_year","before":{"build_month":"202003","vehicle_year":2020,"registration_date":"20200429"},"target":"normalized","rule_ids":["DATE-REGISTRATION-V1","DATE-PRODUCTION-MONTH-V1"],"sequence":10,"transformer_id":"ts.dates","confidence_effect":0.1},{"after":"2020-04-29","field":"registration_date","before":{"build_month":"202003","vehicle_year":2020,"registration_date":"20200429"},"target":"normalized","rule_ids":["DATE-REGISTRATION-V1","DATE-PRODUCTION-MONTH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6 AVANT","gearbox":"A","variant":"ADFBAQ1","version":"QD7AD7CJ003RT031B19S54BFBEM1H560FS"},"target":"normalized","rule_ids":["TRN-002"],"sequence":16,"transformer_id":"ts.transmission","confidence_effect":0.1},{"after":"estate","field":"bodywork_form","before":{"model":"A6 AVANT","variant":"ADFBAQ1","version":"QD7AD7CJ003RT031B19S54BFBEM1H560FS","body_code":"AC","eu_category":"M1","vehicle_type":"PB"},"target":"normalized","rule_ids":["BDY-110","BDY-002"],"sequence":17,"transformer_id":"ts.bodywork","confidence_effect":0.1},{"after":"Stationsvagn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DFBAQ1","version":"QD7AD7CJ003RT031B19S54BFBEM1H560FS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A6 AVANT","variant":"ADFBAQ1","version":"QD7AD7CJ003RT031B19S54BFBEM1H560FS","ev_config":"ELHYBRID"},"target":"normalized","rule_ids":["FUEL-002","ELEC-002"],"sequence":20,"transformer_id":"ts.fuel","confidence_effect":0.0},{"after":["diesel","electricity"],"field":"energy_sources","before":{"fuel1":"2","fuel2":"0","fuel3":"0","model":"A6 AVANT","variant":"ADFBAQ1","version":"QD7AD7CJ003RT031B19S54BFBEM1H560FS","ev_config":"ELHYBRID"},"target":"normalized","rule_ids":["FUEL-002","ELEC-002"],"sequence":21,"transformer_id":"ts.fuel","confidence_effect":0.0}]</x:v>
      </x:c>
      <x:c r="X11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17" s="38" t="str">
        <x:v>{"candidates":{"drive_type":"awd","model_family":"A6 AVANT"},"confidence":0.8,"normalized":{"market":["SE"],"power_kw":150,"manufacturer":"Audi","bodywork_form":"estate","energy_sources":["diesel","electricity"],"displacement_cc":1968,"production_date":"2020-03","production_year":2020,"manufacturer_role":"vehicle_manufacturer","power_source_unit":"kw","registration_date":"2020-04-29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2020-03","field":"production_date","before":{"build_month":"202003","vehicle_year":2020,"registration_date":"20200429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20200429"},"target":"normalized","rule_ids":["DATE-REGISTRATION-V1","DATE-PRODUCTION-MONTH-V1"],"sequence":9,"transformer_id":"ts.dates","confidence_effect":0.1},{"after":2020,"field":"production_year","before":{"build_month":"202003","vehicle_year":2020,"registration_date":"20200429"},"target":"normalized","rule_ids":["DATE-REGISTRATION-V1","DATE-PRODUCTION-MONTH-V1"],"sequence":10,"transformer_id":"ts.dates","confidence_effect":0.1},{"after":"2020-04-29","field":"registration_date","before":{"build_month":"202003","vehicle_year":2020,"registration_date":"20200429"},"target":"normalized","rule_ids":["DATE-REGISTRATION-V1","DATE-PRODUCTION-MONTH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6 AVANT","gearbox":"A","variant":"ADFBAQ1","version":"QD7AD7CJ003RT031B19S54BFBEM1H560FS"},"target":"normalized","rule_ids":["TRN-002"],"sequence":16,"transformer_id":"ts.transmission","confidence_effect":0.1},{"after":"estate","field":"bodywork_form","before":{"model":"A6 AVANT","variant":"ADFBAQ1","version":"QD7AD7CJ003RT031B19S54BFBEM1H560FS","body_code":"AC","eu_category":"M1","vehicle_type":"PB"},"target":"normalized","rule_ids":["BDY-110","BDY-002"],"sequence":17,"transformer_id":"ts.bodywork","confidence_effect":0.1},{"after":"Stationsvagn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DFBAQ1","version":"QD7AD7CJ003RT031B19S54BFBEM1H560FS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A6 AVANT","variant":"ADFBAQ1","version":"QD7AD7CJ003RT031B19S54BFBEM1H560FS","ev_config":"ELHYBRID"},"target":"normalized","rule_ids":["FUEL-002","ELEC-002"],"sequence":20,"transformer_id":"ts.fuel","confidence_effect":0.0},{"after":["diesel","electricity"],"field":"energy_sources","before":{"fuel1":"2","fuel2":"0","fuel3":"0","model":"A6 AVANT","variant":"ADFBAQ1","version":"QD7AD7CJ003RT031B19S54BFBEM1H560FS","ev_config":"ELHYBRID"},"target":"normalized","rule_ids":["FUEL-002","ELEC-002"],"sequence":21,"transformer_id":"ts.fuel","confidence_effect":0.0}],"pipeline_version":"normalization-pipeline-v4","candidate_rule_ids":["DRV-008"]}</x:v>
      </x:c>
      <x:c r="Z117" s="36" t="n">
        <x:v>46239.78067015046</x:v>
      </x:c>
      <x:c r="AA117" s="36" t="n">
        <x:v>46239.78067015046</x:v>
      </x:c>
    </x:row>
    <x:row r="118" ht="18" customHeight="1">
      <x:c r="A118" s="36" t="n">
        <x:v>2720</x:v>
      </x:c>
      <x:c r="B118" s="36" t="str">
        <x:v>52faf8e1-2b1f-5393-b798-3a6cc359241f</x:v>
      </x:c>
      <x:c r="C118" s="36" t="str">
        <x:v>Transportstyrelsen</x:v>
      </x:c>
      <x:c r="D118" s="36" t="str">
        <x:v>normalization-review-passenger-250-v1-rules-20260805T184409855703Z</x:v>
      </x:c>
      <x:c r="E118" s="36" t="str">
        <x:v>staging.transportstyrelsen_raw</x:v>
      </x:c>
      <x:c r="F118" s="36" t="n">
        <x:v>2838</x:v>
      </x:c>
      <x:c r="G118" s="36" t="str">
        <x:v>ts-mapping-v1</x:v>
      </x:c>
      <x:c r="H118" s="36" t="str">
        <x:v>ts-review-20260805T184254528647Z</x:v>
      </x:c>
      <x:c r="I118" s="36" t="str">
        <x:v>normalization-pipeline-v4</x:v>
      </x:c>
      <x:c r="J118" s="36" t="str">
        <x:v>provisional</x:v>
      </x:c>
      <x:c r="K118" s="39" t="n">
        <x:v>0.8</x:v>
      </x:c>
      <x:c r="L118" s="36" t="str">
        <x:v>Volkswagen</x:v>
      </x:c>
      <x:c r="M118" s="36" t="str">
        <x:v>PASSAT</x:v>
      </x:c>
      <x:c r="N118" s="36" t="str">
        <x:v>estate</x:v>
      </x:c>
      <x:c r="O118" s="38" t="str">
        <x:v>["diesel"]</x:v>
      </x:c>
      <x:c r="P118" s="36" t="str">
        <x:v>automatic</x:v>
      </x:c>
      <x:c r="Q118" s="36" t="n">
        <x:v>2013</x:v>
      </x:c>
      <x:c r="R118" s="38" t="str">
        <x:v>["MFR-BRAND-CONFIRMED","MFR-BRAND-MODEL","MFR-BRAND-VIN-WMI","DATE-REGISTRATION-V1","DATE-PRODUCTION-MONTH-V1","UNIT-POWER-KW-V1","UNIT-DISPLACEMENT-CCM-V1","TRN-002","BDY-110","FUEL-002"]</x:v>
      </x:c>
      <x:c r="S118" s="38" t="str">
        <x:v>["DRV-008"]</x:v>
      </x:c>
      <x:c r="T118" s="38" t="str">
        <x:v>[]</x:v>
      </x:c>
      <x:c r="U118" s="38" t="str">
        <x:v>{"market":["SE"],"power_kw":130,"manufacturer":"Volkswagen","bodywork_form":"estate","energy_sources":["diesel"],"displacement_cc":1968,"production_date":"2013-12","production_year":2013,"manufacturer_role":"vehicle_manufacturer","power_source_unit":"kw","registration_date":"2014-01-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18" s="38" t="str">
        <x:v>{"drive_type":"awd","model_family":"PASSAT"}</x:v>
      </x:c>
      <x:c r="W118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-12","field":"production_date","before":{"build_month":"201312","vehicle_year":2013,"registration_date":"20140115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20140115"},"target":"normalized","rule_ids":["DATE-REGISTRATION-V1","DATE-PRODUCTION-MONTH-V1"],"sequence":10,"transformer_id":"ts.dates","confidence_effect":0.1},{"after":2013,"field":"production_year","before":{"build_month":"201312","vehicle_year":2013,"registration_date":"20140115"},"target":"normalized","rule_ids":["DATE-REGISTRATION-V1","DATE-PRODUCTION-MONTH-V1"],"sequence":11,"transformer_id":"ts.dates","confidence_effect":0.1},{"after":"2014-01-15","field":"registration_date","before":{"build_month":"201312","vehicle_year":2013,"registration_date":"20140115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11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8" s="38" t="str">
        <x:v>{"candidates":{"drive_type":"awd","model_family":"PASSAT"},"confidence":0.8,"normalized":{"market":["SE"],"power_kw":130,"manufacturer":"Volkswagen","bodywork_form":"estate","energy_sources":["diesel"],"displacement_cc":1968,"production_date":"2013-12","production_year":2013,"manufacturer_role":"vehicle_manufacturer","power_source_unit":"kw","registration_date":"2014-01-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-12","field":"production_date","before":{"build_month":"201312","vehicle_year":2013,"registration_date":"20140115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20140115"},"target":"normalized","rule_ids":["DATE-REGISTRATION-V1","DATE-PRODUCTION-MONTH-V1"],"sequence":10,"transformer_id":"ts.dates","confidence_effect":0.1},{"after":2013,"field":"production_year","before":{"build_month":"201312","vehicle_year":2013,"registration_date":"20140115"},"target":"normalized","rule_ids":["DATE-REGISTRATION-V1","DATE-PRODUCTION-MONTH-V1"],"sequence":11,"transformer_id":"ts.dates","confidence_effect":0.1},{"after":"2014-01-15","field":"registration_date","before":{"build_month":"201312","vehicle_year":2013,"registration_date":"20140115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118" s="36" t="n">
        <x:v>46239.78067015046</x:v>
      </x:c>
      <x:c r="AA118" s="36" t="n">
        <x:v>46239.78067015046</x:v>
      </x:c>
    </x:row>
    <x:row r="119" ht="18" customHeight="1">
      <x:c r="A119" s="36" t="n">
        <x:v>2721</x:v>
      </x:c>
      <x:c r="B119" s="36" t="str">
        <x:v>fd4b9ade-5515-5d30-b127-41f58acb9c7a</x:v>
      </x:c>
      <x:c r="C119" s="36" t="str">
        <x:v>Transportstyrelsen</x:v>
      </x:c>
      <x:c r="D119" s="36" t="str">
        <x:v>normalization-review-passenger-250-v1-rules-20260805T184409855703Z</x:v>
      </x:c>
      <x:c r="E119" s="36" t="str">
        <x:v>staging.transportstyrelsen_raw</x:v>
      </x:c>
      <x:c r="F119" s="36" t="n">
        <x:v>2839</x:v>
      </x:c>
      <x:c r="G119" s="36" t="str">
        <x:v>ts-mapping-v1</x:v>
      </x:c>
      <x:c r="H119" s="36" t="str">
        <x:v>ts-review-20260805T184254528647Z</x:v>
      </x:c>
      <x:c r="I119" s="36" t="str">
        <x:v>normalization-pipeline-v4</x:v>
      </x:c>
      <x:c r="J119" s="36" t="str">
        <x:v>resolved</x:v>
      </x:c>
      <x:c r="K119" s="39" t="n">
        <x:v>0.95</x:v>
      </x:c>
      <x:c r="L119" s="36" t="str">
        <x:v>Volvo</x:v>
      </x:c>
      <x:c r="M119" s="36"/>
      <x:c r="N119" s="36" t="str">
        <x:v>coupe</x:v>
      </x:c>
      <x:c r="O119" s="38" t="str">
        <x:v>["petrol","ethanol"]</x:v>
      </x:c>
      <x:c r="P119" s="36" t="str">
        <x:v>manual</x:v>
      </x:c>
      <x:c r="Q119" s="36" t="n">
        <x:v>2007</x:v>
      </x:c>
      <x:c r="R119" s="38" t="str">
        <x:v>["MFR-BRAND-CONFIRMED","MFR-BRAND-VIN-WMI","DATE-REGISTRATION-V1","DATE-PRODUCTION-MONTH-V1","UNIT-POWER-KW-V1","UNIT-DISPLACEMENT-CCM-V1","TRN-001","BDY-107","FUEL-001","FUEL-007"]</x:v>
      </x:c>
      <x:c r="S119" s="38" t="str">
        <x:v>[]</x:v>
      </x:c>
      <x:c r="T119" s="38" t="str">
        <x:v>[]</x:v>
      </x:c>
      <x:c r="U119" s="38" t="str">
        <x:v>{"market":["SE"],"power_kw":92,"manufacturer":"Volvo","bodywork_form":"coupe","energy_sources":["petrol","ethanol"],"displacement_cc":1798,"production_date":"2007-01","production_year":2007,"manufacturer_role":"vehicle_manufacturer","power_source_unit":"kw","registration_date":"2007-01-17","transmission_type":"manual","alias_types_present":["plate","vin"],"builder_converter_names":[],"displacement_source_unit":"ccm","production_date_precision":"month","bodywork_registry_label_sv":"Kupé"}</x:v>
      </x:c>
      <x:c r="V119" s="38" t="str">
        <x:v>{}</x:v>
      </x:c>
      <x:c r="W1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-01","field":"production_date","before":{"build_month":"200701","vehicle_year":2007,"registration_date":"20070117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20070117"},"target":"normalized","rule_ids":["DATE-REGISTRATION-V1","DATE-PRODUCTION-MONTH-V1"],"sequence":7,"transformer_id":"ts.dates","confidence_effect":0.1},{"after":2007,"field":"production_year","before":{"build_month":"200701","vehicle_year":2007,"registration_date":"20070117"},"target":"normalized","rule_ids":["DATE-REGISTRATION-V1","DATE-PRODUCTION-MONTH-V1"],"sequence":8,"transformer_id":"ts.dates","confidence_effect":0.1},{"after":"2007-01-17","field":"registration_date","before":{"build_month":"200701","vehicle_year":2007,"registration_date":"20070117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K08","version":"MK0842??"},"target":"normalized","rule_ids":["TRN-001"],"sequence":14,"transformer_id":"ts.transmission","confidence_effect":0.1},{"after":"coupe","field":"bodywork_form","before":{"variant":"MK08","version":"MK0842??","body_code":"AD","eu_category":"M1","vehicle_type":"PB"},"target":"normalized","rule_ids":["BDY-107"],"sequence":15,"transformer_id":"ts.bodywork","confidence_effect":0.1},{"after":"Kupé","field":"bodywork_registry_label_sv","before":{"variant":"MK08","version":"MK0842??","body_code":"AD","eu_category":"M1","vehicle_type":"PB"},"target":"normalized","rule_ids":["BDY-107"],"sequence":16,"transformer_id":"ts.bodywork","confidence_effect":0.1},{"after":["petrol","ethanol"],"field":"energy_sources","before":{"fuel1":"1","fuel2":"7","fuel3":"0","variant":"MK08","version":"MK0842??"},"target":"normalized","rule_ids":["FUEL-001","FUEL-007"],"sequence":17,"transformer_id":"ts.fuel","confidence_effect":0.0}]</x:v>
      </x:c>
      <x:c r="X119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19" s="38" t="str">
        <x:v>{"candidates":{},"confidence":0.95,"normalized":{"market":["SE"],"power_kw":92,"manufacturer":"Volvo","bodywork_form":"coupe","energy_sources":["petrol","ethanol"],"displacement_cc":1798,"production_date":"2007-01","production_year":2007,"manufacturer_role":"vehicle_manufacturer","power_source_unit":"kw","registration_date":"2007-01-17","transmission_type":"manual","alias_types_present":["plate","vin"]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-01","field":"production_date","before":{"build_month":"200701","vehicle_year":2007,"registration_date":"20070117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20070117"},"target":"normalized","rule_ids":["DATE-REGISTRATION-V1","DATE-PRODUCTION-MONTH-V1"],"sequence":7,"transformer_id":"ts.dates","confidence_effect":0.1},{"after":2007,"field":"production_year","before":{"build_month":"200701","vehicle_year":2007,"registration_date":"20070117"},"target":"normalized","rule_ids":["DATE-REGISTRATION-V1","DATE-PRODUCTION-MONTH-V1"],"sequence":8,"transformer_id":"ts.dates","confidence_effect":0.1},{"after":"2007-01-17","field":"registration_date","before":{"build_month":"200701","vehicle_year":2007,"registration_date":"20070117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K08","version":"MK0842??"},"target":"normalized","rule_ids":["TRN-001"],"sequence":14,"transformer_id":"ts.transmission","confidence_effect":0.1},{"after":"coupe","field":"bodywork_form","before":{"variant":"MK08","version":"MK0842??","body_code":"AD","eu_category":"M1","vehicle_type":"PB"},"target":"normalized","rule_ids":["BDY-107"],"sequence":15,"transformer_id":"ts.bodywork","confidence_effect":0.1},{"after":"Kupé","field":"bodywork_registry_label_sv","before":{"variant":"MK08","version":"MK0842??","body_code":"AD","eu_category":"M1","vehicle_type":"PB"},"target":"normalized","rule_ids":["BDY-107"],"sequence":16,"transformer_id":"ts.bodywork","confidence_effect":0.1},{"after":["petrol","ethanol"],"field":"energy_sources","before":{"fuel1":"1","fuel2":"7","fuel3":"0","variant":"MK08","version":"MK0842??"},"target":"normalized","rule_ids":["FUEL-001","FUEL-007"],"sequence":17,"transformer_id":"ts.fuel","confidence_effect":0.0}],"pipeline_version":"normalization-pipeline-v4","candidate_rule_ids":[]}</x:v>
      </x:c>
      <x:c r="Z119" s="36" t="n">
        <x:v>46239.78067015046</x:v>
      </x:c>
      <x:c r="AA119" s="36" t="n">
        <x:v>46239.78067015046</x:v>
      </x:c>
    </x:row>
    <x:row r="120" ht="18" customHeight="1">
      <x:c r="A120" s="36" t="n">
        <x:v>2722</x:v>
      </x:c>
      <x:c r="B120" s="36" t="str">
        <x:v>411d5367-6ae0-5d96-9bcd-79f5602e47f6</x:v>
      </x:c>
      <x:c r="C120" s="36" t="str">
        <x:v>Transportstyrelsen</x:v>
      </x:c>
      <x:c r="D120" s="36" t="str">
        <x:v>normalization-review-passenger-250-v1-rules-20260805T184409855703Z</x:v>
      </x:c>
      <x:c r="E120" s="36" t="str">
        <x:v>staging.transportstyrelsen_raw</x:v>
      </x:c>
      <x:c r="F120" s="36" t="n">
        <x:v>2840</x:v>
      </x:c>
      <x:c r="G120" s="36" t="str">
        <x:v>ts-mapping-v1</x:v>
      </x:c>
      <x:c r="H120" s="36" t="str">
        <x:v>ts-review-20260805T184254528647Z</x:v>
      </x:c>
      <x:c r="I120" s="36" t="str">
        <x:v>normalization-pipeline-v4</x:v>
      </x:c>
      <x:c r="J120" s="36" t="str">
        <x:v>provisional</x:v>
      </x:c>
      <x:c r="K120" s="39" t="n">
        <x:v>0.8</x:v>
      </x:c>
      <x:c r="L120" s="36" t="str">
        <x:v>Ford</x:v>
      </x:c>
      <x:c r="M120" s="36"/>
      <x:c r="N120" s="36" t="str">
        <x:v>covered_body</x:v>
      </x:c>
      <x:c r="O120" s="38" t="str">
        <x:v>["petrol"]</x:v>
      </x:c>
      <x:c r="P120" s="36" t="str">
        <x:v>manual</x:v>
      </x:c>
      <x:c r="Q120" s="36" t="n">
        <x:v>1975</x:v>
      </x:c>
      <x:c r="R120" s="38" t="str">
        <x:v>["DATE-REGISTRATION-V1","DATE-PRODUCTION-YEAR-V1","UNIT-POWER-KW-V1","TRN-001","BDY-102","FUEL-001"]</x:v>
      </x:c>
      <x:c r="S120" s="38" t="str">
        <x:v>["MFR-BRAND-PREFIX-FALLBACK"]</x:v>
      </x:c>
      <x:c r="T120" s="38" t="str">
        <x:v>[]</x:v>
      </x:c>
      <x:c r="U120" s="38" t="str">
        <x:v>{"market":["SE"],"power_kw":42,"manufacturer":"Ford","bodywork_form":"covered_body","energy_sources":["petrol"],"production_year":1975,"manufacturer_role":"vehicle_manufacturer","power_source_unit":"kw","registration_date":"1975-10-13","transmission_type":"manual","alias_types_present":["plate","vin"],"builder_converter_names":[],"production_date_precision":"model_year","bodywork_registry_label_sv":"Täckt"}</x:v>
      </x:c>
      <x:c r="V120" s="38" t="str">
        <x:v>{"manufacturer_confirmation":{"source_fields":["brand"],"canonical_name":"Ford"}}</x:v>
      </x:c>
      <x:c r="W1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1300 L","target":"normalized","rule_ids":["MFR-CLASSIFY-V1"],"sequence":3,"transformer_id":"ts.manufacturer","confidence_effect":0.2},{"after":"Ford","field":"manufacturer","before":"FORD ESCORT 1300 L","target":"normalized","rule_ids":["MFR-CLASSIFY-V1"],"sequence":4,"transformer_id":"ts.manufacturer","confidence_effect":0.2},{"after":"vehicle_manufacturer","field":"manufacturer_role","before":"FORD ESCORT 1300 L","target":"normalized","rule_ids":["MFR-CLASSIFY-V1"],"sequence":5,"transformer_id":"ts.manufacturer","confidence_effect":0.2},{"after":{"source_fields":["brand"],"canonical_name":"Ford"},"field":"manufacturer_confirmation","before":"FORD ESCORT 1300 L","target":"candidate","rule_ids":["MFR-BRAND-PREFIX-FALLBACK"],"sequence":6,"transformer_id":"ts.manufacturer","confidence_effect":0.05},{"after":"model_year","field":"production_date_precision","before":{"model_year":1975,"vehicle_year":1975,"registration_date":"19751013"},"target":"normalized","rule_ids":["DATE-REGISTRATION-V1","DATE-PRODUCTION-YEAR-V1"],"sequence":7,"transformer_id":"ts.dates","confidence_effect":0.1},{"after":1975,"field":"production_year","before":{"model_year":1975,"vehicle_year":1975,"registration_date":"19751013"},"target":"normalized","rule_ids":["DATE-REGISTRATION-V1","DATE-PRODUCTION-YEAR-V1"],"sequence":8,"transformer_id":"ts.dates","confidence_effect":0.1},{"after":"1975-10-13","field":"registration_date","before":{"model_year":1975,"vehicle_year":1975,"registration_date":"19751013"},"target":"normalized","rule_ids":["DATE-REGISTRATION-V1","DATE-PRODUCTION-YEAR-V1"],"sequence":9,"transformer_id":"ts.dates","confidence_effect":0.1},{"after":42,"field":"power_kw","before":42,"target":"normalized","rule_ids":["UNIT-POWER-KW-V1"],"sequence":10,"transformer_id":"ts.engine-measurements","confidence_effect":0.1},{"after":"kw","field":"power_source_unit","before":42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2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0" s="38" t="str">
        <x:v>{"candidates":{"manufacturer_confirmation":{"source_fields":["brand"],"canonical_name":"Ford"}},"confidence":0.8,"normalized":{"market":["SE"],"power_kw":42,"manufacturer":"Ford","bodywork_form":"covered_body","energy_sources":["petrol"],"production_year":1975,"manufacturer_role":"vehicle_manufacturer","power_source_unit":"kw","registration_date":"1975-10-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1300 L","target":"normalized","rule_ids":["MFR-CLASSIFY-V1"],"sequence":3,"transformer_id":"ts.manufacturer","confidence_effect":0.2},{"after":"Ford","field":"manufacturer","before":"FORD ESCORT 1300 L","target":"normalized","rule_ids":["MFR-CLASSIFY-V1"],"sequence":4,"transformer_id":"ts.manufacturer","confidence_effect":0.2},{"after":"vehicle_manufacturer","field":"manufacturer_role","before":"FORD ESCORT 1300 L","target":"normalized","rule_ids":["MFR-CLASSIFY-V1"],"sequence":5,"transformer_id":"ts.manufacturer","confidence_effect":0.2},{"after":{"source_fields":["brand"],"canonical_name":"Ford"},"field":"manufacturer_confirmation","before":"FORD ESCORT 1300 L","target":"candidate","rule_ids":["MFR-BRAND-PREFIX-FALLBACK"],"sequence":6,"transformer_id":"ts.manufacturer","confidence_effect":0.05},{"after":"model_year","field":"production_date_precision","before":{"model_year":1975,"vehicle_year":1975,"registration_date":"19751013"},"target":"normalized","rule_ids":["DATE-REGISTRATION-V1","DATE-PRODUCTION-YEAR-V1"],"sequence":7,"transformer_id":"ts.dates","confidence_effect":0.1},{"after":1975,"field":"production_year","before":{"model_year":1975,"vehicle_year":1975,"registration_date":"19751013"},"target":"normalized","rule_ids":["DATE-REGISTRATION-V1","DATE-PRODUCTION-YEAR-V1"],"sequence":8,"transformer_id":"ts.dates","confidence_effect":0.1},{"after":"1975-10-13","field":"registration_date","before":{"model_year":1975,"vehicle_year":1975,"registration_date":"19751013"},"target":"normalized","rule_ids":["DATE-REGISTRATION-V1","DATE-PRODUCTION-YEAR-V1"],"sequence":9,"transformer_id":"ts.dates","confidence_effect":0.1},{"after":42,"field":"power_kw","before":42,"target":"normalized","rule_ids":["UNIT-POWER-KW-V1"],"sequence":10,"transformer_id":"ts.engine-measurements","confidence_effect":0.1},{"after":"kw","field":"power_source_unit","before":42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20" s="36" t="n">
        <x:v>46239.78067015046</x:v>
      </x:c>
      <x:c r="AA120" s="36" t="n">
        <x:v>46239.78067015046</x:v>
      </x:c>
    </x:row>
    <x:row r="121" ht="18" customHeight="1">
      <x:c r="A121" s="36" t="n">
        <x:v>2723</x:v>
      </x:c>
      <x:c r="B121" s="36" t="str">
        <x:v>26ae4409-618e-5244-9ba8-f92e2ae104bd</x:v>
      </x:c>
      <x:c r="C121" s="36" t="str">
        <x:v>Transportstyrelsen</x:v>
      </x:c>
      <x:c r="D121" s="36" t="str">
        <x:v>normalization-review-passenger-250-v1-rules-20260805T184409855703Z</x:v>
      </x:c>
      <x:c r="E121" s="36" t="str">
        <x:v>staging.transportstyrelsen_raw</x:v>
      </x:c>
      <x:c r="F121" s="36" t="n">
        <x:v>2841</x:v>
      </x:c>
      <x:c r="G121" s="36" t="str">
        <x:v>ts-mapping-v1</x:v>
      </x:c>
      <x:c r="H121" s="36" t="str">
        <x:v>ts-review-20260805T184254528647Z</x:v>
      </x:c>
      <x:c r="I121" s="36" t="str">
        <x:v>normalization-pipeline-v4</x:v>
      </x:c>
      <x:c r="J121" s="36" t="str">
        <x:v>resolved</x:v>
      </x:c>
      <x:c r="K121" s="39" t="n">
        <x:v>0.95</x:v>
      </x:c>
      <x:c r="L121" s="36" t="str">
        <x:v>Saab</x:v>
      </x:c>
      <x:c r="M121" s="36"/>
      <x:c r="N121" s="36" t="str">
        <x:v>covered_body</x:v>
      </x:c>
      <x:c r="O121" s="38" t="str">
        <x:v>["petrol"]</x:v>
      </x:c>
      <x:c r="P121" s="36" t="str">
        <x:v>manual</x:v>
      </x:c>
      <x:c r="Q121" s="36" t="n">
        <x:v>1989</x:v>
      </x:c>
      <x:c r="R121" s="38" t="str">
        <x:v>["MFE-CC8089323A8D5F","MFR-BRAND-REVIEWED-EXAMPLE","DATE-REGISTRATION-V1","DATE-PRODUCTION-YEAR-V1","UNIT-POWER-KW-V1","TRN-001","BDY-102","FUEL-001"]</x:v>
      </x:c>
      <x:c r="S121" s="38" t="str">
        <x:v>[]</x:v>
      </x:c>
      <x:c r="T121" s="38" t="str">
        <x:v>[]</x:v>
      </x:c>
      <x:c r="U121" s="38" t="str">
        <x:v>{"market":["SE"],"power_kw":81,"manufacturer":"Saab","bodywork_form":"covered_body","energy_sources":["petrol"],"production_year":1989,"manufacturer_role":"vehicle_manufacturer","power_source_unit":"kw","registration_date":"1989-02-28","transmission_type":"manual","alias_types_present":["plate","vin"],"builder_converter_names":[],"production_date_precision":"model_year","bodywork_registry_label_sv":"Täckt"}</x:v>
      </x:c>
      <x:c r="V121" s="38" t="str">
        <x:v>{}</x:v>
      </x:c>
      <x:c r="W1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I8 AB25J","target":"normalized","rule_ids":["MFE-CC8089323A8D5F","MFR-BRAND-REVIEWED-EXAMPLE"],"sequence":3,"transformer_id":"ts.manufacturer","confidence_effect":0.2},{"after":"Saab","field":"manufacturer","before":"SAAB 900 I8 AB25J","target":"normalized","rule_ids":["MFE-CC8089323A8D5F","MFR-BRAND-REVIEWED-EXAMPLE"],"sequence":4,"transformer_id":"ts.manufacturer","confidence_effect":0.2},{"after":"vehicle_manufacturer","field":"manufacturer_role","before":"SAAB 900 I8 AB25J","target":"normalized","rule_ids":["MFE-CC8089323A8D5F","MFR-BRAND-REVIEWED-EXAMPLE"],"sequence":5,"transformer_id":"ts.manufacturer","confidence_effect":0.2},{"after":"model_year","field":"production_date_precision","before":{"model_year":1989,"vehicle_year":1989,"registration_date":"19890228"},"target":"normalized","rule_ids":["DATE-REGISTRATION-V1","DATE-PRODUCTION-YEAR-V1"],"sequence":6,"transformer_id":"ts.dates","confidence_effect":0.1},{"after":1989,"field":"production_year","before":{"model_year":1989,"vehicle_year":1989,"registration_date":"19890228"},"target":"normalized","rule_ids":["DATE-REGISTRATION-V1","DATE-PRODUCTION-YEAR-V1"],"sequence":7,"transformer_id":"ts.dates","confidence_effect":0.1},{"after":"1989-02-28","field":"registration_date","before":{"model_year":1989,"vehicle_year":1989,"registration_date":"19890228"},"target":"normalized","rule_ids":["DATE-REGISTRATION-V1","DATE-PRODUCTION-YEAR-V1"],"sequence":8,"transformer_id":"ts.dates","confidence_effect":0.1},{"after":81,"field":"power_kw","before":81,"target":"normalized","rule_ids":["UNIT-POWER-KW-V1"],"sequence":9,"transformer_id":"ts.engine-measurements","confidence_effect":0.1},{"after":"kw","field":"power_source_unit","before":81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2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1" s="38" t="str">
        <x:v>{"candidates":{},"confidence":0.95,"normalized":{"market":["SE"],"power_kw":81,"manufacturer":"Saab","bodywork_form":"covered_body","energy_sources":["petrol"],"production_year":1989,"manufacturer_role":"vehicle_manufacturer","power_source_unit":"kw","registration_date":"1989-02-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I8 AB25J","target":"normalized","rule_ids":["MFE-CC8089323A8D5F","MFR-BRAND-REVIEWED-EXAMPLE"],"sequence":3,"transformer_id":"ts.manufacturer","confidence_effect":0.2},{"after":"Saab","field":"manufacturer","before":"SAAB 900 I8 AB25J","target":"normalized","rule_ids":["MFE-CC8089323A8D5F","MFR-BRAND-REVIEWED-EXAMPLE"],"sequence":4,"transformer_id":"ts.manufacturer","confidence_effect":0.2},{"after":"vehicle_manufacturer","field":"manufacturer_role","before":"SAAB 900 I8 AB25J","target":"normalized","rule_ids":["MFE-CC8089323A8D5F","MFR-BRAND-REVIEWED-EXAMPLE"],"sequence":5,"transformer_id":"ts.manufacturer","confidence_effect":0.2},{"after":"model_year","field":"production_date_precision","before":{"model_year":1989,"vehicle_year":1989,"registration_date":"19890228"},"target":"normalized","rule_ids":["DATE-REGISTRATION-V1","DATE-PRODUCTION-YEAR-V1"],"sequence":6,"transformer_id":"ts.dates","confidence_effect":0.1},{"after":1989,"field":"production_year","before":{"model_year":1989,"vehicle_year":1989,"registration_date":"19890228"},"target":"normalized","rule_ids":["DATE-REGISTRATION-V1","DATE-PRODUCTION-YEAR-V1"],"sequence":7,"transformer_id":"ts.dates","confidence_effect":0.1},{"after":"1989-02-28","field":"registration_date","before":{"model_year":1989,"vehicle_year":1989,"registration_date":"19890228"},"target":"normalized","rule_ids":["DATE-REGISTRATION-V1","DATE-PRODUCTION-YEAR-V1"],"sequence":8,"transformer_id":"ts.dates","confidence_effect":0.1},{"after":81,"field":"power_kw","before":81,"target":"normalized","rule_ids":["UNIT-POWER-KW-V1"],"sequence":9,"transformer_id":"ts.engine-measurements","confidence_effect":0.1},{"after":"kw","field":"power_source_unit","before":81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21" s="36" t="n">
        <x:v>46239.78067015046</x:v>
      </x:c>
      <x:c r="AA121" s="36" t="n">
        <x:v>46239.78067015046</x:v>
      </x:c>
    </x:row>
    <x:row r="122" ht="18" customHeight="1">
      <x:c r="A122" s="36" t="n">
        <x:v>2724</x:v>
      </x:c>
      <x:c r="B122" s="36" t="str">
        <x:v>c0f4b93f-baa4-56db-81ef-ce4cc0139e1a</x:v>
      </x:c>
      <x:c r="C122" s="36" t="str">
        <x:v>Transportstyrelsen</x:v>
      </x:c>
      <x:c r="D122" s="36" t="str">
        <x:v>normalization-review-passenger-250-v1-rules-20260805T184409855703Z</x:v>
      </x:c>
      <x:c r="E122" s="36" t="str">
        <x:v>staging.transportstyrelsen_raw</x:v>
      </x:c>
      <x:c r="F122" s="36" t="n">
        <x:v>2842</x:v>
      </x:c>
      <x:c r="G122" s="36" t="str">
        <x:v>ts-mapping-v1</x:v>
      </x:c>
      <x:c r="H122" s="36" t="str">
        <x:v>ts-review-20260805T184254528647Z</x:v>
      </x:c>
      <x:c r="I122" s="36" t="str">
        <x:v>normalization-pipeline-v4</x:v>
      </x:c>
      <x:c r="J122" s="36" t="str">
        <x:v>resolved</x:v>
      </x:c>
      <x:c r="K122" s="39" t="n">
        <x:v>0.95</x:v>
      </x:c>
      <x:c r="L122" s="36" t="str">
        <x:v>Saab</x:v>
      </x:c>
      <x:c r="M122" s="36"/>
      <x:c r="N122" s="36" t="str">
        <x:v>estate</x:v>
      </x:c>
      <x:c r="O122" s="38" t="str">
        <x:v>["petrol"]</x:v>
      </x:c>
      <x:c r="P122" s="36" t="str">
        <x:v>manual</x:v>
      </x:c>
      <x:c r="Q122" s="36" t="n">
        <x:v>1998</x:v>
      </x:c>
      <x:c r="R122" s="38" t="str">
        <x:v>["MFE-CC8089323A8D5F","MFR-BRAND-REVIEWED-EXAMPLE","DATE-REGISTRATION-V1","DATE-PRODUCTION-YEAR-V1","UNIT-POWER-KW-V1","TRN-001","BDY-103","FUEL-001"]</x:v>
      </x:c>
      <x:c r="S122" s="38" t="str">
        <x:v>[]</x:v>
      </x:c>
      <x:c r="T122" s="38" t="str">
        <x:v>[]</x:v>
      </x:c>
      <x:c r="U122" s="38" t="str">
        <x:v>{"market":["SE"],"power_kw":165,"manufacturer":"Saab","bodywork_form":"estate","energy_sources":["petrol"],"production_year":1998,"manufacturer_role":"vehicle_manufacturer","power_source_unit":"kw","registration_date":"1998-04-27","transmission_type":"manual","alias_types_present":["plate","vin"],"builder_converter_names":[],"production_date_precision":"model_year","bodywork_registry_label_sv":"Kombi"}</x:v>
      </x:c>
      <x:c r="V122" s="38" t="str">
        <x:v>{}</x:v>
      </x:c>
      <x:c r="W1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CSE 2.3 TURBO","target":"normalized","rule_ids":["MFE-CC8089323A8D5F","MFR-BRAND-REVIEWED-EXAMPLE"],"sequence":3,"transformer_id":"ts.manufacturer","confidence_effect":0.2},{"after":"Saab","field":"manufacturer","before":"SAAB 9000 CSE 2.3 TURBO","target":"normalized","rule_ids":["MFE-CC8089323A8D5F","MFR-BRAND-REVIEWED-EXAMPLE"],"sequence":4,"transformer_id":"ts.manufacturer","confidence_effect":0.2},{"after":"vehicle_manufacturer","field":"manufacturer_role","before":"SAAB 9000 CSE 2.3 TURBO","target":"normalized","rule_ids":["MFE-CC8089323A8D5F","MFR-BRAND-REVIEWED-EXAMPLE"],"sequence":5,"transformer_id":"ts.manufacturer","confidence_effect":0.2},{"after":"model_year","field":"production_date_precision","before":{"model_year":1998,"vehicle_year":1998,"registration_date":"19980427"},"target":"normalized","rule_ids":["DATE-REGISTRATION-V1","DATE-PRODUCTION-YEAR-V1"],"sequence":6,"transformer_id":"ts.dates","confidence_effect":0.1},{"after":1998,"field":"production_year","before":{"model_year":1998,"vehicle_year":1998,"registration_date":"19980427"},"target":"normalized","rule_ids":["DATE-REGISTRATION-V1","DATE-PRODUCTION-YEAR-V1"],"sequence":7,"transformer_id":"ts.dates","confidence_effect":0.1},{"after":"1998-04-27","field":"registration_date","before":{"model_year":1998,"vehicle_year":1998,"registration_date":"19980427"},"target":"normalized","rule_ids":["DATE-REGISTRATION-V1","DATE-PRODUCTION-YEAR-V1"],"sequence":8,"transformer_id":"ts.dates","confidence_effect":0.1},{"after":165,"field":"power_kw","before":165,"target":"normalized","rule_ids":["UNIT-POWER-KW-V1"],"sequence":9,"transformer_id":"ts.engine-measurements","confidence_effect":0.1},{"after":"kw","field":"power_source_unit","before":165,"target":"normalized","rule_ids":["UNIT-POWER-KW-V1"],"sequence":10,"transformer_id":"ts.engine-measurements","confidence_effect":0.1},{"after":"manual","field":"transmission_type","before":{"gearbox":"M","variant":"21(CHPHXX)","version":"01(M3)"},"target":"normalized","rule_ids":["TRN-001"],"sequence":11,"transformer_id":"ts.transmission","confidence_effect":0.1},{"after":"estate","field":"bodywork_form","before":{"variant":"21(CHPHXX)","version":"01(M3)","body_code":"03","eu_category":"M1","vehicle_type":"PB"},"target":"normalized","rule_ids":["BDY-103"],"sequence":12,"transformer_id":"ts.bodywork","confidence_effect":0.1},{"after":"Kombi","field":"bodywork_registry_label_sv","before":{"variant":"21(CHPHXX)","version":"01(M3)","body_code":"03","eu_category":"M1","vehicle_type":"PB"},"target":"normalized","rule_ids":["BDY-103"],"sequence":13,"transformer_id":"ts.bodywork","confidence_effect":0.1},{"after":["petrol"],"field":"energy_sources","before":{"fuel1":"1","fuel2":"0","fuel3":"0","variant":"21(CHPHXX)","version":"01(M3)"},"target":"normalized","rule_ids":["FUEL-001"],"sequence":14,"transformer_id":"ts.fuel","confidence_effect":0.0}]</x:v>
      </x:c>
      <x:c r="X12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2" s="38" t="str">
        <x:v>{"candidates":{},"confidence":0.95,"normalized":{"market":["SE"],"power_kw":165,"manufacturer":"Saab","bodywork_form":"estate","energy_sources":["petrol"],"production_year":1998,"manufacturer_role":"vehicle_manufacturer","power_source_unit":"kw","registration_date":"1998-04-27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CSE 2.3 TURBO","target":"normalized","rule_ids":["MFE-CC8089323A8D5F","MFR-BRAND-REVIEWED-EXAMPLE"],"sequence":3,"transformer_id":"ts.manufacturer","confidence_effect":0.2},{"after":"Saab","field":"manufacturer","before":"SAAB 9000 CSE 2.3 TURBO","target":"normalized","rule_ids":["MFE-CC8089323A8D5F","MFR-BRAND-REVIEWED-EXAMPLE"],"sequence":4,"transformer_id":"ts.manufacturer","confidence_effect":0.2},{"after":"vehicle_manufacturer","field":"manufacturer_role","before":"SAAB 9000 CSE 2.3 TURBO","target":"normalized","rule_ids":["MFE-CC8089323A8D5F","MFR-BRAND-REVIEWED-EXAMPLE"],"sequence":5,"transformer_id":"ts.manufacturer","confidence_effect":0.2},{"after":"model_year","field":"production_date_precision","before":{"model_year":1998,"vehicle_year":1998,"registration_date":"19980427"},"target":"normalized","rule_ids":["DATE-REGISTRATION-V1","DATE-PRODUCTION-YEAR-V1"],"sequence":6,"transformer_id":"ts.dates","confidence_effect":0.1},{"after":1998,"field":"production_year","before":{"model_year":1998,"vehicle_year":1998,"registration_date":"19980427"},"target":"normalized","rule_ids":["DATE-REGISTRATION-V1","DATE-PRODUCTION-YEAR-V1"],"sequence":7,"transformer_id":"ts.dates","confidence_effect":0.1},{"after":"1998-04-27","field":"registration_date","before":{"model_year":1998,"vehicle_year":1998,"registration_date":"19980427"},"target":"normalized","rule_ids":["DATE-REGISTRATION-V1","DATE-PRODUCTION-YEAR-V1"],"sequence":8,"transformer_id":"ts.dates","confidence_effect":0.1},{"after":165,"field":"power_kw","before":165,"target":"normalized","rule_ids":["UNIT-POWER-KW-V1"],"sequence":9,"transformer_id":"ts.engine-measurements","confidence_effect":0.1},{"after":"kw","field":"power_source_unit","before":165,"target":"normalized","rule_ids":["UNIT-POWER-KW-V1"],"sequence":10,"transformer_id":"ts.engine-measurements","confidence_effect":0.1},{"after":"manual","field":"transmission_type","before":{"gearbox":"M","variant":"21(CHPHXX)","version":"01(M3)"},"target":"normalized","rule_ids":["TRN-001"],"sequence":11,"transformer_id":"ts.transmission","confidence_effect":0.1},{"after":"estate","field":"bodywork_form","before":{"variant":"21(CHPHXX)","version":"01(M3)","body_code":"03","eu_category":"M1","vehicle_type":"PB"},"target":"normalized","rule_ids":["BDY-103"],"sequence":12,"transformer_id":"ts.bodywork","confidence_effect":0.1},{"after":"Kombi","field":"bodywork_registry_label_sv","before":{"variant":"21(CHPHXX)","version":"01(M3)","body_code":"03","eu_category":"M1","vehicle_type":"PB"},"target":"normalized","rule_ids":["BDY-103"],"sequence":13,"transformer_id":"ts.bodywork","confidence_effect":0.1},{"after":["petrol"],"field":"energy_sources","before":{"fuel1":"1","fuel2":"0","fuel3":"0","variant":"21(CHPHXX)","version":"01(M3)"},"target":"normalized","rule_ids":["FUEL-001"],"sequence":14,"transformer_id":"ts.fuel","confidence_effect":0.0}],"pipeline_version":"normalization-pipeline-v4","candidate_rule_ids":[]}</x:v>
      </x:c>
      <x:c r="Z122" s="36" t="n">
        <x:v>46239.78067015046</x:v>
      </x:c>
      <x:c r="AA122" s="36" t="n">
        <x:v>46239.78067015046</x:v>
      </x:c>
    </x:row>
    <x:row r="123" ht="18" customHeight="1">
      <x:c r="A123" s="36" t="n">
        <x:v>2725</x:v>
      </x:c>
      <x:c r="B123" s="36" t="str">
        <x:v>f87ab2ec-9617-5276-bc0a-390835a4a474</x:v>
      </x:c>
      <x:c r="C123" s="36" t="str">
        <x:v>Transportstyrelsen</x:v>
      </x:c>
      <x:c r="D123" s="36" t="str">
        <x:v>normalization-review-passenger-250-v1-rules-20260805T184409855703Z</x:v>
      </x:c>
      <x:c r="E123" s="36" t="str">
        <x:v>staging.transportstyrelsen_raw</x:v>
      </x:c>
      <x:c r="F123" s="36" t="n">
        <x:v>2843</x:v>
      </x:c>
      <x:c r="G123" s="36" t="str">
        <x:v>ts-mapping-v1</x:v>
      </x:c>
      <x:c r="H123" s="36" t="str">
        <x:v>ts-review-20260805T184254528647Z</x:v>
      </x:c>
      <x:c r="I123" s="36" t="str">
        <x:v>normalization-pipeline-v4</x:v>
      </x:c>
      <x:c r="J123" s="36" t="str">
        <x:v>resolved</x:v>
      </x:c>
      <x:c r="K123" s="39" t="n">
        <x:v>0.95</x:v>
      </x:c>
      <x:c r="L123" s="36" t="str">
        <x:v>Saab</x:v>
      </x:c>
      <x:c r="M123" s="36"/>
      <x:c r="N123" s="36" t="str">
        <x:v>estate</x:v>
      </x:c>
      <x:c r="O123" s="38" t="str">
        <x:v>["petrol"]</x:v>
      </x:c>
      <x:c r="P123" s="36" t="str">
        <x:v>manual</x:v>
      </x:c>
      <x:c r="Q123" s="36" t="n">
        <x:v>1999</x:v>
      </x:c>
      <x:c r="R123" s="38" t="str">
        <x:v>["MFE-CC8089323A8D5F","MFR-BRAND-REVIEWED-EXAMPLE","DATE-REGISTRATION-V1","DATE-PRODUCTION-MONTH-V1","UNIT-POWER-KW-V1","TRN-001","BDY-103","FUEL-001"]</x:v>
      </x:c>
      <x:c r="S123" s="38" t="str">
        <x:v>[]</x:v>
      </x:c>
      <x:c r="T123" s="38" t="str">
        <x:v>[]</x:v>
      </x:c>
      <x:c r="U123" s="38" t="str">
        <x:v>{"market":["SE"],"power_kw":96,"manufacturer":"Saab","bodywork_form":"estate","energy_sources":["petrol"],"production_date":"1999-02","production_year":1999,"manufacturer_role":"vehicle_manufacturer","power_source_unit":"kw","registration_date":"1999-03-08","transmission_type":"manual","alias_types_present":["plate","vin"],"builder_converter_names":[],"production_date_precision":"month","bodywork_registry_label_sv":"Kombi"}</x:v>
      </x:c>
      <x:c r="V123" s="38" t="str">
        <x:v>{}</x:v>
      </x:c>
      <x:c r="W1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 5D 2.0I","target":"normalized","rule_ids":["MFE-CC8089323A8D5F","MFR-BRAND-REVIEWED-EXAMPLE"],"sequence":3,"transformer_id":"ts.manufacturer","confidence_effect":0.2},{"after":"Saab","field":"manufacturer","before":"SAAB 9-3 S 5D 2.0I","target":"normalized","rule_ids":["MFE-CC8089323A8D5F","MFR-BRAND-REVIEWED-EXAMPLE"],"sequence":4,"transformer_id":"ts.manufacturer","confidence_effect":0.2},{"after":"vehicle_manufacturer","field":"manufacturer_role","before":"SAAB 9-3 S 5D 2.0I","target":"normalized","rule_ids":["MFE-CC8089323A8D5F","MFR-BRAND-REVIEWED-EXAMPLE"],"sequence":5,"transformer_id":"ts.manufacturer","confidence_effect":0.2},{"after":"1999-02","field":"production_date","before":{"build_month":"199902","vehicle_year":1999,"registration_date":"19990308"},"target":"normalized","rule_ids":["DATE-REGISTRATION-V1","DATE-PRODUCTION-MONTH-V1"],"sequence":6,"transformer_id":"ts.dates","confidence_effect":0.1},{"after":"month","field":"production_date_precision","before":{"build_month":"199902","vehicle_year":1999,"registration_date":"19990308"},"target":"normalized","rule_ids":["DATE-REGISTRATION-V1","DATE-PRODUCTION-MONTH-V1"],"sequence":7,"transformer_id":"ts.dates","confidence_effect":0.1},{"after":1999,"field":"production_year","before":{"build_month":"199902","vehicle_year":1999,"registration_date":"19990308"},"target":"normalized","rule_ids":["DATE-REGISTRATION-V1","DATE-PRODUCTION-MONTH-V1"],"sequence":8,"transformer_id":"ts.dates","confidence_effect":0.1},{"after":"1999-03-08","field":"registration_date","before":{"build_month":"199902","vehicle_year":1999,"registration_date":"19990308"},"target":"normalized","rule_ids":["DATE-REGISTRATION-V1","DATE-PRODUCTION-MONTH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5J","version":"M05"},"target":"normalized","rule_ids":["TRN-001"],"sequence":12,"transformer_id":"ts.transmission","confidence_effect":0.1},{"after":"estate","field":"bodywork_form","before":{"variant":"5J","version":"M05","body_code":"03","eu_category":"M1","vehicle_type":"PB"},"target":"normalized","rule_ids":["BDY-103"],"sequence":13,"transformer_id":"ts.bodywork","confidence_effect":0.1},{"after":"Kombi","field":"bodywork_registry_label_sv","before":{"variant":"5J","version":"M05","body_code":"03","eu_category":"M1","vehicle_type":"PB"},"target":"normalized","rule_ids":["BDY-103"],"sequence":14,"transformer_id":"ts.bodywork","confidence_effect":0.1},{"after":["petrol"],"field":"energy_sources","before":{"fuel1":"1","fuel2":"0","fuel3":"0","variant":"5J","version":"M05"},"target":"normalized","rule_ids":["FUEL-001"],"sequence":15,"transformer_id":"ts.fuel","confidence_effect":0.0}]</x:v>
      </x:c>
      <x:c r="X12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3" s="38" t="str">
        <x:v>{"candidates":{},"confidence":0.95,"normalized":{"market":["SE"],"power_kw":96,"manufacturer":"Saab","bodywork_form":"estate","energy_sources":["petrol"],"production_date":"1999-02","production_year":1999,"manufacturer_role":"vehicle_manufacturer","power_source_unit":"kw","registration_date":"1999-03-08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 5D 2.0I","target":"normalized","rule_ids":["MFE-CC8089323A8D5F","MFR-BRAND-REVIEWED-EXAMPLE"],"sequence":3,"transformer_id":"ts.manufacturer","confidence_effect":0.2},{"after":"Saab","field":"manufacturer","before":"SAAB 9-3 S 5D 2.0I","target":"normalized","rule_ids":["MFE-CC8089323A8D5F","MFR-BRAND-REVIEWED-EXAMPLE"],"sequence":4,"transformer_id":"ts.manufacturer","confidence_effect":0.2},{"after":"vehicle_manufacturer","field":"manufacturer_role","before":"SAAB 9-3 S 5D 2.0I","target":"normalized","rule_ids":["MFE-CC8089323A8D5F","MFR-BRAND-REVIEWED-EXAMPLE"],"sequence":5,"transformer_id":"ts.manufacturer","confidence_effect":0.2},{"after":"1999-02","field":"production_date","before":{"build_month":"199902","vehicle_year":1999,"registration_date":"19990308"},"target":"normalized","rule_ids":["DATE-REGISTRATION-V1","DATE-PRODUCTION-MONTH-V1"],"sequence":6,"transformer_id":"ts.dates","confidence_effect":0.1},{"after":"month","field":"production_date_precision","before":{"build_month":"199902","vehicle_year":1999,"registration_date":"19990308"},"target":"normalized","rule_ids":["DATE-REGISTRATION-V1","DATE-PRODUCTION-MONTH-V1"],"sequence":7,"transformer_id":"ts.dates","confidence_effect":0.1},{"after":1999,"field":"production_year","before":{"build_month":"199902","vehicle_year":1999,"registration_date":"19990308"},"target":"normalized","rule_ids":["DATE-REGISTRATION-V1","DATE-PRODUCTION-MONTH-V1"],"sequence":8,"transformer_id":"ts.dates","confidence_effect":0.1},{"after":"1999-03-08","field":"registration_date","before":{"build_month":"199902","vehicle_year":1999,"registration_date":"19990308"},"target":"normalized","rule_ids":["DATE-REGISTRATION-V1","DATE-PRODUCTION-MONTH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5J","version":"M05"},"target":"normalized","rule_ids":["TRN-001"],"sequence":12,"transformer_id":"ts.transmission","confidence_effect":0.1},{"after":"estate","field":"bodywork_form","before":{"variant":"5J","version":"M05","body_code":"03","eu_category":"M1","vehicle_type":"PB"},"target":"normalized","rule_ids":["BDY-103"],"sequence":13,"transformer_id":"ts.bodywork","confidence_effect":0.1},{"after":"Kombi","field":"bodywork_registry_label_sv","before":{"variant":"5J","version":"M05","body_code":"03","eu_category":"M1","vehicle_type":"PB"},"target":"normalized","rule_ids":["BDY-103"],"sequence":14,"transformer_id":"ts.bodywork","confidence_effect":0.1},{"after":["petrol"],"field":"energy_sources","before":{"fuel1":"1","fuel2":"0","fuel3":"0","variant":"5J","version":"M05"},"target":"normalized","rule_ids":["FUEL-001"],"sequence":15,"transformer_id":"ts.fuel","confidence_effect":0.0}],"pipeline_version":"normalization-pipeline-v4","candidate_rule_ids":[]}</x:v>
      </x:c>
      <x:c r="Z123" s="36" t="n">
        <x:v>46239.78067015046</x:v>
      </x:c>
      <x:c r="AA123" s="36" t="n">
        <x:v>46239.78067015046</x:v>
      </x:c>
    </x:row>
    <x:row r="124" ht="18" customHeight="1">
      <x:c r="A124" s="36" t="n">
        <x:v>2726</x:v>
      </x:c>
      <x:c r="B124" s="36" t="str">
        <x:v>e8491167-d100-5ef4-b584-5c49b4c75b46</x:v>
      </x:c>
      <x:c r="C124" s="36" t="str">
        <x:v>Transportstyrelsen</x:v>
      </x:c>
      <x:c r="D124" s="36" t="str">
        <x:v>normalization-review-passenger-250-v1-rules-20260805T184409855703Z</x:v>
      </x:c>
      <x:c r="E124" s="36" t="str">
        <x:v>staging.transportstyrelsen_raw</x:v>
      </x:c>
      <x:c r="F124" s="36" t="n">
        <x:v>2844</x:v>
      </x:c>
      <x:c r="G124" s="36" t="str">
        <x:v>ts-mapping-v1</x:v>
      </x:c>
      <x:c r="H124" s="36" t="str">
        <x:v>ts-review-20260805T184254528647Z</x:v>
      </x:c>
      <x:c r="I124" s="36" t="str">
        <x:v>normalization-pipeline-v4</x:v>
      </x:c>
      <x:c r="J124" s="36" t="str">
        <x:v>resolved</x:v>
      </x:c>
      <x:c r="K124" s="39" t="n">
        <x:v>0.95</x:v>
      </x:c>
      <x:c r="L124" s="36" t="str">
        <x:v>Saab</x:v>
      </x:c>
      <x:c r="M124" s="36"/>
      <x:c r="N124" s="36" t="str">
        <x:v>covered_body</x:v>
      </x:c>
      <x:c r="O124" s="38" t="str">
        <x:v>["petrol"]</x:v>
      </x:c>
      <x:c r="P124" s="36" t="str">
        <x:v>manual</x:v>
      </x:c>
      <x:c r="Q124" s="36" t="n">
        <x:v>1974</x:v>
      </x:c>
      <x:c r="R124" s="38" t="str">
        <x:v>["MFE-CC8089323A8D5F","MFR-BRAND-REVIEWED-EXAMPLE","DATE-REGISTRATION-V1","DATE-PRODUCTION-YEAR-V1","UNIT-POWER-KW-V1","TRN-001","BDY-102","FUEL-001"]</x:v>
      </x:c>
      <x:c r="S124" s="38" t="str">
        <x:v>[]</x:v>
      </x:c>
      <x:c r="T124" s="38" t="str">
        <x:v>[]</x:v>
      </x:c>
      <x:c r="U124" s="38" t="str">
        <x:v>{"market":["SE"],"power_kw":48,"manufacturer":"Saab","bodywork_form":"covered_body","energy_sources":["petrol"],"production_year":1974,"manufacturer_role":"vehicle_manufacturer","power_source_unit":"kw","registration_date":"1973-09-03","transmission_type":"manual","alias_types_present":["plate","vin"],"builder_converter_names":[],"production_date_precision":"model_year","bodywork_registry_label_sv":"Täckt"}</x:v>
      </x:c>
      <x:c r="V124" s="38" t="str">
        <x:v>{}</x:v>
      </x:c>
      <x:c r="W1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 LHD","target":"normalized","rule_ids":["MFE-CC8089323A8D5F","MFR-BRAND-REVIEWED-EXAMPLE"],"sequence":3,"transformer_id":"ts.manufacturer","confidence_effect":0.2},{"after":"Saab","field":"manufacturer","before":"SAAB 96 V4 LHD","target":"normalized","rule_ids":["MFE-CC8089323A8D5F","MFR-BRAND-REVIEWED-EXAMPLE"],"sequence":4,"transformer_id":"ts.manufacturer","confidence_effect":0.2},{"after":"vehicle_manufacturer","field":"manufacturer_role","before":"SAAB 96 V4 LHD","target":"normalized","rule_ids":["MFE-CC8089323A8D5F","MFR-BRAND-REVIEWED-EXAMPLE"],"sequence":5,"transformer_id":"ts.manufacturer","confidence_effect":0.2},{"after":"model_year","field":"production_date_precision","before":{"model_year":1974,"vehicle_year":1974,"registration_date":"19730903"},"target":"normalized","rule_ids":["DATE-REGISTRATION-V1","DATE-PRODUCTION-YEAR-V1"],"sequence":6,"transformer_id":"ts.dates","confidence_effect":0.1},{"after":1974,"field":"production_year","before":{"model_year":1974,"vehicle_year":1974,"registration_date":"19730903"},"target":"normalized","rule_ids":["DATE-REGISTRATION-V1","DATE-PRODUCTION-YEAR-V1"],"sequence":7,"transformer_id":"ts.dates","confidence_effect":0.1},{"after":"1973-09-03","field":"registration_date","before":{"model_year":1974,"vehicle_year":1974,"registration_date":"19730903"},"target":"normalized","rule_ids":["DATE-REGISTRATION-V1","DATE-PRODUCTION-YEAR-V1"],"sequence":8,"transformer_id":"ts.dates","confidence_effect":0.1},{"after":48,"field":"power_kw","before":48,"target":"normalized","rule_ids":["UNIT-POWER-KW-V1"],"sequence":9,"transformer_id":"ts.engine-measurements","confidence_effect":0.1},{"after":"kw","field":"power_source_unit","before":48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2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4" s="38" t="str">
        <x:v>{"candidates":{},"confidence":0.95,"normalized":{"market":["SE"],"power_kw":48,"manufacturer":"Saab","bodywork_form":"covered_body","energy_sources":["petrol"],"production_year":1974,"manufacturer_role":"vehicle_manufacturer","power_source_unit":"kw","registration_date":"1973-09-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 LHD","target":"normalized","rule_ids":["MFE-CC8089323A8D5F","MFR-BRAND-REVIEWED-EXAMPLE"],"sequence":3,"transformer_id":"ts.manufacturer","confidence_effect":0.2},{"after":"Saab","field":"manufacturer","before":"SAAB 96 V4 LHD","target":"normalized","rule_ids":["MFE-CC8089323A8D5F","MFR-BRAND-REVIEWED-EXAMPLE"],"sequence":4,"transformer_id":"ts.manufacturer","confidence_effect":0.2},{"after":"vehicle_manufacturer","field":"manufacturer_role","before":"SAAB 96 V4 LHD","target":"normalized","rule_ids":["MFE-CC8089323A8D5F","MFR-BRAND-REVIEWED-EXAMPLE"],"sequence":5,"transformer_id":"ts.manufacturer","confidence_effect":0.2},{"after":"model_year","field":"production_date_precision","before":{"model_year":1974,"vehicle_year":1974,"registration_date":"19730903"},"target":"normalized","rule_ids":["DATE-REGISTRATION-V1","DATE-PRODUCTION-YEAR-V1"],"sequence":6,"transformer_id":"ts.dates","confidence_effect":0.1},{"after":1974,"field":"production_year","before":{"model_year":1974,"vehicle_year":1974,"registration_date":"19730903"},"target":"normalized","rule_ids":["DATE-REGISTRATION-V1","DATE-PRODUCTION-YEAR-V1"],"sequence":7,"transformer_id":"ts.dates","confidence_effect":0.1},{"after":"1973-09-03","field":"registration_date","before":{"model_year":1974,"vehicle_year":1974,"registration_date":"19730903"},"target":"normalized","rule_ids":["DATE-REGISTRATION-V1","DATE-PRODUCTION-YEAR-V1"],"sequence":8,"transformer_id":"ts.dates","confidence_effect":0.1},{"after":48,"field":"power_kw","before":48,"target":"normalized","rule_ids":["UNIT-POWER-KW-V1"],"sequence":9,"transformer_id":"ts.engine-measurements","confidence_effect":0.1},{"after":"kw","field":"power_source_unit","before":48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24" s="36" t="n">
        <x:v>46239.78067015046</x:v>
      </x:c>
      <x:c r="AA124" s="36" t="n">
        <x:v>46239.78067015046</x:v>
      </x:c>
    </x:row>
    <x:row r="125" ht="18" customHeight="1">
      <x:c r="A125" s="36" t="n">
        <x:v>2727</x:v>
      </x:c>
      <x:c r="B125" s="36" t="str">
        <x:v>8d585538-1d72-5b13-836a-246575ef40c1</x:v>
      </x:c>
      <x:c r="C125" s="36" t="str">
        <x:v>Transportstyrelsen</x:v>
      </x:c>
      <x:c r="D125" s="36" t="str">
        <x:v>normalization-review-passenger-250-v1-rules-20260805T184409855703Z</x:v>
      </x:c>
      <x:c r="E125" s="36" t="str">
        <x:v>staging.transportstyrelsen_raw</x:v>
      </x:c>
      <x:c r="F125" s="36" t="n">
        <x:v>2845</x:v>
      </x:c>
      <x:c r="G125" s="36" t="str">
        <x:v>ts-mapping-v1</x:v>
      </x:c>
      <x:c r="H125" s="36" t="str">
        <x:v>ts-review-20260805T184254528647Z</x:v>
      </x:c>
      <x:c r="I125" s="36" t="str">
        <x:v>normalization-pipeline-v4</x:v>
      </x:c>
      <x:c r="J125" s="36" t="str">
        <x:v>provisional</x:v>
      </x:c>
      <x:c r="K125" s="39" t="n">
        <x:v>0.8</x:v>
      </x:c>
      <x:c r="L125" s="36" t="str">
        <x:v>Toyota</x:v>
      </x:c>
      <x:c r="M125" s="36" t="str">
        <x:v>TOYOTA YARIS</x:v>
      </x:c>
      <x:c r="N125" s="36" t="str">
        <x:v>multi_purpose_vehicle</x:v>
      </x:c>
      <x:c r="O125" s="38" t="str">
        <x:v>["petrol"]</x:v>
      </x:c>
      <x:c r="P125" s="36" t="str">
        <x:v>manual</x:v>
      </x:c>
      <x:c r="Q125" s="36" t="n">
        <x:v>2010</x:v>
      </x:c>
      <x:c r="R125" s="38" t="str">
        <x:v>["MFR-BRAND-CONFIRMED","MFR-BRAND-MODEL","DATE-REGISTRATION-V1","DATE-PRODUCTION-MONTH-V1","UNIT-POWER-KW-V1","UNIT-DISPLACEMENT-CCM-V1","TRN-001","BDY-113","FUEL-001"]</x:v>
      </x:c>
      <x:c r="S125" s="38" t="str">
        <x:v>[]</x:v>
      </x:c>
      <x:c r="T125" s="38" t="str">
        <x:v>[]</x:v>
      </x:c>
      <x:c r="U125" s="38" t="str">
        <x:v>{"market":["SE"],"power_kw":73,"manufacturer":"Toyota","bodywork_form":"multi_purpose_vehicle","energy_sources":["petrol"],"displacement_cc":1329,"production_date":"2010-07","production_year":2010,"manufacturer_role":"vehicle_manufacturer","power_source_unit":"kw","registration_date":"2010-11-04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25" s="38" t="str">
        <x:v>{"model_family":"TOYOTA YARIS"}</x:v>
      </x:c>
      <x:c r="W1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2010-07","field":"production_date","before":{"build_month":"201007","vehicle_year":2010,"registration_date":"20101104"},"target":"normalized","rule_ids":["DATE-REGISTRATION-V1","DATE-PRODUCTION-MONTH-V1"],"sequence":8,"transformer_id":"ts.dates","confidence_effect":0.1},{"after":"month","field":"production_date_precision","before":{"build_month":"201007","vehicle_year":2010,"registration_date":"20101104"},"target":"normalized","rule_ids":["DATE-REGISTRATION-V1","DATE-PRODUCTION-MONTH-V1"],"sequence":9,"transformer_id":"ts.dates","confidence_effect":0.1},{"after":2010,"field":"production_year","before":{"build_month":"201007","vehicle_year":2010,"registration_date":"20101104"},"target":"normalized","rule_ids":["DATE-REGISTRATION-V1","DATE-PRODUCTION-MONTH-V1"],"sequence":10,"transformer_id":"ts.dates","confidence_effect":0.1},{"after":"2010-11-04","field":"registration_date","before":{"build_month":"201007","vehicle_year":2010,"registration_date":"20101104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YARIS","gearbox":"M","variant":"NSP90(H)","version":"NSP90L-CHFGKW(2F)"},"target":"normalized","rule_ids":["TRN-001"],"sequence":16,"transformer_id":"ts.transmission","confidence_effect":0.1},{"after":"multi_purpose_vehicle","field":"bodywork_form","before":{"model":"TOYOTA YARIS","variant":"NSP90(H)","version":"NSP90L-CHFGKW(2F)","body_code":"AF","eu_category":"M1","vehicle_type":"PB"},"target":"normalized","rule_ids":["BDY-113"],"sequence":17,"transformer_id":"ts.bodywork","confidence_effect":0.1},{"after":"Fordon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90(H)","version":"NSP90L-CHFGKW(2F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YARIS","variant":"NSP90(H)","version":"NSP90L-CHFGKW(2F)"},"target":"normalized","rule_ids":["FUEL-001"],"sequence":19,"transformer_id":"ts.fuel","confidence_effect":0.0}]</x:v>
      </x:c>
      <x:c r="X12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5" s="38" t="str">
        <x:v>{"candidates":{"model_family":"TOYOTA YARIS"},"confidence":0.8,"normalized":{"market":["SE"],"power_kw":73,"manufacturer":"Toyota","bodywork_form":"multi_purpose_vehicle","energy_sources":["petrol"],"displacement_cc":1329,"production_date":"2010-07","production_year":2010,"manufacturer_role":"vehicle_manufacturer","power_source_unit":"kw","registration_date":"2010-11-04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2010-07","field":"production_date","before":{"build_month":"201007","vehicle_year":2010,"registration_date":"20101104"},"target":"normalized","rule_ids":["DATE-REGISTRATION-V1","DATE-PRODUCTION-MONTH-V1"],"sequence":8,"transformer_id":"ts.dates","confidence_effect":0.1},{"after":"month","field":"production_date_precision","before":{"build_month":"201007","vehicle_year":2010,"registration_date":"20101104"},"target":"normalized","rule_ids":["DATE-REGISTRATION-V1","DATE-PRODUCTION-MONTH-V1"],"sequence":9,"transformer_id":"ts.dates","confidence_effect":0.1},{"after":2010,"field":"production_year","before":{"build_month":"201007","vehicle_year":2010,"registration_date":"20101104"},"target":"normalized","rule_ids":["DATE-REGISTRATION-V1","DATE-PRODUCTION-MONTH-V1"],"sequence":10,"transformer_id":"ts.dates","confidence_effect":0.1},{"after":"2010-11-04","field":"registration_date","before":{"build_month":"201007","vehicle_year":2010,"registration_date":"20101104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YARIS","gearbox":"M","variant":"NSP90(H)","version":"NSP90L-CHFGKW(2F)"},"target":"normalized","rule_ids":["TRN-001"],"sequence":16,"transformer_id":"ts.transmission","confidence_effect":0.1},{"after":"multi_purpose_vehicle","field":"bodywork_form","before":{"model":"TOYOTA YARIS","variant":"NSP90(H)","version":"NSP90L-CHFGKW(2F)","body_code":"AF","eu_category":"M1","vehicle_type":"PB"},"target":"normalized","rule_ids":["BDY-113"],"sequence":17,"transformer_id":"ts.bodywork","confidence_effect":0.1},{"after":"Fordon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90(H)","version":"NSP90L-CHFGKW(2F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YARIS","variant":"NSP90(H)","version":"NSP90L-CHFGKW(2F)"},"target":"normalized","rule_ids":["FUEL-001"],"sequence":19,"transformer_id":"ts.fuel","confidence_effect":0.0}],"pipeline_version":"normalization-pipeline-v4","candidate_rule_ids":[]}</x:v>
      </x:c>
      <x:c r="Z125" s="36" t="n">
        <x:v>46239.78067015046</x:v>
      </x:c>
      <x:c r="AA125" s="36" t="n">
        <x:v>46239.78067015046</x:v>
      </x:c>
    </x:row>
    <x:row r="126" ht="18" customHeight="1">
      <x:c r="A126" s="36" t="n">
        <x:v>2728</x:v>
      </x:c>
      <x:c r="B126" s="36" t="str">
        <x:v>6b779371-3929-54e8-b1f4-bf259cc3e9cf</x:v>
      </x:c>
      <x:c r="C126" s="36" t="str">
        <x:v>Transportstyrelsen</x:v>
      </x:c>
      <x:c r="D126" s="36" t="str">
        <x:v>normalization-review-passenger-250-v1-rules-20260805T184409855703Z</x:v>
      </x:c>
      <x:c r="E126" s="36" t="str">
        <x:v>staging.transportstyrelsen_raw</x:v>
      </x:c>
      <x:c r="F126" s="36" t="n">
        <x:v>2846</x:v>
      </x:c>
      <x:c r="G126" s="36" t="str">
        <x:v>ts-mapping-v1</x:v>
      </x:c>
      <x:c r="H126" s="36" t="str">
        <x:v>ts-review-20260805T184254528647Z</x:v>
      </x:c>
      <x:c r="I126" s="36" t="str">
        <x:v>normalization-pipeline-v4</x:v>
      </x:c>
      <x:c r="J126" s="36" t="str">
        <x:v>provisional</x:v>
      </x:c>
      <x:c r="K126" s="39" t="n">
        <x:v>0.8</x:v>
      </x:c>
      <x:c r="L126" s="36" t="str">
        <x:v>Audi</x:v>
      </x:c>
      <x:c r="M126" s="36" t="str">
        <x:v>Q3 SPORTBACK</x:v>
      </x:c>
      <x:c r="N126" s="36" t="str">
        <x:v>hatchback</x:v>
      </x:c>
      <x:c r="O126" s="38" t="str">
        <x:v>["petrol"]</x:v>
      </x:c>
      <x:c r="P126" s="36" t="str">
        <x:v>automatic</x:v>
      </x:c>
      <x:c r="Q126" s="36" t="n">
        <x:v>2023</x:v>
      </x:c>
      <x:c r="R126" s="38" t="str">
        <x:v>["MFR-102","DATE-REGISTRATION-V1","DATE-PRODUCTION-DAY-V1","UNIT-POWER-KW-V1","UNIT-DISPLACEMENT-CCM-V1","TRN-002","BDY-109","FUEL-001"]</x:v>
      </x:c>
      <x:c r="S126" s="38" t="str">
        <x:v>[]</x:v>
      </x:c>
      <x:c r="T126" s="38" t="str">
        <x:v>[]</x:v>
      </x:c>
      <x:c r="U126" s="38" t="str">
        <x:v>{"market":["SE"],"power_kw":110,"manufacturer":"Audi","bodywork_form":"hatchback","energy_sources":["petrol"],"displacement_cc":1498,"production_date":"2023-05-18","production_year":2023,"manufacturer_role":"vehicle_manufacturer","power_source_unit":"kw","registration_date":"2023-06-29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126" s="38" t="str">
        <x:v>{"model_family":"Q3 SPORTBACK"}</x:v>
      </x:c>
      <x:c r="W1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 SPORTBACK","target":"normalized","rule_ids":["MODEL-CANDIDATE-V1"],"sequence":6,"transformer_id":"ts.model-family","confidence_effect":0.0},{"after":"Q3 SPORTBACK","field":"model_family","before":"Q3 SPORTBACK","target":"candidate","rule_ids":["MODEL-CANDIDATE-V1"],"sequence":7,"transformer_id":"ts.model-family","confidence_effect":0.05},{"after":"2023-05-18","field":"production_date","before":{"build_date":"20230518","build_month":"202305","vehicle_year":2023,"registration_date":"20230629"},"target":"normalized","rule_ids":["DATE-REGISTRATION-V1","DATE-PRODUCTION-DAY-V1"],"sequence":8,"transformer_id":"ts.dates","confidence_effect":0.1},{"after":"day","field":"production_date_precision","before":{"build_date":"20230518","build_month":"202305","vehicle_year":2023,"registration_date":"20230629"},"target":"normalized","rule_ids":["DATE-REGISTRATION-V1","DATE-PRODUCTION-DAY-V1"],"sequence":9,"transformer_id":"ts.dates","confidence_effect":0.1},{"after":2023,"field":"production_year","before":{"build_date":"20230518","build_month":"202305","vehicle_year":2023,"registration_date":"20230629"},"target":"normalized","rule_ids":["DATE-REGISTRATION-V1","DATE-PRODUCTION-DAY-V1"],"sequence":10,"transformer_id":"ts.dates","confidence_effect":0.1},{"after":"2023-06-29","field":"registration_date","before":{"build_date":"20230518","build_month":"202305","vehicle_year":2023,"registration_date":"20230629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 SPORTBACK","gearbox":"A","variant":"SDXDBF1","version":"FD7FD7GC008RT51C194BIAHA3EM1BB0"},"target":"normalized","rule_ids":["TRN-002"],"sequence":16,"transformer_id":"ts.transmission","confidence_effect":0.1},{"after":"hatchback","field":"bodywork_form","before":{"model":"Q3 SPORTBACK","variant":"SDXDBF1","version":"FD7FD7GC008RT51C194BIAHA3EM1BB0","body_code":"AB","eu_category":"M1","vehicle_type":"PB"},"target":"normalized","rule_ids":["BDY-109"],"sequence":17,"transformer_id":"ts.bodywork","confidence_effect":0.1},{"after":"Halvkombi","field":"bodywork_registry_label_sv","before":{"model":"Q3 SPORTBACK","variant":"SDXDBF1","version":"FD7FD7GC008RT51C194BIAHA3EM1BB0","body_code":"AB","eu_category":"M1","vehicle_type":"PB"},"target":"normalized","rule_ids":["BDY-109"],"sequence":18,"transformer_id":"ts.bodywork","confidence_effect":0.1},{"after":["petrol"],"field":"energy_sources","before":{"fuel1":"1","fuel2":"0","fuel3":"0","model":"Q3 SPORTBACK","variant":"SDXDBF1","version":"FD7FD7GC008RT51C194BIAHA3EM1BB0"},"target":"normalized","rule_ids":["FUEL-001"],"sequence":19,"transformer_id":"ts.fuel","confidence_effect":0.0}]</x:v>
      </x:c>
      <x:c r="X126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6" s="38" t="str">
        <x:v>{"candidates":{"model_family":"Q3 SPORTBACK"},"confidence":0.8,"normalized":{"market":["SE"],"power_kw":110,"manufacturer":"Audi","bodywork_form":"hatchback","energy_sources":["petrol"],"displacement_cc":1498,"production_date":"2023-05-18","production_year":2023,"manufacturer_role":"vehicle_manufacturer","power_source_unit":"kw","registration_date":"2023-06-29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 SPORTBACK","target":"normalized","rule_ids":["MODEL-CANDIDATE-V1"],"sequence":6,"transformer_id":"ts.model-family","confidence_effect":0.0},{"after":"Q3 SPORTBACK","field":"model_family","before":"Q3 SPORTBACK","target":"candidate","rule_ids":["MODEL-CANDIDATE-V1"],"sequence":7,"transformer_id":"ts.model-family","confidence_effect":0.05},{"after":"2023-05-18","field":"production_date","before":{"build_date":"20230518","build_month":"202305","vehicle_year":2023,"registration_date":"20230629"},"target":"normalized","rule_ids":["DATE-REGISTRATION-V1","DATE-PRODUCTION-DAY-V1"],"sequence":8,"transformer_id":"ts.dates","confidence_effect":0.1},{"after":"day","field":"production_date_precision","before":{"build_date":"20230518","build_month":"202305","vehicle_year":2023,"registration_date":"20230629"},"target":"normalized","rule_ids":["DATE-REGISTRATION-V1","DATE-PRODUCTION-DAY-V1"],"sequence":9,"transformer_id":"ts.dates","confidence_effect":0.1},{"after":2023,"field":"production_year","before":{"build_date":"20230518","build_month":"202305","vehicle_year":2023,"registration_date":"20230629"},"target":"normalized","rule_ids":["DATE-REGISTRATION-V1","DATE-PRODUCTION-DAY-V1"],"sequence":10,"transformer_id":"ts.dates","confidence_effect":0.1},{"after":"2023-06-29","field":"registration_date","before":{"build_date":"20230518","build_month":"202305","vehicle_year":2023,"registration_date":"20230629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 SPORTBACK","gearbox":"A","variant":"SDXDBF1","version":"FD7FD7GC008RT51C194BIAHA3EM1BB0"},"target":"normalized","rule_ids":["TRN-002"],"sequence":16,"transformer_id":"ts.transmission","confidence_effect":0.1},{"after":"hatchback","field":"bodywork_form","before":{"model":"Q3 SPORTBACK","variant":"SDXDBF1","version":"FD7FD7GC008RT51C194BIAHA3EM1BB0","body_code":"AB","eu_category":"M1","vehicle_type":"PB"},"target":"normalized","rule_ids":["BDY-109"],"sequence":17,"transformer_id":"ts.bodywork","confidence_effect":0.1},{"after":"Halvkombi","field":"bodywork_registry_label_sv","before":{"model":"Q3 SPORTBACK","variant":"SDXDBF1","version":"FD7FD7GC008RT51C194BIAHA3EM1BB0","body_code":"AB","eu_category":"M1","vehicle_type":"PB"},"target":"normalized","rule_ids":["BDY-109"],"sequence":18,"transformer_id":"ts.bodywork","confidence_effect":0.1},{"after":["petrol"],"field":"energy_sources","before":{"fuel1":"1","fuel2":"0","fuel3":"0","model":"Q3 SPORTBACK","variant":"SDXDBF1","version":"FD7FD7GC008RT51C194BIAHA3EM1BB0"},"target":"normalized","rule_ids":["FUEL-001"],"sequence":19,"transformer_id":"ts.fuel","confidence_effect":0.0}],"pipeline_version":"normalization-pipeline-v4","candidate_rule_ids":[]}</x:v>
      </x:c>
      <x:c r="Z126" s="36" t="n">
        <x:v>46239.78067015046</x:v>
      </x:c>
      <x:c r="AA126" s="36" t="n">
        <x:v>46239.78067015046</x:v>
      </x:c>
    </x:row>
    <x:row r="127" ht="18" customHeight="1">
      <x:c r="A127" s="36" t="n">
        <x:v>2729</x:v>
      </x:c>
      <x:c r="B127" s="36" t="str">
        <x:v>04b7cdc4-1225-588f-9c63-fc2edf76649f</x:v>
      </x:c>
      <x:c r="C127" s="36" t="str">
        <x:v>Transportstyrelsen</x:v>
      </x:c>
      <x:c r="D127" s="36" t="str">
        <x:v>normalization-review-passenger-250-v1-rules-20260805T184409855703Z</x:v>
      </x:c>
      <x:c r="E127" s="36" t="str">
        <x:v>staging.transportstyrelsen_raw</x:v>
      </x:c>
      <x:c r="F127" s="36" t="n">
        <x:v>2847</x:v>
      </x:c>
      <x:c r="G127" s="36" t="str">
        <x:v>ts-mapping-v1</x:v>
      </x:c>
      <x:c r="H127" s="36" t="str">
        <x:v>ts-review-20260805T184254528647Z</x:v>
      </x:c>
      <x:c r="I127" s="36" t="str">
        <x:v>normalization-pipeline-v4</x:v>
      </x:c>
      <x:c r="J127" s="36" t="str">
        <x:v>provisional</x:v>
      </x:c>
      <x:c r="K127" s="39" t="n">
        <x:v>0.8</x:v>
      </x:c>
      <x:c r="L127" s="36" t="str">
        <x:v>Ford</x:v>
      </x:c>
      <x:c r="M127" s="36" t="str">
        <x:v>KUGA</x:v>
      </x:c>
      <x:c r="N127" s="36" t="str">
        <x:v>multi_purpose_vehicle</x:v>
      </x:c>
      <x:c r="O127" s="38" t="str">
        <x:v>["petrol"]</x:v>
      </x:c>
      <x:c r="P127" s="36" t="str">
        <x:v>manual</x:v>
      </x:c>
      <x:c r="Q127" s="36" t="n">
        <x:v>2014</x:v>
      </x:c>
      <x:c r="R127" s="38" t="str">
        <x:v>["MFR-BRAND-CONFIRMED","MFR-BRAND-MODEL","MFR-BRAND-VIN-WMI","DATE-REGISTRATION-V1","DATE-PRODUCTION-MONTH-V1","UNIT-POWER-KW-V1","UNIT-DISPLACEMENT-CCM-V1","TRN-001","BDY-113","FUEL-001"]</x:v>
      </x:c>
      <x:c r="S127" s="38" t="str">
        <x:v>[]</x:v>
      </x:c>
      <x:c r="T127" s="38" t="str">
        <x:v>[]</x:v>
      </x:c>
      <x:c r="U127" s="38" t="str">
        <x:v>{"market":["SE"],"power_kw":110,"manufacturer":"Ford","bodywork_form":"multi_purpose_vehicle","energy_sources":["petrol"],"displacement_cc":1596,"production_date":"2014-03","production_year":2014,"manufacturer_role":"vehicle_manufacturer","power_source_unit":"kw","registration_date":"2014-06-26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27" s="38" t="str">
        <x:v>{"model_family":"KUGA"}</x:v>
      </x:c>
      <x:c r="W1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2014-03","field":"production_date","before":{"build_month":"201403","vehicle_year":2014,"registration_date":"20140626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20140626"},"target":"normalized","rule_ids":["DATE-REGISTRATION-V1","DATE-PRODUCTION-MONTH-V1"],"sequence":9,"transformer_id":"ts.dates","confidence_effect":0.1},{"after":2014,"field":"production_year","before":{"build_month":"201403","vehicle_year":2014,"registration_date":"20140626"},"target":"normalized","rule_ids":["DATE-REGISTRATION-V1","DATE-PRODUCTION-MONTH-V1"],"sequence":10,"transformer_id":"ts.dates","confidence_effect":0.1},{"after":"2014-06-26","field":"registration_date","before":{"build_month":"201403","vehicle_year":2014,"registration_date":"20140626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KUGA","gearbox":"M","variant":"JQMA1A","version":"5UNAPC"},"target":"normalized","rule_ids":["TRN-001"],"sequence":16,"transformer_id":"ts.transmission","confidence_effect":0.1},{"after":"multi_purpose_vehicle","field":"bodywork_form","before":{"model":"KUGA","variant":"JQMA1A","version":"5UNAPC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JQMA1A","version":"5UNAPC","body_code":"AF","eu_category":"M1","vehicle_type":"PB"},"target":"normalized","rule_ids":["BDY-113"],"sequence":18,"transformer_id":"ts.bodywork","confidence_effect":0.1},{"after":["petrol"],"field":"energy_sources","before":{"fuel1":"1","fuel2":"0","fuel3":"0","model":"KUGA","variant":"JQMA1A","version":"5UNAPC"},"target":"normalized","rule_ids":["FUEL-001"],"sequence":19,"transformer_id":"ts.fuel","confidence_effect":0.0}]</x:v>
      </x:c>
      <x:c r="X12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7" s="38" t="str">
        <x:v>{"candidates":{"model_family":"KUGA"},"confidence":0.8,"normalized":{"market":["SE"],"power_kw":110,"manufacturer":"Ford","bodywork_form":"multi_purpose_vehicle","energy_sources":["petrol"],"displacement_cc":1596,"production_date":"2014-03","production_year":2014,"manufacturer_role":"vehicle_manufacturer","power_source_unit":"kw","registration_date":"2014-06-26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2014-03","field":"production_date","before":{"build_month":"201403","vehicle_year":2014,"registration_date":"20140626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20140626"},"target":"normalized","rule_ids":["DATE-REGISTRATION-V1","DATE-PRODUCTION-MONTH-V1"],"sequence":9,"transformer_id":"ts.dates","confidence_effect":0.1},{"after":2014,"field":"production_year","before":{"build_month":"201403","vehicle_year":2014,"registration_date":"20140626"},"target":"normalized","rule_ids":["DATE-REGISTRATION-V1","DATE-PRODUCTION-MONTH-V1"],"sequence":10,"transformer_id":"ts.dates","confidence_effect":0.1},{"after":"2014-06-26","field":"registration_date","before":{"build_month":"201403","vehicle_year":2014,"registration_date":"20140626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KUGA","gearbox":"M","variant":"JQMA1A","version":"5UNAPC"},"target":"normalized","rule_ids":["TRN-001"],"sequence":16,"transformer_id":"ts.transmission","confidence_effect":0.1},{"after":"multi_purpose_vehicle","field":"bodywork_form","before":{"model":"KUGA","variant":"JQMA1A","version":"5UNAPC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JQMA1A","version":"5UNAPC","body_code":"AF","eu_category":"M1","vehicle_type":"PB"},"target":"normalized","rule_ids":["BDY-113"],"sequence":18,"transformer_id":"ts.bodywork","confidence_effect":0.1},{"after":["petrol"],"field":"energy_sources","before":{"fuel1":"1","fuel2":"0","fuel3":"0","model":"KUGA","variant":"JQMA1A","version":"5UNAPC"},"target":"normalized","rule_ids":["FUEL-001"],"sequence":19,"transformer_id":"ts.fuel","confidence_effect":0.0}],"pipeline_version":"normalization-pipeline-v4","candidate_rule_ids":[]}</x:v>
      </x:c>
      <x:c r="Z127" s="36" t="n">
        <x:v>46239.78067015046</x:v>
      </x:c>
      <x:c r="AA127" s="36" t="n">
        <x:v>46239.78067015046</x:v>
      </x:c>
    </x:row>
    <x:row r="128" ht="18" customHeight="1">
      <x:c r="A128" s="36" t="n">
        <x:v>2730</x:v>
      </x:c>
      <x:c r="B128" s="36" t="str">
        <x:v>1b7d116f-9393-5f81-a52f-811a9695345e</x:v>
      </x:c>
      <x:c r="C128" s="36" t="str">
        <x:v>Transportstyrelsen</x:v>
      </x:c>
      <x:c r="D128" s="36" t="str">
        <x:v>normalization-review-passenger-250-v1-rules-20260805T184409855703Z</x:v>
      </x:c>
      <x:c r="E128" s="36" t="str">
        <x:v>staging.transportstyrelsen_raw</x:v>
      </x:c>
      <x:c r="F128" s="36" t="n">
        <x:v>2848</x:v>
      </x:c>
      <x:c r="G128" s="36" t="str">
        <x:v>ts-mapping-v1</x:v>
      </x:c>
      <x:c r="H128" s="36" t="str">
        <x:v>ts-review-20260805T184254528647Z</x:v>
      </x:c>
      <x:c r="I128" s="36" t="str">
        <x:v>normalization-pipeline-v4</x:v>
      </x:c>
      <x:c r="J128" s="36" t="str">
        <x:v>provisional</x:v>
      </x:c>
      <x:c r="K128" s="39" t="n">
        <x:v>0.8</x:v>
      </x:c>
      <x:c r="L128" s="36" t="str">
        <x:v>Volkswagen</x:v>
      </x:c>
      <x:c r="M128" s="36" t="str">
        <x:v>GOLF</x:v>
      </x:c>
      <x:c r="N128" s="36" t="str">
        <x:v>estate</x:v>
      </x:c>
      <x:c r="O128" s="38" t="str">
        <x:v>["petrol","electricity"]</x:v>
      </x:c>
      <x:c r="P128" s="36" t="str">
        <x:v>automatic</x:v>
      </x:c>
      <x:c r="Q128" s="36" t="n">
        <x:v>2020</x:v>
      </x:c>
      <x:c r="R128" s="38" t="str">
        <x:v>["MFR-102","DATE-REGISTRATION-V1","DATE-PRODUCTION-MONTH-V1","UNIT-POWER-KW-V1","UNIT-DISPLACEMENT-CCM-V1","TRN-002","BDY-110","FUEL-001","ELEC-002"]</x:v>
      </x:c>
      <x:c r="S128" s="38" t="str">
        <x:v>[]</x:v>
      </x:c>
      <x:c r="T128" s="38" t="str">
        <x:v>[]</x:v>
      </x:c>
      <x:c r="U128" s="38" t="str">
        <x:v>{"market":["SE"],"power_kw":110,"manufacturer":"Volkswagen","bodywork_form":"estate","energy_sources":["petrol","electricity"],"displacement_cc":1498,"production_date":"2020-10","production_year":2020,"manufacturer_role":"vehicle_manufacturer","power_source_unit":"kw","registration_date":"2020-11-12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128" s="38" t="str">
        <x:v>{"model_family":"GOLF"}</x:v>
      </x:c>
      <x:c r="W1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2020-10","field":"production_date","before":{"build_month":"202010","vehicle_year":2020,"registration_date":"20201112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20201112"},"target":"normalized","rule_ids":["DATE-REGISTRATION-V1","DATE-PRODUCTION-MONTH-V1"],"sequence":9,"transformer_id":"ts.dates","confidence_effect":0.1},{"after":2020,"field":"production_year","before":{"build_month":"202010","vehicle_year":2020,"registration_date":"20201112"},"target":"normalized","rule_ids":["DATE-REGISTRATION-V1","DATE-PRODUCTION-MONTH-V1"],"sequence":10,"transformer_id":"ts.dates","confidence_effect":0.1},{"after":"2020-11-12","field":"registration_date","before":{"build_month":"202010","vehicle_year":2020,"registration_date":"20201112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GOLF","gearbox":"A","variant":"ACDFYAX0","version":"FD7FD7CW002N4BFSON1ML1AVR2A0A"},"target":"normalized","rule_ids":["TRN-002"],"sequence":16,"transformer_id":"ts.transmission","confidence_effect":0.1},{"after":"estate","field":"bodywork_form","before":{"model":"GOLF","variant":"ACDFYAX0","version":"FD7FD7CW002N4BFSON1ML1AVR2A0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ACDFYAX0","version":"FD7FD7CW002N4BFSON1ML1AVR2A0A","body_code":"AC","eu_category":"M1","vehicle_type":"PB"},"target":"normalized","rule_ids":["BDY-110"],"sequence":18,"transformer_id":"ts.bodywork","confidence_effect":0.1},{"after":"hybrid","field":"electrification_type","before":{"fuel1":"1","fuel2":"0","fuel3":"0","model":"GOLF","variant":"ACDFYAX0","version":"FD7FD7CW002N4BFSON1ML1AVR2A0A","ev_config":"ELHYBRID"},"target":"normalized","rule_ids":["FUEL-001","ELEC-002"],"sequence":19,"transformer_id":"ts.fuel","confidence_effect":0.0},{"after":["petrol","electricity"],"field":"energy_sources","before":{"fuel1":"1","fuel2":"0","fuel3":"0","model":"GOLF","variant":"ACDFYAX0","version":"FD7FD7CW002N4BFSON1ML1AVR2A0A","ev_config":"ELHYBRID"},"target":"normalized","rule_ids":["FUEL-001","ELEC-002"],"sequence":20,"transformer_id":"ts.fuel","confidence_effect":0.0}]</x:v>
      </x:c>
      <x:c r="X12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28" s="38" t="str">
        <x:v>{"candidates":{"model_family":"GOLF"},"confidence":0.8,"normalized":{"market":["SE"],"power_kw":110,"manufacturer":"Volkswagen","bodywork_form":"estate","energy_sources":["petrol","electricity"],"displacement_cc":1498,"production_date":"2020-10","production_year":2020,"manufacturer_role":"vehicle_manufacturer","power_source_unit":"kw","registration_date":"2020-11-12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2020-10","field":"production_date","before":{"build_month":"202010","vehicle_year":2020,"registration_date":"20201112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20201112"},"target":"normalized","rule_ids":["DATE-REGISTRATION-V1","DATE-PRODUCTION-MONTH-V1"],"sequence":9,"transformer_id":"ts.dates","confidence_effect":0.1},{"after":2020,"field":"production_year","before":{"build_month":"202010","vehicle_year":2020,"registration_date":"20201112"},"target":"normalized","rule_ids":["DATE-REGISTRATION-V1","DATE-PRODUCTION-MONTH-V1"],"sequence":10,"transformer_id":"ts.dates","confidence_effect":0.1},{"after":"2020-11-12","field":"registration_date","before":{"build_month":"202010","vehicle_year":2020,"registration_date":"20201112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GOLF","gearbox":"A","variant":"ACDFYAX0","version":"FD7FD7CW002N4BFSON1ML1AVR2A0A"},"target":"normalized","rule_ids":["TRN-002"],"sequence":16,"transformer_id":"ts.transmission","confidence_effect":0.1},{"after":"estate","field":"bodywork_form","before":{"model":"GOLF","variant":"ACDFYAX0","version":"FD7FD7CW002N4BFSON1ML1AVR2A0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ACDFYAX0","version":"FD7FD7CW002N4BFSON1ML1AVR2A0A","body_code":"AC","eu_category":"M1","vehicle_type":"PB"},"target":"normalized","rule_ids":["BDY-110"],"sequence":18,"transformer_id":"ts.bodywork","confidence_effect":0.1},{"after":"hybrid","field":"electrification_type","before":{"fuel1":"1","fuel2":"0","fuel3":"0","model":"GOLF","variant":"ACDFYAX0","version":"FD7FD7CW002N4BFSON1ML1AVR2A0A","ev_config":"ELHYBRID"},"target":"normalized","rule_ids":["FUEL-001","ELEC-002"],"sequence":19,"transformer_id":"ts.fuel","confidence_effect":0.0},{"after":["petrol","electricity"],"field":"energy_sources","before":{"fuel1":"1","fuel2":"0","fuel3":"0","model":"GOLF","variant":"ACDFYAX0","version":"FD7FD7CW002N4BFSON1ML1AVR2A0A","ev_config":"ELHYBRID"},"target":"normalized","rule_ids":["FUEL-001","ELEC-002"],"sequence":20,"transformer_id":"ts.fuel","confidence_effect":0.0}],"pipeline_version":"normalization-pipeline-v4","candidate_rule_ids":[]}</x:v>
      </x:c>
      <x:c r="Z128" s="36" t="n">
        <x:v>46239.78067015046</x:v>
      </x:c>
      <x:c r="AA128" s="36" t="n">
        <x:v>46239.78067015046</x:v>
      </x:c>
    </x:row>
    <x:row r="129" ht="18" customHeight="1">
      <x:c r="A129" s="36" t="n">
        <x:v>2731</x:v>
      </x:c>
      <x:c r="B129" s="36" t="str">
        <x:v>22b91293-c550-5556-a9b7-70bab50008bd</x:v>
      </x:c>
      <x:c r="C129" s="36" t="str">
        <x:v>Transportstyrelsen</x:v>
      </x:c>
      <x:c r="D129" s="36" t="str">
        <x:v>normalization-review-passenger-250-v1-rules-20260805T184409855703Z</x:v>
      </x:c>
      <x:c r="E129" s="36" t="str">
        <x:v>staging.transportstyrelsen_raw</x:v>
      </x:c>
      <x:c r="F129" s="36" t="n">
        <x:v>2849</x:v>
      </x:c>
      <x:c r="G129" s="36" t="str">
        <x:v>ts-mapping-v1</x:v>
      </x:c>
      <x:c r="H129" s="36" t="str">
        <x:v>ts-review-20260805T184254528647Z</x:v>
      </x:c>
      <x:c r="I129" s="36" t="str">
        <x:v>normalization-pipeline-v4</x:v>
      </x:c>
      <x:c r="J129" s="36" t="str">
        <x:v>provisional</x:v>
      </x:c>
      <x:c r="K129" s="39" t="n">
        <x:v>0.8</x:v>
      </x:c>
      <x:c r="L129" s="36" t="str">
        <x:v>Audi</x:v>
      </x:c>
      <x:c r="M129" s="36" t="str">
        <x:v>A4 AVANT</x:v>
      </x:c>
      <x:c r="N129" s="36" t="str">
        <x:v>estate</x:v>
      </x:c>
      <x:c r="O129" s="38" t="str">
        <x:v>["diesel"]</x:v>
      </x:c>
      <x:c r="P129" s="36" t="str">
        <x:v>automatic</x:v>
      </x:c>
      <x:c r="Q129" s="36" t="n">
        <x:v>2013</x:v>
      </x:c>
      <x:c r="R129" s="38" t="str">
        <x:v>["MFR-BRAND-CONFIRMED","MFR-BRAND-VIN-WMI","DATE-REGISTRATION-V1","DATE-PRODUCTION-MONTH-V1","UNIT-POWER-KW-V1","UNIT-DISPLACEMENT-CCM-V1","TRN-002","BDY-110","BDY-002","FUEL-002"]</x:v>
      </x:c>
      <x:c r="S129" s="38" t="str">
        <x:v>["DRV-008"]</x:v>
      </x:c>
      <x:c r="T129" s="38" t="str">
        <x:v>[]</x:v>
      </x:c>
      <x:c r="U129" s="38" t="str">
        <x:v>{"market":["SE"],"power_kw":130,"manufacturer":"Audi","bodywork_form":"estate","energy_sources":["diesel"],"displacement_cc":1968,"production_date":"2013-11","production_year":2013,"manufacturer_role":"vehicle_manufacturer","power_source_unit":"kw","registration_date":"2013-12-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29" s="38" t="str">
        <x:v>{"drive_type":"awd","model_family":"A4 AVANT"}</x:v>
      </x:c>
      <x:c r="W129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2013-11","field":"production_date","before":{"build_month":"201311","vehicle_year":2013,"registration_date":"20131216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20131216"},"target":"normalized","rule_ids":["DATE-REGISTRATION-V1","DATE-PRODUCTION-MONTH-V1"],"sequence":10,"transformer_id":"ts.dates","confidence_effect":0.1},{"after":2013,"field":"production_year","before":{"build_month":"201311","vehicle_year":2013,"registration_date":"20131216"},"target":"normalized","rule_ids":["DATE-REGISTRATION-V1","DATE-PRODUCTION-MONTH-V1"],"sequence":11,"transformer_id":"ts.dates","confidence_effect":0.1},{"after":"2013-12-16","field":"registration_date","before":{"build_month":"201311","vehicle_year":2013,"registration_date":"20131216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AVANT","gearbox":"A","variant":"ACGLCQ1","version":"QD7B5027RB8K2S57MJEM1"},"target":"normalized","rule_ids":["TRN-002"],"sequence":17,"transformer_id":"ts.transmission","confidence_effect":0.1},{"after":"estate","field":"bodywork_form","before":{"model":"A4 AVANT","variant":"ACGLCQ1","version":"QD7B5027RB8K2S57MJEM1","body_code":"AC","eu_category":"M1","vehicle_type":"PB"},"target":"normalized","rule_ids":["BDY-110","BDY-002"],"sequence":18,"transformer_id":"ts.bodywork","confidence_effect":0.1},{"after":"Stationsvagn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GLCQ1","version":"QD7B5027RB8K2S57MJ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AVANT","variant":"ACGLCQ1","version":"QD7B5027RB8K2S57MJEM1"},"target":"normalized","rule_ids":["FUEL-002"],"sequence":21,"transformer_id":"ts.fuel","confidence_effect":0.0}]</x:v>
      </x:c>
      <x:c r="X1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9" s="38" t="str">
        <x:v>{"candidates":{"drive_type":"awd","model_family":"A4 AVANT"},"confidence":0.8,"normalized":{"market":["SE"],"power_kw":130,"manufacturer":"Audi","bodywork_form":"estate","energy_sources":["diesel"],"displacement_cc":1968,"production_date":"2013-11","production_year":2013,"manufacturer_role":"vehicle_manufacturer","power_source_unit":"kw","registration_date":"2013-12-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2013-11","field":"production_date","before":{"build_month":"201311","vehicle_year":2013,"registration_date":"20131216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20131216"},"target":"normalized","rule_ids":["DATE-REGISTRATION-V1","DATE-PRODUCTION-MONTH-V1"],"sequence":10,"transformer_id":"ts.dates","confidence_effect":0.1},{"after":2013,"field":"production_year","before":{"build_month":"201311","vehicle_year":2013,"registration_date":"20131216"},"target":"normalized","rule_ids":["DATE-REGISTRATION-V1","DATE-PRODUCTION-MONTH-V1"],"sequence":11,"transformer_id":"ts.dates","confidence_effect":0.1},{"after":"2013-12-16","field":"registration_date","before":{"build_month":"201311","vehicle_year":2013,"registration_date":"20131216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AVANT","gearbox":"A","variant":"ACGLCQ1","version":"QD7B5027RB8K2S57MJEM1"},"target":"normalized","rule_ids":["TRN-002"],"sequence":17,"transformer_id":"ts.transmission","confidence_effect":0.1},{"after":"estate","field":"bodywork_form","before":{"model":"A4 AVANT","variant":"ACGLCQ1","version":"QD7B5027RB8K2S57MJEM1","body_code":"AC","eu_category":"M1","vehicle_type":"PB"},"target":"normalized","rule_ids":["BDY-110","BDY-002"],"sequence":18,"transformer_id":"ts.bodywork","confidence_effect":0.1},{"after":"Stationsvagn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GLCQ1","version":"QD7B5027RB8K2S57MJ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AVANT","variant":"ACGLCQ1","version":"QD7B5027RB8K2S57MJEM1"},"target":"normalized","rule_ids":["FUEL-002"],"sequence":21,"transformer_id":"ts.fuel","confidence_effect":0.0}],"pipeline_version":"normalization-pipeline-v4","candidate_rule_ids":["DRV-008"]}</x:v>
      </x:c>
      <x:c r="Z129" s="36" t="n">
        <x:v>46239.78067015046</x:v>
      </x:c>
      <x:c r="AA129" s="36" t="n">
        <x:v>46239.78067015046</x:v>
      </x:c>
    </x:row>
    <x:row r="130" ht="18" customHeight="1">
      <x:c r="A130" s="36" t="n">
        <x:v>2732</x:v>
      </x:c>
      <x:c r="B130" s="36" t="str">
        <x:v>a14c3c57-6d61-5214-8267-ade561132ab0</x:v>
      </x:c>
      <x:c r="C130" s="36" t="str">
        <x:v>Transportstyrelsen</x:v>
      </x:c>
      <x:c r="D130" s="36" t="str">
        <x:v>normalization-review-passenger-250-v1-rules-20260805T184409855703Z</x:v>
      </x:c>
      <x:c r="E130" s="36" t="str">
        <x:v>staging.transportstyrelsen_raw</x:v>
      </x:c>
      <x:c r="F130" s="36" t="n">
        <x:v>2850</x:v>
      </x:c>
      <x:c r="G130" s="36" t="str">
        <x:v>ts-mapping-v1</x:v>
      </x:c>
      <x:c r="H130" s="36" t="str">
        <x:v>ts-review-20260805T184254528647Z</x:v>
      </x:c>
      <x:c r="I130" s="36" t="str">
        <x:v>normalization-pipeline-v4</x:v>
      </x:c>
      <x:c r="J130" s="36" t="str">
        <x:v>resolved</x:v>
      </x:c>
      <x:c r="K130" s="39" t="n">
        <x:v>0.95</x:v>
      </x:c>
      <x:c r="L130" s="36" t="str">
        <x:v>Oldsmobile</x:v>
      </x:c>
      <x:c r="M130" s="36"/>
      <x:c r="N130" s="36" t="str">
        <x:v>covered_body</x:v>
      </x:c>
      <x:c r="O130" s="38" t="str">
        <x:v>["petrol"]</x:v>
      </x:c>
      <x:c r="P130" s="36" t="str">
        <x:v>automatic</x:v>
      </x:c>
      <x:c r="Q130" s="36" t="n">
        <x:v>1963</x:v>
      </x:c>
      <x:c r="R130" s="38" t="str">
        <x:v>["MFR-BRAND-LEGACY-EXACT","DATE-REGISTRATION-V1","DATE-PRODUCTION-YEAR-V1","UNIT-POWER-KW-V1","TRN-002","BDY-102","FUEL-001"]</x:v>
      </x:c>
      <x:c r="S130" s="38" t="str">
        <x:v>[]</x:v>
      </x:c>
      <x:c r="T130" s="38" t="str">
        <x:v>[]</x:v>
      </x:c>
      <x:c r="U130" s="38" t="str">
        <x:v>{"market":["SE"],"power_kw":206,"manufacturer":"Oldsmobile","bodywork_form":"covered_body","energy_sources":["petrol"],"production_year":1963,"manufacturer_role":"vehicle_manufacturer","power_source_unit":"kw","registration_date":"2007-08-22","transmission_type":"automatic","alias_types_present":["plate","vin"],"builder_converter_names":[],"production_date_precision":"model_year","bodywork_registry_label_sv":"Täckt"}</x:v>
      </x:c>
      <x:c r="V130" s="38" t="str">
        <x:v>{}</x:v>
      </x:c>
      <x:c r="W1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LDSMOBILE DYNAMIC88 4DR","target":"normalized","rule_ids":["MFR-BRAND-LEGACY-EXACT"],"sequence":3,"transformer_id":"ts.manufacturer","confidence_effect":0.2},{"after":"Oldsmobile","field":"manufacturer","before":"OLDSMOBILE DYNAMIC88 4DR","target":"normalized","rule_ids":["MFR-BRAND-LEGACY-EXACT"],"sequence":4,"transformer_id":"ts.manufacturer","confidence_effect":0.2},{"after":"vehicle_manufacturer","field":"manufacturer_role","before":"OLDSMOBILE DYNAMIC88 4DR","target":"normalized","rule_ids":["MFR-BRAND-LEGACY-EXACT"],"sequence":5,"transformer_id":"ts.manufacturer","confidence_effect":0.2},{"after":"model_year","field":"production_date_precision","before":{"model_year":1963,"vehicle_year":1963,"registration_date":"20070822"},"target":"normalized","rule_ids":["DATE-REGISTRATION-V1","DATE-PRODUCTION-YEAR-V1"],"sequence":6,"transformer_id":"ts.dates","confidence_effect":0.1},{"after":1963,"field":"production_year","before":{"model_year":1963,"vehicle_year":1963,"registration_date":"20070822"},"target":"normalized","rule_ids":["DATE-REGISTRATION-V1","DATE-PRODUCTION-YEAR-V1"],"sequence":7,"transformer_id":"ts.dates","confidence_effect":0.1},{"after":"2007-08-22","field":"registration_date","before":{"model_year":1963,"vehicle_year":1963,"registration_date":"20070822"},"target":"normalized","rule_ids":["DATE-REGISTRATION-V1","DATE-PRODUCTION-YEAR-V1"],"sequence":8,"transformer_id":"ts.dates","confidence_effect":0.1},{"after":206,"field":"power_kw","before":206,"target":"normalized","rule_ids":["UNIT-POWER-KW-V1"],"sequence":9,"transformer_id":"ts.engine-measurements","confidence_effect":0.1},{"after":"kw","field":"power_source_unit","before":206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3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0" s="38" t="str">
        <x:v>{"candidates":{},"confidence":0.95,"normalized":{"market":["SE"],"power_kw":206,"manufacturer":"Oldsmobile","bodywork_form":"covered_body","energy_sources":["petrol"],"production_year":1963,"manufacturer_role":"vehicle_manufacturer","power_source_unit":"kw","registration_date":"2007-08-22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LDSMOBILE DYNAMIC88 4DR","target":"normalized","rule_ids":["MFR-BRAND-LEGACY-EXACT"],"sequence":3,"transformer_id":"ts.manufacturer","confidence_effect":0.2},{"after":"Oldsmobile","field":"manufacturer","before":"OLDSMOBILE DYNAMIC88 4DR","target":"normalized","rule_ids":["MFR-BRAND-LEGACY-EXACT"],"sequence":4,"transformer_id":"ts.manufacturer","confidence_effect":0.2},{"after":"vehicle_manufacturer","field":"manufacturer_role","before":"OLDSMOBILE DYNAMIC88 4DR","target":"normalized","rule_ids":["MFR-BRAND-LEGACY-EXACT"],"sequence":5,"transformer_id":"ts.manufacturer","confidence_effect":0.2},{"after":"model_year","field":"production_date_precision","before":{"model_year":1963,"vehicle_year":1963,"registration_date":"20070822"},"target":"normalized","rule_ids":["DATE-REGISTRATION-V1","DATE-PRODUCTION-YEAR-V1"],"sequence":6,"transformer_id":"ts.dates","confidence_effect":0.1},{"after":1963,"field":"production_year","before":{"model_year":1963,"vehicle_year":1963,"registration_date":"20070822"},"target":"normalized","rule_ids":["DATE-REGISTRATION-V1","DATE-PRODUCTION-YEAR-V1"],"sequence":7,"transformer_id":"ts.dates","confidence_effect":0.1},{"after":"2007-08-22","field":"registration_date","before":{"model_year":1963,"vehicle_year":1963,"registration_date":"20070822"},"target":"normalized","rule_ids":["DATE-REGISTRATION-V1","DATE-PRODUCTION-YEAR-V1"],"sequence":8,"transformer_id":"ts.dates","confidence_effect":0.1},{"after":206,"field":"power_kw","before":206,"target":"normalized","rule_ids":["UNIT-POWER-KW-V1"],"sequence":9,"transformer_id":"ts.engine-measurements","confidence_effect":0.1},{"after":"kw","field":"power_source_unit","before":206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30" s="36" t="n">
        <x:v>46239.78067015046</x:v>
      </x:c>
      <x:c r="AA130" s="36" t="n">
        <x:v>46239.78067015046</x:v>
      </x:c>
    </x:row>
    <x:row r="131" ht="18" customHeight="1">
      <x:c r="A131" s="36" t="n">
        <x:v>2733</x:v>
      </x:c>
      <x:c r="B131" s="36" t="str">
        <x:v>5d4fadcf-e5af-5b8f-ab6d-6c390b2a8c80</x:v>
      </x:c>
      <x:c r="C131" s="36" t="str">
        <x:v>Transportstyrelsen</x:v>
      </x:c>
      <x:c r="D131" s="36" t="str">
        <x:v>normalization-review-passenger-250-v1-rules-20260805T184409855703Z</x:v>
      </x:c>
      <x:c r="E131" s="36" t="str">
        <x:v>staging.transportstyrelsen_raw</x:v>
      </x:c>
      <x:c r="F131" s="36" t="n">
        <x:v>2851</x:v>
      </x:c>
      <x:c r="G131" s="36" t="str">
        <x:v>ts-mapping-v1</x:v>
      </x:c>
      <x:c r="H131" s="36" t="str">
        <x:v>ts-review-20260805T184254528647Z</x:v>
      </x:c>
      <x:c r="I131" s="36" t="str">
        <x:v>normalization-pipeline-v4</x:v>
      </x:c>
      <x:c r="J131" s="36" t="str">
        <x:v>resolved</x:v>
      </x:c>
      <x:c r="K131" s="39" t="n">
        <x:v>0.95</x:v>
      </x:c>
      <x:c r="L131" s="36" t="str">
        <x:v>Mercedes-Benz</x:v>
      </x:c>
      <x:c r="M131" s="36"/>
      <x:c r="N131" s="36" t="str">
        <x:v>estate</x:v>
      </x:c>
      <x:c r="O131" s="38" t="str">
        <x:v>["petrol"]</x:v>
      </x:c>
      <x:c r="P131" s="36" t="str">
        <x:v>automatic</x:v>
      </x:c>
      <x:c r="Q131" s="36" t="n">
        <x:v>2006</x:v>
      </x:c>
      <x:c r="R131" s="38" t="str">
        <x:v>["MFR-BRAND-CONFIRMED","MFR-BRAND-VIN-WMI","DATE-REGISTRATION-V1","DATE-PRODUCTION-MONTH-V1","UNIT-POWER-KW-V1","UNIT-DISPLACEMENT-CCM-V1","TRN-002","BDY-110","FUEL-001"]</x:v>
      </x:c>
      <x:c r="S131" s="38" t="str">
        <x:v>[]</x:v>
      </x:c>
      <x:c r="T131" s="38" t="str">
        <x:v>[]</x:v>
      </x:c>
      <x:c r="U131" s="38" t="str">
        <x:v>{"market":["SE"],"power_kw":105,"manufacturer":"Mercedes-Benz","bodywork_form":"estate","energy_sources":["petrol"],"displacement_cc":1796,"production_date":"2006-06","production_year":2006,"manufacturer_role":"vehicle_manufacturer","power_source_unit":"kw","registration_date":"2006-09-29","transmission_type":"automatic","alias_types_present":["plate","vin"],"builder_converter_names":[],"displacement_source_unit":"ccm","production_date_precision":"month","bodywork_registry_label_sv":"Stationsvagn (kombivagn)"}</x:v>
      </x:c>
      <x:c r="V131" s="38" t="str">
        <x:v>{}</x:v>
      </x:c>
      <x:c r="W1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 KOMP","target":"normalized","rule_ids":["MFR-BRAND-CONFIRMED","MFR-BRAND-VIN-WMI"],"sequence":3,"transformer_id":"ts.manufacturer","confidence_effect":0.2},{"after":"Mercedes-Benz","field":"manufacturer","before":"MERCEDES-BENZ C 180 KOMP","target":"normalized","rule_ids":["MFR-BRAND-CONFIRMED","MFR-BRAND-VIN-WMI"],"sequence":4,"transformer_id":"ts.manufacturer","confidence_effect":0.2},{"after":"vehicle_manufacturer","field":"manufacturer_role","before":"MERCEDES-BENZ C 180 KOMP","target":"normalized","rule_ids":["MFR-BRAND-CONFIRMED","MFR-BRAND-VIN-WMI"],"sequence":5,"transformer_id":"ts.manufacturer","confidence_effect":0.2},{"after":"2006-06","field":"production_date","before":{"build_month":"200606","vehicle_year":2006,"registration_date":"20060929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20060929"},"target":"normalized","rule_ids":["DATE-REGISTRATION-V1","DATE-PRODUCTION-MONTH-V1"],"sequence":7,"transformer_id":"ts.dates","confidence_effect":0.1},{"after":2006,"field":"production_year","before":{"build_month":"200606","vehicle_year":2006,"registration_date":"20060929"},"target":"normalized","rule_ids":["DATE-REGISTRATION-V1","DATE-PRODUCTION-MONTH-V1"],"sequence":8,"transformer_id":"ts.dates","confidence_effect":0.1},{"after":"2006-09-29","field":"registration_date","before":{"build_month":"200606","vehicle_year":2006,"registration_date":"20060929"},"target":"normalized","rule_ids":["DATE-REGISTRATION-V1","DATE-PRODUCTION-MONTH-V1"],"sequence":9,"transformer_id":"ts.dates","confidence_effect":0.1},{"after":1796,"field":"displacement_cc","before":{"kw":105,"ccm":1796},"target":"normalized","rule_ids":["UNIT-POWER-KW-V1","UNIT-DISPLACEMENT-CCM-V1"],"sequence":10,"transformer_id":"ts.engine-measurements","confidence_effect":0.1},{"after":"ccm","field":"displacement_source_unit","before":{"kw":105,"ccm":1796},"target":"normalized","rule_ids":["UNIT-POWER-KW-V1","UNIT-DISPLACEMENT-CCM-V1"],"sequence":11,"transformer_id":"ts.engine-measurements","confidence_effect":0.1},{"after":105,"field":"power_kw","before":{"kw":105,"ccm":1796},"target":"normalized","rule_ids":["UNIT-POWER-KW-V1","UNIT-DISPLACEMENT-CCM-V1"],"sequence":12,"transformer_id":"ts.engine-measurements","confidence_effect":0.1},{"after":"kw","field":"power_source_unit","before":{"kw":105,"ccm":1796},"target":"normalized","rule_ids":["UNIT-POWER-KW-V1","UNIT-DISPLACEMENT-CCM-V1"],"sequence":13,"transformer_id":"ts.engine-measurements","confidence_effect":0.1},{"after":"automatic","field":"transmission_type","before":{"gearbox":"A","variant":"R246K0","version":"THBBA500"},"target":"normalized","rule_ids":["TRN-002"],"sequence":14,"transformer_id":"ts.transmission","confidence_effect":0.1},{"after":"estate","field":"bodywork_form","before":{"variant":"R246K0","version":"THBBA500","body_code":"AC","eu_category":"M1","vehicle_type":"PB"},"target":"normalized","rule_ids":["BDY-110"],"sequence":15,"transformer_id":"ts.bodywork","confidence_effect":0.1},{"after":"Stationsvagn (kombivagn)","field":"bodywork_registry_label_sv","before":{"variant":"R246K0","version":"THBBA500","body_code":"AC","eu_category":"M1","vehicle_type":"PB"},"target":"normalized","rule_ids":["BDY-110"],"sequence":16,"transformer_id":"ts.bodywork","confidence_effect":0.1},{"after":["petrol"],"field":"energy_sources","before":{"fuel1":"1","fuel2":"0","fuel3":"0","variant":"R246K0","version":"THBBA500"},"target":"normalized","rule_ids":["FUEL-001"],"sequence":17,"transformer_id":"ts.fuel","confidence_effect":0.0}]</x:v>
      </x:c>
      <x:c r="X1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1" s="38" t="str">
        <x:v>{"candidates":{},"confidence":0.95,"normalized":{"market":["SE"],"power_kw":105,"manufacturer":"Mercedes-Benz","bodywork_form":"estate","energy_sources":["petrol"],"displacement_cc":1796,"production_date":"2006-06","production_year":2006,"manufacturer_role":"vehicle_manufacturer","power_source_unit":"kw","registration_date":"2006-09-29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 KOMP","target":"normalized","rule_ids":["MFR-BRAND-CONFIRMED","MFR-BRAND-VIN-WMI"],"sequence":3,"transformer_id":"ts.manufacturer","confidence_effect":0.2},{"after":"Mercedes-Benz","field":"manufacturer","before":"MERCEDES-BENZ C 180 KOMP","target":"normalized","rule_ids":["MFR-BRAND-CONFIRMED","MFR-BRAND-VIN-WMI"],"sequence":4,"transformer_id":"ts.manufacturer","confidence_effect":0.2},{"after":"vehicle_manufacturer","field":"manufacturer_role","before":"MERCEDES-BENZ C 180 KOMP","target":"normalized","rule_ids":["MFR-BRAND-CONFIRMED","MFR-BRAND-VIN-WMI"],"sequence":5,"transformer_id":"ts.manufacturer","confidence_effect":0.2},{"after":"2006-06","field":"production_date","before":{"build_month":"200606","vehicle_year":2006,"registration_date":"20060929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20060929"},"target":"normalized","rule_ids":["DATE-REGISTRATION-V1","DATE-PRODUCTION-MONTH-V1"],"sequence":7,"transformer_id":"ts.dates","confidence_effect":0.1},{"after":2006,"field":"production_year","before":{"build_month":"200606","vehicle_year":2006,"registration_date":"20060929"},"target":"normalized","rule_ids":["DATE-REGISTRATION-V1","DATE-PRODUCTION-MONTH-V1"],"sequence":8,"transformer_id":"ts.dates","confidence_effect":0.1},{"after":"2006-09-29","field":"registration_date","before":{"build_month":"200606","vehicle_year":2006,"registration_date":"20060929"},"target":"normalized","rule_ids":["DATE-REGISTRATION-V1","DATE-PRODUCTION-MONTH-V1"],"sequence":9,"transformer_id":"ts.dates","confidence_effect":0.1},{"after":1796,"field":"displacement_cc","before":{"kw":105,"ccm":1796},"target":"normalized","rule_ids":["UNIT-POWER-KW-V1","UNIT-DISPLACEMENT-CCM-V1"],"sequence":10,"transformer_id":"ts.engine-measurements","confidence_effect":0.1},{"after":"ccm","field":"displacement_source_unit","before":{"kw":105,"ccm":1796},"target":"normalized","rule_ids":["UNIT-POWER-KW-V1","UNIT-DISPLACEMENT-CCM-V1"],"sequence":11,"transformer_id":"ts.engine-measurements","confidence_effect":0.1},{"after":105,"field":"power_kw","before":{"kw":105,"ccm":1796},"target":"normalized","rule_ids":["UNIT-POWER-KW-V1","UNIT-DISPLACEMENT-CCM-V1"],"sequence":12,"transformer_id":"ts.engine-measurements","confidence_effect":0.1},{"after":"kw","field":"power_source_unit","before":{"kw":105,"ccm":1796},"target":"normalized","rule_ids":["UNIT-POWER-KW-V1","UNIT-DISPLACEMENT-CCM-V1"],"sequence":13,"transformer_id":"ts.engine-measurements","confidence_effect":0.1},{"after":"automatic","field":"transmission_type","before":{"gearbox":"A","variant":"R246K0","version":"THBBA500"},"target":"normalized","rule_ids":["TRN-002"],"sequence":14,"transformer_id":"ts.transmission","confidence_effect":0.1},{"after":"estate","field":"bodywork_form","before":{"variant":"R246K0","version":"THBBA500","body_code":"AC","eu_category":"M1","vehicle_type":"PB"},"target":"normalized","rule_ids":["BDY-110"],"sequence":15,"transformer_id":"ts.bodywork","confidence_effect":0.1},{"after":"Stationsvagn (kombivagn)","field":"bodywork_registry_label_sv","before":{"variant":"R246K0","version":"THBBA500","body_code":"AC","eu_category":"M1","vehicle_type":"PB"},"target":"normalized","rule_ids":["BDY-110"],"sequence":16,"transformer_id":"ts.bodywork","confidence_effect":0.1},{"after":["petrol"],"field":"energy_sources","before":{"fuel1":"1","fuel2":"0","fuel3":"0","variant":"R246K0","version":"THBBA500"},"target":"normalized","rule_ids":["FUEL-001"],"sequence":17,"transformer_id":"ts.fuel","confidence_effect":0.0}],"pipeline_version":"normalization-pipeline-v4","candidate_rule_ids":[]}</x:v>
      </x:c>
      <x:c r="Z131" s="36" t="n">
        <x:v>46239.78067015046</x:v>
      </x:c>
      <x:c r="AA131" s="36" t="n">
        <x:v>46239.78067015046</x:v>
      </x:c>
    </x:row>
    <x:row r="132" ht="18" customHeight="1">
      <x:c r="A132" s="36" t="n">
        <x:v>2734</x:v>
      </x:c>
      <x:c r="B132" s="36" t="str">
        <x:v>762dc407-4c6d-50b5-a133-626af883f0de</x:v>
      </x:c>
      <x:c r="C132" s="36" t="str">
        <x:v>Transportstyrelsen</x:v>
      </x:c>
      <x:c r="D132" s="36" t="str">
        <x:v>normalization-review-passenger-250-v1-rules-20260805T184409855703Z</x:v>
      </x:c>
      <x:c r="E132" s="36" t="str">
        <x:v>staging.transportstyrelsen_raw</x:v>
      </x:c>
      <x:c r="F132" s="36" t="n">
        <x:v>2852</x:v>
      </x:c>
      <x:c r="G132" s="36" t="str">
        <x:v>ts-mapping-v1</x:v>
      </x:c>
      <x:c r="H132" s="36" t="str">
        <x:v>ts-review-20260805T184254528647Z</x:v>
      </x:c>
      <x:c r="I132" s="36" t="str">
        <x:v>normalization-pipeline-v4</x:v>
      </x:c>
      <x:c r="J132" s="36" t="str">
        <x:v>provisional</x:v>
      </x:c>
      <x:c r="K132" s="39" t="n">
        <x:v>0.8</x:v>
      </x:c>
      <x:c r="L132" s="36" t="str">
        <x:v>Ford</x:v>
      </x:c>
      <x:c r="M132" s="36"/>
      <x:c r="N132" s="36" t="str">
        <x:v>covered_body</x:v>
      </x:c>
      <x:c r="O132" s="38" t="str">
        <x:v>["petrol"]</x:v>
      </x:c>
      <x:c r="P132" s="36" t="str">
        <x:v>automatic</x:v>
      </x:c>
      <x:c r="Q132" s="36" t="n">
        <x:v>1966</x:v>
      </x:c>
      <x:c r="R132" s="38" t="str">
        <x:v>["DATE-REGISTRATION-V1","DATE-PRODUCTION-YEAR-V1","UNIT-POWER-KW-V1","TRN-002","BDY-102","FUEL-001"]</x:v>
      </x:c>
      <x:c r="S132" s="38" t="str">
        <x:v>["MFR-BRAND-PREFIX-FALLBACK"]</x:v>
      </x:c>
      <x:c r="T132" s="38" t="str">
        <x:v>[]</x:v>
      </x:c>
      <x:c r="U132" s="38" t="str">
        <x:v>{"market":["SE"],"power_kw":147,"manufacturer":"Ford","bodywork_form":"covered_body","energy_sources":["petrol"],"production_year":1966,"manufacturer_role":"vehicle_manufacturer","power_source_unit":"kw","registration_date":"1972-11-06","transmission_type":"automatic","alias_types_present":["plate","vin"],"builder_converter_names":[],"production_date_precision":"model_year","bodywork_registry_label_sv":"Täckt"}</x:v>
      </x:c>
      <x:c r="V132" s="38" t="str">
        <x:v>{"manufacturer_confirmation":{"source_fields":["brand"],"canonical_name":"Ford"}}</x:v>
      </x:c>
      <x:c r="W1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63 C FAIRLANE 500","target":"normalized","rule_ids":["MFR-CLASSIFY-V1"],"sequence":3,"transformer_id":"ts.manufacturer","confidence_effect":0.2},{"after":"Ford","field":"manufacturer","before":"FORD 63 C FAIRLANE 500","target":"normalized","rule_ids":["MFR-CLASSIFY-V1"],"sequence":4,"transformer_id":"ts.manufacturer","confidence_effect":0.2},{"after":"vehicle_manufacturer","field":"manufacturer_role","before":"FORD 63 C FAIRLANE 500","target":"normalized","rule_ids":["MFR-CLASSIFY-V1"],"sequence":5,"transformer_id":"ts.manufacturer","confidence_effect":0.2},{"after":{"source_fields":["brand"],"canonical_name":"Ford"},"field":"manufacturer_confirmation","before":"FORD 63 C FAIRLANE 500","target":"candidate","rule_ids":["MFR-BRAND-PREFIX-FALLBACK"],"sequence":6,"transformer_id":"ts.manufacturer","confidence_effect":0.05},{"after":"model_year","field":"production_date_precision","before":{"model_year":1966,"vehicle_year":1966,"registration_date":"19721106"},"target":"normalized","rule_ids":["DATE-REGISTRATION-V1","DATE-PRODUCTION-YEAR-V1"],"sequence":7,"transformer_id":"ts.dates","confidence_effect":0.1},{"after":1966,"field":"production_year","before":{"model_year":1966,"vehicle_year":1966,"registration_date":"19721106"},"target":"normalized","rule_ids":["DATE-REGISTRATION-V1","DATE-PRODUCTION-YEAR-V1"],"sequence":8,"transformer_id":"ts.dates","confidence_effect":0.1},{"after":"1972-11-06","field":"registration_date","before":{"model_year":1966,"vehicle_year":1966,"registration_date":"19721106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3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2" s="38" t="str">
        <x:v>{"candidates":{"manufacturer_confirmation":{"source_fields":["brand"],"canonical_name":"Ford"}},"confidence":0.8,"normalized":{"market":["SE"],"power_kw":147,"manufacturer":"Ford","bodywork_form":"covered_body","energy_sources":["petrol"],"production_year":1966,"manufacturer_role":"vehicle_manufacturer","power_source_unit":"kw","registration_date":"1972-11-06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63 C FAIRLANE 500","target":"normalized","rule_ids":["MFR-CLASSIFY-V1"],"sequence":3,"transformer_id":"ts.manufacturer","confidence_effect":0.2},{"after":"Ford","field":"manufacturer","before":"FORD 63 C FAIRLANE 500","target":"normalized","rule_ids":["MFR-CLASSIFY-V1"],"sequence":4,"transformer_id":"ts.manufacturer","confidence_effect":0.2},{"after":"vehicle_manufacturer","field":"manufacturer_role","before":"FORD 63 C FAIRLANE 500","target":"normalized","rule_ids":["MFR-CLASSIFY-V1"],"sequence":5,"transformer_id":"ts.manufacturer","confidence_effect":0.2},{"after":{"source_fields":["brand"],"canonical_name":"Ford"},"field":"manufacturer_confirmation","before":"FORD 63 C FAIRLANE 500","target":"candidate","rule_ids":["MFR-BRAND-PREFIX-FALLBACK"],"sequence":6,"transformer_id":"ts.manufacturer","confidence_effect":0.05},{"after":"model_year","field":"production_date_precision","before":{"model_year":1966,"vehicle_year":1966,"registration_date":"19721106"},"target":"normalized","rule_ids":["DATE-REGISTRATION-V1","DATE-PRODUCTION-YEAR-V1"],"sequence":7,"transformer_id":"ts.dates","confidence_effect":0.1},{"after":1966,"field":"production_year","before":{"model_year":1966,"vehicle_year":1966,"registration_date":"19721106"},"target":"normalized","rule_ids":["DATE-REGISTRATION-V1","DATE-PRODUCTION-YEAR-V1"],"sequence":8,"transformer_id":"ts.dates","confidence_effect":0.1},{"after":"1972-11-06","field":"registration_date","before":{"model_year":1966,"vehicle_year":1966,"registration_date":"19721106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32" s="36" t="n">
        <x:v>46239.78067015046</x:v>
      </x:c>
      <x:c r="AA132" s="36" t="n">
        <x:v>46239.78067015046</x:v>
      </x:c>
    </x:row>
    <x:row r="133" ht="18" customHeight="1">
      <x:c r="A133" s="36" t="n">
        <x:v>2735</x:v>
      </x:c>
      <x:c r="B133" s="36" t="str">
        <x:v>daceadb3-d341-54d4-a6f1-f2131594db4c</x:v>
      </x:c>
      <x:c r="C133" s="36" t="str">
        <x:v>Transportstyrelsen</x:v>
      </x:c>
      <x:c r="D133" s="36" t="str">
        <x:v>normalization-review-passenger-250-v1-rules-20260805T184409855703Z</x:v>
      </x:c>
      <x:c r="E133" s="36" t="str">
        <x:v>staging.transportstyrelsen_raw</x:v>
      </x:c>
      <x:c r="F133" s="36" t="n">
        <x:v>2853</x:v>
      </x:c>
      <x:c r="G133" s="36" t="str">
        <x:v>ts-mapping-v1</x:v>
      </x:c>
      <x:c r="H133" s="36" t="str">
        <x:v>ts-review-20260805T184254528647Z</x:v>
      </x:c>
      <x:c r="I133" s="36" t="str">
        <x:v>normalization-pipeline-v4</x:v>
      </x:c>
      <x:c r="J133" s="36" t="str">
        <x:v>resolved</x:v>
      </x:c>
      <x:c r="K133" s="39" t="n">
        <x:v>0.95</x:v>
      </x:c>
      <x:c r="L133" s="36" t="str">
        <x:v>Volkswagen</x:v>
      </x:c>
      <x:c r="M133" s="36"/>
      <x:c r="N133" s="36" t="str">
        <x:v>estate</x:v>
      </x:c>
      <x:c r="O133" s="38" t="str">
        <x:v>["diesel"]</x:v>
      </x:c>
      <x:c r="P133" s="36" t="str">
        <x:v>manual</x:v>
      </x:c>
      <x:c r="Q133" s="36" t="n">
        <x:v>1999</x:v>
      </x:c>
      <x:c r="R133" s="38" t="str">
        <x:v>["MFE-BE046E6885C1B5","MFR-BRAND-REVIEWED-EXAMPLE","DATE-REGISTRATION-V1","DATE-PRODUCTION-MONTH-V1","UNIT-POWER-KW-V1","TRN-001","BDY-103","FUEL-002"]</x:v>
      </x:c>
      <x:c r="S133" s="38" t="str">
        <x:v>[]</x:v>
      </x:c>
      <x:c r="T133" s="38" t="str">
        <x:v>[]</x:v>
      </x:c>
      <x:c r="U133" s="38" t="str">
        <x:v>{"market":["SE"],"power_kw":81,"manufacturer":"Volkswagen","bodywork_form":"estate","energy_sources":["diesel"],"production_date":"1999-03","production_year":1999,"manufacturer_role":"vehicle_manufacturer","power_source_unit":"kw","registration_date":"1999-04-09","transmission_type":"manual","alias_types_present":["plate","vin"],"builder_converter_names":[],"production_date_precision":"month","bodywork_registry_label_sv":"Kombi"}</x:v>
      </x:c>
      <x:c r="V133" s="38" t="str">
        <x:v>{}</x:v>
      </x:c>
      <x:c r="W1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TDI","target":"normalized","rule_ids":["MFE-BE046E6885C1B5","MFR-BRAND-REVIEWED-EXAMPLE"],"sequence":3,"transformer_id":"ts.manufacturer","confidence_effect":0.2},{"after":"Volkswagen","field":"manufacturer","before":"VW PASSAT VAR TDI","target":"normalized","rule_ids":["MFE-BE046E6885C1B5","MFR-BRAND-REVIEWED-EXAMPLE"],"sequence":4,"transformer_id":"ts.manufacturer","confidence_effect":0.2},{"after":"vehicle_manufacturer","field":"manufacturer_role","before":"VW PASSAT VAR TDI","target":"normalized","rule_ids":["MFE-BE046E6885C1B5","MFR-BRAND-REVIEWED-EXAMPLE"],"sequence":5,"transformer_id":"ts.manufacturer","confidence_effect":0.2},{"after":"1999-03","field":"production_date","before":{"build_month":"199903","vehicle_year":1999,"registration_date":"19990409"},"target":"normalized","rule_ids":["DATE-REGISTRATION-V1","DATE-PRODUCTION-MONTH-V1"],"sequence":6,"transformer_id":"ts.dates","confidence_effect":0.1},{"after":"month","field":"production_date_precision","before":{"build_month":"199903","vehicle_year":1999,"registration_date":"19990409"},"target":"normalized","rule_ids":["DATE-REGISTRATION-V1","DATE-PRODUCTION-MONTH-V1"],"sequence":7,"transformer_id":"ts.dates","confidence_effect":0.1},{"after":1999,"field":"production_year","before":{"build_month":"199903","vehicle_year":1999,"registration_date":"19990409"},"target":"normalized","rule_ids":["DATE-REGISTRATION-V1","DATE-PRODUCTION-MONTH-V1"],"sequence":8,"transformer_id":"ts.dates","confidence_effect":0.1},{"after":"1999-04-09","field":"registration_date","before":{"build_month":"199903","vehicle_year":1999,"registration_date":"19990409"},"target":"normalized","rule_ids":["DATE-REGISTRATION-V1","DATE-PRODUCTION-MONTH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EAFNX01","version":"SGFM512062N"},"target":"normalized","rule_ids":["TRN-001"],"sequence":12,"transformer_id":"ts.transmission","confidence_effect":0.1},{"after":"estate","field":"bodywork_form","before":{"variant":"SEAFNX01","version":"SGFM512062N","body_code":"03","eu_category":"M1","vehicle_type":"PB"},"target":"normalized","rule_ids":["BDY-103"],"sequence":13,"transformer_id":"ts.bodywork","confidence_effect":0.1},{"after":"Kombi","field":"bodywork_registry_label_sv","before":{"variant":"SEAFNX01","version":"SGFM512062N","body_code":"03","eu_category":"M1","vehicle_type":"PB"},"target":"normalized","rule_ids":["BDY-103"],"sequence":14,"transformer_id":"ts.bodywork","confidence_effect":0.1},{"after":["diesel"],"field":"energy_sources","before":{"fuel1":"2","fuel2":"0","fuel3":"0","variant":"SEAFNX01","version":"SGFM512062N"},"target":"normalized","rule_ids":["FUEL-002"],"sequence":15,"transformer_id":"ts.fuel","confidence_effect":0.0}]</x:v>
      </x:c>
      <x:c r="X13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3" s="38" t="str">
        <x:v>{"candidates":{},"confidence":0.95,"normalized":{"market":["SE"],"power_kw":81,"manufacturer":"Volkswagen","bodywork_form":"estate","energy_sources":["diesel"],"production_date":"1999-03","production_year":1999,"manufacturer_role":"vehicle_manufacturer","power_source_unit":"kw","registration_date":"1999-04-09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TDI","target":"normalized","rule_ids":["MFE-BE046E6885C1B5","MFR-BRAND-REVIEWED-EXAMPLE"],"sequence":3,"transformer_id":"ts.manufacturer","confidence_effect":0.2},{"after":"Volkswagen","field":"manufacturer","before":"VW PASSAT VAR TDI","target":"normalized","rule_ids":["MFE-BE046E6885C1B5","MFR-BRAND-REVIEWED-EXAMPLE"],"sequence":4,"transformer_id":"ts.manufacturer","confidence_effect":0.2},{"after":"vehicle_manufacturer","field":"manufacturer_role","before":"VW PASSAT VAR TDI","target":"normalized","rule_ids":["MFE-BE046E6885C1B5","MFR-BRAND-REVIEWED-EXAMPLE"],"sequence":5,"transformer_id":"ts.manufacturer","confidence_effect":0.2},{"after":"1999-03","field":"production_date","before":{"build_month":"199903","vehicle_year":1999,"registration_date":"19990409"},"target":"normalized","rule_ids":["DATE-REGISTRATION-V1","DATE-PRODUCTION-MONTH-V1"],"sequence":6,"transformer_id":"ts.dates","confidence_effect":0.1},{"after":"month","field":"production_date_precision","before":{"build_month":"199903","vehicle_year":1999,"registration_date":"19990409"},"target":"normalized","rule_ids":["DATE-REGISTRATION-V1","DATE-PRODUCTION-MONTH-V1"],"sequence":7,"transformer_id":"ts.dates","confidence_effect":0.1},{"after":1999,"field":"production_year","before":{"build_month":"199903","vehicle_year":1999,"registration_date":"19990409"},"target":"normalized","rule_ids":["DATE-REGISTRATION-V1","DATE-PRODUCTION-MONTH-V1"],"sequence":8,"transformer_id":"ts.dates","confidence_effect":0.1},{"after":"1999-04-09","field":"registration_date","before":{"build_month":"199903","vehicle_year":1999,"registration_date":"19990409"},"target":"normalized","rule_ids":["DATE-REGISTRATION-V1","DATE-PRODUCTION-MONTH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EAFNX01","version":"SGFM512062N"},"target":"normalized","rule_ids":["TRN-001"],"sequence":12,"transformer_id":"ts.transmission","confidence_effect":0.1},{"after":"estate","field":"bodywork_form","before":{"variant":"SEAFNX01","version":"SGFM512062N","body_code":"03","eu_category":"M1","vehicle_type":"PB"},"target":"normalized","rule_ids":["BDY-103"],"sequence":13,"transformer_id":"ts.bodywork","confidence_effect":0.1},{"after":"Kombi","field":"bodywork_registry_label_sv","before":{"variant":"SEAFNX01","version":"SGFM512062N","body_code":"03","eu_category":"M1","vehicle_type":"PB"},"target":"normalized","rule_ids":["BDY-103"],"sequence":14,"transformer_id":"ts.bodywork","confidence_effect":0.1},{"after":["diesel"],"field":"energy_sources","before":{"fuel1":"2","fuel2":"0","fuel3":"0","variant":"SEAFNX01","version":"SGFM512062N"},"target":"normalized","rule_ids":["FUEL-002"],"sequence":15,"transformer_id":"ts.fuel","confidence_effect":0.0}],"pipeline_version":"normalization-pipeline-v4","candidate_rule_ids":[]}</x:v>
      </x:c>
      <x:c r="Z133" s="36" t="n">
        <x:v>46239.78067015046</x:v>
      </x:c>
      <x:c r="AA133" s="36" t="n">
        <x:v>46239.78067015046</x:v>
      </x:c>
    </x:row>
    <x:row r="134" ht="18" customHeight="1">
      <x:c r="A134" s="36" t="n">
        <x:v>2736</x:v>
      </x:c>
      <x:c r="B134" s="36" t="str">
        <x:v>0791e4cd-2b7f-5c44-a5ea-f734a91dd122</x:v>
      </x:c>
      <x:c r="C134" s="36" t="str">
        <x:v>Transportstyrelsen</x:v>
      </x:c>
      <x:c r="D134" s="36" t="str">
        <x:v>normalization-review-passenger-250-v1-rules-20260805T184409855703Z</x:v>
      </x:c>
      <x:c r="E134" s="36" t="str">
        <x:v>staging.transportstyrelsen_raw</x:v>
      </x:c>
      <x:c r="F134" s="36" t="n">
        <x:v>2854</x:v>
      </x:c>
      <x:c r="G134" s="36" t="str">
        <x:v>ts-mapping-v1</x:v>
      </x:c>
      <x:c r="H134" s="36" t="str">
        <x:v>ts-review-20260805T184254528647Z</x:v>
      </x:c>
      <x:c r="I134" s="36" t="str">
        <x:v>normalization-pipeline-v4</x:v>
      </x:c>
      <x:c r="J134" s="36" t="str">
        <x:v>provisional</x:v>
      </x:c>
      <x:c r="K134" s="39" t="n">
        <x:v>0.8</x:v>
      </x:c>
      <x:c r="L134" s="36" t="str">
        <x:v>Ford</x:v>
      </x:c>
      <x:c r="M134" s="36" t="str">
        <x:v>FREETEC TI 708</x:v>
      </x:c>
      <x:c r="N134" s="36" t="str">
        <x:v>motorhome</x:v>
      </x:c>
      <x:c r="O134" s="38" t="str">
        <x:v>["diesel"]</x:v>
      </x:c>
      <x:c r="P134" s="36" t="str">
        <x:v>manual</x:v>
      </x:c>
      <x:c r="Q134" s="36" t="n">
        <x:v>2008</x:v>
      </x:c>
      <x:c r="R134" s="38" t="str">
        <x:v>["MFR-BRAND-CONFIRMED","MFR-BRAND-VIN-WMI","DATE-REGISTRATION-V1","DATE-PRODUCTION-YEAR-V1","UNIT-POWER-KW-V1","UNIT-DISPLACEMENT-CCM-V1","TRN-001","BDY-SA","FUEL-002"]</x:v>
      </x:c>
      <x:c r="S134" s="38" t="str">
        <x:v>[]</x:v>
      </x:c>
      <x:c r="T134" s="38" t="str">
        <x:v>[]</x:v>
      </x:c>
      <x:c r="U134" s="38" t="str">
        <x:v>{"market":["SE"],"power_kw":103,"manufacturer":"Ford","bodywork_form":"motorhome","energy_sources":["diesel"],"displacement_cc":2402,"production_year":2008,"manufacturer_role":"vehicle_manufacturer","power_source_unit":"kw","registration_date":"2009-04-14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134" s="38" t="str">
        <x:v>{"model_family":"FREETEC TI 708"}</x:v>
      </x:c>
      <x:c r="W1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T.E.C CARAVAN GMBH","target":"normalized","rule_ids":["MFR-BRAND-CONFIRMED","MFR-BRAND-VIN-WMI"],"sequence":3,"transformer_id":"ts.manufacturer","confidence_effect":0.2},{"after":"Ford","field":"manufacturer","before":"FORD T.E.C CARAVAN GMBH","target":"normalized","rule_ids":["MFR-BRAND-CONFIRMED","MFR-BRAND-VIN-WMI"],"sequence":4,"transformer_id":"ts.manufacturer","confidence_effect":0.2},{"after":"vehicle_manufacturer","field":"manufacturer_role","before":"FORD T.E.C CARAVAN GMBH","target":"normalized","rule_ids":["MFR-BRAND-CONFIRMED","MFR-BRAND-VIN-WMI"],"sequence":5,"transformer_id":"ts.manufacturer","confidence_effect":0.2},{"after":true,"field":"model_family_candidate","before":"FREETEC TI 708","target":"normalized","rule_ids":["MODEL-CANDIDATE-V1"],"sequence":6,"transformer_id":"ts.model-family","confidence_effect":0.0},{"after":"FREETEC TI 708","field":"model_family","before":"FREETEC TI 708","target":"candidate","rule_ids":["MODEL-CANDIDATE-V1"],"sequence":7,"transformer_id":"ts.model-family","confidence_effect":0.05},{"after":"model_year","field":"production_date_precision","before":{"model_year":2008,"vehicle_year":2008,"registration_date":"20090414"},"target":"normalized","rule_ids":["DATE-REGISTRATION-V1","DATE-PRODUCTION-YEAR-V1"],"sequence":8,"transformer_id":"ts.dates","confidence_effect":0.1},{"after":2008,"field":"production_year","before":{"model_year":2008,"vehicle_year":2008,"registration_date":"20090414"},"target":"normalized","rule_ids":["DATE-REGISTRATION-V1","DATE-PRODUCTION-YEAR-V1"],"sequence":9,"transformer_id":"ts.dates","confidence_effect":0.1},{"after":"2009-04-14","field":"registration_date","before":{"model_year":2008,"vehicle_year":2008,"registration_date":"20090414"},"target":"normalized","rule_ids":["DATE-REGISTRATION-V1","DATE-PRODUCTION-YEAR-V1"],"sequence":10,"transformer_id":"ts.dates","confidence_effect":0.1},{"after":2402,"field":"displacement_cc","before":{"kw":103,"ccm":2402},"target":"normalized","rule_ids":["UNIT-POWER-KW-V1","UNIT-DISPLACEMENT-CCM-V1"],"sequence":11,"transformer_id":"ts.engine-measurements","confidence_effect":0.1},{"after":"ccm","field":"displacement_source_unit","before":{"kw":103,"ccm":2402},"target":"normalized","rule_ids":["UNIT-POWER-KW-V1","UNIT-DISPLACEMENT-CCM-V1"],"sequence":12,"transformer_id":"ts.engine-measurements","confidence_effect":0.1},{"after":103,"field":"power_kw","before":{"kw":103,"ccm":2402},"target":"normalized","rule_ids":["UNIT-POWER-KW-V1","UNIT-DISPLACEMENT-CCM-V1"],"sequence":13,"transformer_id":"ts.engine-measurements","confidence_effect":0.1},{"after":"kw","field":"power_source_unit","before":{"kw":103,"ccm":2402},"target":"normalized","rule_ids":["UNIT-POWER-KW-V1","UNIT-DISPLACEMENT-CCM-V1"],"sequence":14,"transformer_id":"ts.engine-measurements","confidence_effect":0.1},{"after":"manual","field":"transmission_type","before":{"model":"FREETEC TI 708","gearbox":"M","variant":"HTG4HEL1HG7A341TE412","version":"HTG4HEL1HG7A341TE412"},"target":"normalized","rule_ids":["TRN-001"],"sequence":15,"transformer_id":"ts.transmission","confidence_effect":0.1},{"after":"motorhome","field":"bodywork_form","before":{"model":"FREETEC TI 708","variant":"HTG4HEL1HG7A341TE412","version":"HTG4HEL1HG7A341TE412","body_code":"SA","eu_category":"M1","vehicle_type":"PB"},"target":"normalized","rule_ids":["BDY-SA"],"sequence":16,"transformer_id":"ts.bodywork","confidence_effect":0.1},{"after":"Campingbil","field":"bodywork_registry_label_sv","before":{"model":"FREETEC TI 708","variant":"HTG4HEL1HG7A341TE412","version":"HTG4HEL1HG7A341TE412","body_code":"SA","eu_category":"M1","vehicle_type":"PB"},"target":"normalized","rule_ids":["BDY-SA"],"sequence":17,"transformer_id":"ts.bodywork","confidence_effect":0.1},{"after":["diesel"],"field":"energy_sources","before":{"fuel1":"2","fuel2":"0","fuel3":"0","model":"FREETEC TI 708","variant":"HTG4HEL1HG7A341TE412","version":"HTG4HEL1HG7A341TE412"},"target":"normalized","rule_ids":["FUEL-002"],"sequence":18,"transformer_id":"ts.fuel","confidence_effect":0.0}]</x:v>
      </x:c>
      <x:c r="X134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4" s="38" t="str">
        <x:v>{"candidates":{"model_family":"FREETEC TI 708"},"confidence":0.8,"normalized":{"market":["SE"],"power_kw":103,"manufacturer":"Ford","bodywork_form":"motorhome","energy_sources":["diesel"],"displacement_cc":2402,"production_year":2008,"manufacturer_role":"vehicle_manufacturer","power_source_unit":"kw","registration_date":"2009-04-14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T.E.C CARAVAN GMBH","target":"normalized","rule_ids":["MFR-BRAND-CONFIRMED","MFR-BRAND-VIN-WMI"],"sequence":3,"transformer_id":"ts.manufacturer","confidence_effect":0.2},{"after":"Ford","field":"manufacturer","before":"FORD T.E.C CARAVAN GMBH","target":"normalized","rule_ids":["MFR-BRAND-CONFIRMED","MFR-BRAND-VIN-WMI"],"sequence":4,"transformer_id":"ts.manufacturer","confidence_effect":0.2},{"after":"vehicle_manufacturer","field":"manufacturer_role","before":"FORD T.E.C CARAVAN GMBH","target":"normalized","rule_ids":["MFR-BRAND-CONFIRMED","MFR-BRAND-VIN-WMI"],"sequence":5,"transformer_id":"ts.manufacturer","confidence_effect":0.2},{"after":true,"field":"model_family_candidate","before":"FREETEC TI 708","target":"normalized","rule_ids":["MODEL-CANDIDATE-V1"],"sequence":6,"transformer_id":"ts.model-family","confidence_effect":0.0},{"after":"FREETEC TI 708","field":"model_family","before":"FREETEC TI 708","target":"candidate","rule_ids":["MODEL-CANDIDATE-V1"],"sequence":7,"transformer_id":"ts.model-family","confidence_effect":0.05},{"after":"model_year","field":"production_date_precision","before":{"model_year":2008,"vehicle_year":2008,"registration_date":"20090414"},"target":"normalized","rule_ids":["DATE-REGISTRATION-V1","DATE-PRODUCTION-YEAR-V1"],"sequence":8,"transformer_id":"ts.dates","confidence_effect":0.1},{"after":2008,"field":"production_year","before":{"model_year":2008,"vehicle_year":2008,"registration_date":"20090414"},"target":"normalized","rule_ids":["DATE-REGISTRATION-V1","DATE-PRODUCTION-YEAR-V1"],"sequence":9,"transformer_id":"ts.dates","confidence_effect":0.1},{"after":"2009-04-14","field":"registration_date","before":{"model_year":2008,"vehicle_year":2008,"registration_date":"20090414"},"target":"normalized","rule_ids":["DATE-REGISTRATION-V1","DATE-PRODUCTION-YEAR-V1"],"sequence":10,"transformer_id":"ts.dates","confidence_effect":0.1},{"after":2402,"field":"displacement_cc","before":{"kw":103,"ccm":2402},"target":"normalized","rule_ids":["UNIT-POWER-KW-V1","UNIT-DISPLACEMENT-CCM-V1"],"sequence":11,"transformer_id":"ts.engine-measurements","confidence_effect":0.1},{"after":"ccm","field":"displacement_source_unit","before":{"kw":103,"ccm":2402},"target":"normalized","rule_ids":["UNIT-POWER-KW-V1","UNIT-DISPLACEMENT-CCM-V1"],"sequence":12,"transformer_id":"ts.engine-measurements","confidence_effect":0.1},{"after":103,"field":"power_kw","before":{"kw":103,"ccm":2402},"target":"normalized","rule_ids":["UNIT-POWER-KW-V1","UNIT-DISPLACEMENT-CCM-V1"],"sequence":13,"transformer_id":"ts.engine-measurements","confidence_effect":0.1},{"after":"kw","field":"power_source_unit","before":{"kw":103,"ccm":2402},"target":"normalized","rule_ids":["UNIT-POWER-KW-V1","UNIT-DISPLACEMENT-CCM-V1"],"sequence":14,"transformer_id":"ts.engine-measurements","confidence_effect":0.1},{"after":"manual","field":"transmission_type","before":{"model":"FREETEC TI 708","gearbox":"M","variant":"HTG4HEL1HG7A341TE412","version":"HTG4HEL1HG7A341TE412"},"target":"normalized","rule_ids":["TRN-001"],"sequence":15,"transformer_id":"ts.transmission","confidence_effect":0.1},{"after":"motorhome","field":"bodywork_form","before":{"model":"FREETEC TI 708","variant":"HTG4HEL1HG7A341TE412","version":"HTG4HEL1HG7A341TE412","body_code":"SA","eu_category":"M1","vehicle_type":"PB"},"target":"normalized","rule_ids":["BDY-SA"],"sequence":16,"transformer_id":"ts.bodywork","confidence_effect":0.1},{"after":"Campingbil","field":"bodywork_registry_label_sv","before":{"model":"FREETEC TI 708","variant":"HTG4HEL1HG7A341TE412","version":"HTG4HEL1HG7A341TE412","body_code":"SA","eu_category":"M1","vehicle_type":"PB"},"target":"normalized","rule_ids":["BDY-SA"],"sequence":17,"transformer_id":"ts.bodywork","confidence_effect":0.1},{"after":["diesel"],"field":"energy_sources","before":{"fuel1":"2","fuel2":"0","fuel3":"0","model":"FREETEC TI 708","variant":"HTG4HEL1HG7A341TE412","version":"HTG4HEL1HG7A341TE412"},"target":"normalized","rule_ids":["FUEL-002"],"sequence":18,"transformer_id":"ts.fuel","confidence_effect":0.0}],"pipeline_version":"normalization-pipeline-v4","candidate_rule_ids":[]}</x:v>
      </x:c>
      <x:c r="Z134" s="36" t="n">
        <x:v>46239.78067015046</x:v>
      </x:c>
      <x:c r="AA134" s="36" t="n">
        <x:v>46239.78067015046</x:v>
      </x:c>
    </x:row>
    <x:row r="135" ht="18" customHeight="1">
      <x:c r="A135" s="36" t="n">
        <x:v>2737</x:v>
      </x:c>
      <x:c r="B135" s="36" t="str">
        <x:v>bc23fb34-935c-5dc6-a4e7-afbbd634e71f</x:v>
      </x:c>
      <x:c r="C135" s="36" t="str">
        <x:v>Transportstyrelsen</x:v>
      </x:c>
      <x:c r="D135" s="36" t="str">
        <x:v>normalization-review-passenger-250-v1-rules-20260805T184409855703Z</x:v>
      </x:c>
      <x:c r="E135" s="36" t="str">
        <x:v>staging.transportstyrelsen_raw</x:v>
      </x:c>
      <x:c r="F135" s="36" t="n">
        <x:v>2855</x:v>
      </x:c>
      <x:c r="G135" s="36" t="str">
        <x:v>ts-mapping-v1</x:v>
      </x:c>
      <x:c r="H135" s="36" t="str">
        <x:v>ts-review-20260805T184254528647Z</x:v>
      </x:c>
      <x:c r="I135" s="36" t="str">
        <x:v>normalization-pipeline-v4</x:v>
      </x:c>
      <x:c r="J135" s="36" t="str">
        <x:v>provisional</x:v>
      </x:c>
      <x:c r="K135" s="39" t="n">
        <x:v>0.8</x:v>
      </x:c>
      <x:c r="L135" s="36" t="str">
        <x:v>Volvo</x:v>
      </x:c>
      <x:c r="M135" s="36"/>
      <x:c r="N135" s="36" t="str">
        <x:v>covered_body</x:v>
      </x:c>
      <x:c r="O135" s="38" t="str">
        <x:v>["petrol"]</x:v>
      </x:c>
      <x:c r="P135" s="36" t="str">
        <x:v>automatic</x:v>
      </x:c>
      <x:c r="Q135" s="36" t="n">
        <x:v>1972</x:v>
      </x:c>
      <x:c r="R135" s="38" t="str">
        <x:v>["DATE-REGISTRATION-V1","DATE-PRODUCTION-YEAR-V1","UNIT-POWER-KW-V1","TRN-002","BDY-102","FUEL-001"]</x:v>
      </x:c>
      <x:c r="S135" s="38" t="str">
        <x:v>["MFR-BRAND-PREFIX-FALLBACK"]</x:v>
      </x:c>
      <x:c r="T135" s="38" t="str">
        <x:v>[]</x:v>
      </x:c>
      <x:c r="U135" s="38" t="str">
        <x:v>{"market":["SE"],"power_kw":60,"manufacturer":"Volvo","bodywork_form":"covered_body","energy_sources":["petrol"],"production_year":1972,"manufacturer_role":"vehicle_manufacturer","power_source_unit":"kw","registration_date":"1971-09-29","transmission_type":"automatic","alias_types_present":["plate","vin"],"builder_converter_names":[],"production_date_precision":"model_year","bodywork_registry_label_sv":"Täckt"}</x:v>
      </x:c>
      <x:c r="V135" s="38" t="str">
        <x:v>{"manufacturer_confirmation":{"source_fields":["brand"],"canonical_name":"Volvo"}}</x:v>
      </x:c>
      <x:c r="W1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1421361 W","target":"normalized","rule_ids":["MFR-CLASSIFY-V1"],"sequence":3,"transformer_id":"ts.manufacturer","confidence_effect":0.2},{"after":"Volvo","field":"manufacturer","before":"VOLVO 1421361 W","target":"normalized","rule_ids":["MFR-CLASSIFY-V1"],"sequence":4,"transformer_id":"ts.manufacturer","confidence_effect":0.2},{"after":"vehicle_manufacturer","field":"manufacturer_role","before":"VOLVO 1421361 W","target":"normalized","rule_ids":["MFR-CLASSIFY-V1"],"sequence":5,"transformer_id":"ts.manufacturer","confidence_effect":0.2},{"after":{"source_fields":["brand"],"canonical_name":"Volvo"},"field":"manufacturer_confirmation","before":"VOLVO 1421361 W","target":"candidate","rule_ids":["MFR-BRAND-PREFIX-FALLBACK"],"sequence":6,"transformer_id":"ts.manufacturer","confidence_effect":0.05},{"after":"model_year","field":"production_date_precision","before":{"model_year":1972,"vehicle_year":1972,"registration_date":"19710929"},"target":"normalized","rule_ids":["DATE-REGISTRATION-V1","DATE-PRODUCTION-YEAR-V1"],"sequence":7,"transformer_id":"ts.dates","confidence_effect":0.1},{"after":1972,"field":"production_year","before":{"model_year":1972,"vehicle_year":1972,"registration_date":"19710929"},"target":"normalized","rule_ids":["DATE-REGISTRATION-V1","DATE-PRODUCTION-YEAR-V1"],"sequence":8,"transformer_id":"ts.dates","confidence_effect":0.1},{"after":"1971-09-29","field":"registration_date","before":{"model_year":1972,"vehicle_year":1972,"registration_date":"19710929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3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5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1972,"manufacturer_role":"vehicle_manufacturer","power_source_unit":"kw","registration_date":"1971-09-29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1421361 W","target":"normalized","rule_ids":["MFR-CLASSIFY-V1"],"sequence":3,"transformer_id":"ts.manufacturer","confidence_effect":0.2},{"after":"Volvo","field":"manufacturer","before":"VOLVO 1421361 W","target":"normalized","rule_ids":["MFR-CLASSIFY-V1"],"sequence":4,"transformer_id":"ts.manufacturer","confidence_effect":0.2},{"after":"vehicle_manufacturer","field":"manufacturer_role","before":"VOLVO 1421361 W","target":"normalized","rule_ids":["MFR-CLASSIFY-V1"],"sequence":5,"transformer_id":"ts.manufacturer","confidence_effect":0.2},{"after":{"source_fields":["brand"],"canonical_name":"Volvo"},"field":"manufacturer_confirmation","before":"VOLVO 1421361 W","target":"candidate","rule_ids":["MFR-BRAND-PREFIX-FALLBACK"],"sequence":6,"transformer_id":"ts.manufacturer","confidence_effect":0.05},{"after":"model_year","field":"production_date_precision","before":{"model_year":1972,"vehicle_year":1972,"registration_date":"19710929"},"target":"normalized","rule_ids":["DATE-REGISTRATION-V1","DATE-PRODUCTION-YEAR-V1"],"sequence":7,"transformer_id":"ts.dates","confidence_effect":0.1},{"after":1972,"field":"production_year","before":{"model_year":1972,"vehicle_year":1972,"registration_date":"19710929"},"target":"normalized","rule_ids":["DATE-REGISTRATION-V1","DATE-PRODUCTION-YEAR-V1"],"sequence":8,"transformer_id":"ts.dates","confidence_effect":0.1},{"after":"1971-09-29","field":"registration_date","before":{"model_year":1972,"vehicle_year":1972,"registration_date":"19710929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35" s="36" t="n">
        <x:v>46239.78067015046</x:v>
      </x:c>
      <x:c r="AA135" s="36" t="n">
        <x:v>46239.78067015046</x:v>
      </x:c>
    </x:row>
    <x:row r="136" ht="18" customHeight="1">
      <x:c r="A136" s="36" t="n">
        <x:v>2738</x:v>
      </x:c>
      <x:c r="B136" s="36" t="str">
        <x:v>981983d3-b3b9-50d6-9d57-06466359bf0f</x:v>
      </x:c>
      <x:c r="C136" s="36" t="str">
        <x:v>Transportstyrelsen</x:v>
      </x:c>
      <x:c r="D136" s="36" t="str">
        <x:v>normalization-review-passenger-250-v1-rules-20260805T184409855703Z</x:v>
      </x:c>
      <x:c r="E136" s="36" t="str">
        <x:v>staging.transportstyrelsen_raw</x:v>
      </x:c>
      <x:c r="F136" s="36" t="n">
        <x:v>2856</x:v>
      </x:c>
      <x:c r="G136" s="36" t="str">
        <x:v>ts-mapping-v1</x:v>
      </x:c>
      <x:c r="H136" s="36" t="str">
        <x:v>ts-review-20260805T184254528647Z</x:v>
      </x:c>
      <x:c r="I136" s="36" t="str">
        <x:v>normalization-pipeline-v4</x:v>
      </x:c>
      <x:c r="J136" s="36" t="str">
        <x:v>provisional</x:v>
      </x:c>
      <x:c r="K136" s="39" t="n">
        <x:v>0.8</x:v>
      </x:c>
      <x:c r="L136" s="36" t="str">
        <x:v>Volvo</x:v>
      </x:c>
      <x:c r="M136" s="36" t="str">
        <x:v>V60</x:v>
      </x:c>
      <x:c r="N136" s="36" t="str">
        <x:v>estate</x:v>
      </x:c>
      <x:c r="O136" s="38" t="str">
        <x:v>["diesel"]</x:v>
      </x:c>
      <x:c r="P136" s="36" t="str">
        <x:v>automatic</x:v>
      </x:c>
      <x:c r="Q136" s="36" t="n">
        <x:v>2019</x:v>
      </x:c>
      <x:c r="R136" s="38" t="str">
        <x:v>["MFR-102","DATE-REGISTRATION-V1","DATE-PRODUCTION-MONTH-V1","UNIT-POWER-KW-V1","UNIT-DISPLACEMENT-CCM-V1","TRN-002","BDY-110","FUEL-002"]</x:v>
      </x:c>
      <x:c r="S136" s="38" t="str">
        <x:v>[]</x:v>
      </x:c>
      <x:c r="T136" s="38" t="str">
        <x:v>[]</x:v>
      </x:c>
      <x:c r="U136" s="38" t="str">
        <x:v>{"market":["SE"],"power_kw":110,"manufacturer":"Volvo","bodywork_form":"estate","energy_sources":["diesel"],"displacement_cc":1969,"production_date":"2019-09","production_year":2019,"manufacturer_role":"vehicle_manufacturer","power_source_unit":"kw","registration_date":"2019-10-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36" s="38" t="str">
        <x:v>{"model_family":"V60"}</x:v>
      </x:c>
      <x:c r="W1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-09","field":"production_date","before":{"build_month":"201909","vehicle_year":2019,"registration_date":"20191023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20191023"},"target":"normalized","rule_ids":["DATE-REGISTRATION-V1","DATE-PRODUCTION-MONTH-V1"],"sequence":9,"transformer_id":"ts.dates","confidence_effect":0.1},{"after":2019,"field":"production_year","before":{"build_month":"201909","vehicle_year":2019,"registration_date":"20191023"},"target":"normalized","rule_ids":["DATE-REGISTRATION-V1","DATE-PRODUCTION-MONTH-V1"],"sequence":10,"transformer_id":"ts.dates","confidence_effect":0.1},{"after":"2019-10-23","field":"registration_date","before":{"build_month":"201909","vehicle_year":2019,"registration_date":"20191023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60","gearbox":"A","variant":"ZW72","version":"ZW72VD0?"},"target":"normalized","rule_ids":["TRN-002"],"sequence":16,"transformer_id":"ts.transmission","confidence_effect":0.1},{"after":"estate","field":"bodywork_form","before":{"model":"V60","variant":"ZW72","version":"ZW72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72","version":"ZW72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72","version":"ZW72VD0?"},"target":"normalized","rule_ids":["FUEL-002"],"sequence":19,"transformer_id":"ts.fuel","confidence_effect":0.0}]</x:v>
      </x:c>
      <x:c r="X13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6" s="38" t="str">
        <x:v>{"candidates":{"model_family":"V60"},"confidence":0.8,"normalized":{"market":["SE"],"power_kw":110,"manufacturer":"Volvo","bodywork_form":"estate","energy_sources":["diesel"],"displacement_cc":1969,"production_date":"2019-09","production_year":2019,"manufacturer_role":"vehicle_manufacturer","power_source_unit":"kw","registration_date":"2019-10-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-09","field":"production_date","before":{"build_month":"201909","vehicle_year":2019,"registration_date":"20191023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20191023"},"target":"normalized","rule_ids":["DATE-REGISTRATION-V1","DATE-PRODUCTION-MONTH-V1"],"sequence":9,"transformer_id":"ts.dates","confidence_effect":0.1},{"after":2019,"field":"production_year","before":{"build_month":"201909","vehicle_year":2019,"registration_date":"20191023"},"target":"normalized","rule_ids":["DATE-REGISTRATION-V1","DATE-PRODUCTION-MONTH-V1"],"sequence":10,"transformer_id":"ts.dates","confidence_effect":0.1},{"after":"2019-10-23","field":"registration_date","before":{"build_month":"201909","vehicle_year":2019,"registration_date":"20191023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60","gearbox":"A","variant":"ZW72","version":"ZW72VD0?"},"target":"normalized","rule_ids":["TRN-002"],"sequence":16,"transformer_id":"ts.transmission","confidence_effect":0.1},{"after":"estate","field":"bodywork_form","before":{"model":"V60","variant":"ZW72","version":"ZW72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72","version":"ZW72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72","version":"ZW72VD0?"},"target":"normalized","rule_ids":["FUEL-002"],"sequence":19,"transformer_id":"ts.fuel","confidence_effect":0.0}],"pipeline_version":"normalization-pipeline-v4","candidate_rule_ids":[]}</x:v>
      </x:c>
      <x:c r="Z136" s="36" t="n">
        <x:v>46239.78067015046</x:v>
      </x:c>
      <x:c r="AA136" s="36" t="n">
        <x:v>46239.78067015046</x:v>
      </x:c>
    </x:row>
    <x:row r="137" ht="18" customHeight="1">
      <x:c r="A137" s="36" t="n">
        <x:v>2739</x:v>
      </x:c>
      <x:c r="B137" s="36" t="str">
        <x:v>c51c9351-85ae-55c1-a1d9-7a44833f690a</x:v>
      </x:c>
      <x:c r="C137" s="36" t="str">
        <x:v>Transportstyrelsen</x:v>
      </x:c>
      <x:c r="D137" s="36" t="str">
        <x:v>normalization-review-passenger-250-v1-rules-20260805T184409855703Z</x:v>
      </x:c>
      <x:c r="E137" s="36" t="str">
        <x:v>staging.transportstyrelsen_raw</x:v>
      </x:c>
      <x:c r="F137" s="36" t="n">
        <x:v>2857</x:v>
      </x:c>
      <x:c r="G137" s="36" t="str">
        <x:v>ts-mapping-v1</x:v>
      </x:c>
      <x:c r="H137" s="36" t="str">
        <x:v>ts-review-20260805T184254528647Z</x:v>
      </x:c>
      <x:c r="I137" s="36" t="str">
        <x:v>normalization-pipeline-v4</x:v>
      </x:c>
      <x:c r="J137" s="36" t="str">
        <x:v>provisional</x:v>
      </x:c>
      <x:c r="K137" s="39" t="n">
        <x:v>0.8</x:v>
      </x:c>
      <x:c r="L137" s="36" t="str">
        <x:v>SEAT</x:v>
      </x:c>
      <x:c r="M137" s="36" t="str">
        <x:v>TARRACO</x:v>
      </x:c>
      <x:c r="N137" s="36" t="str">
        <x:v>estate</x:v>
      </x:c>
      <x:c r="O137" s="38" t="str">
        <x:v>["petrol"]</x:v>
      </x:c>
      <x:c r="P137" s="36" t="str">
        <x:v>automatic</x:v>
      </x:c>
      <x:c r="Q137" s="36" t="n">
        <x:v>2022</x:v>
      </x:c>
      <x:c r="R137" s="38" t="str">
        <x:v>["MFR-102","DATE-REGISTRATION-V1","DATE-PRODUCTION-DAY-V1","UNIT-POWER-KW-V1","UNIT-DISPLACEMENT-CCM-V1","TRN-002","BDY-110","FUEL-001"]</x:v>
      </x:c>
      <x:c r="S137" s="38" t="str">
        <x:v>["DRV-008"]</x:v>
      </x:c>
      <x:c r="T137" s="38" t="str">
        <x:v>[]</x:v>
      </x:c>
      <x:c r="U137" s="38" t="str">
        <x:v>{"market":["SE"],"power_kw":180,"manufacturer":"SEAT","bodywork_form":"estate","energy_sources":["petrol"],"displacement_cc":1984,"production_date":"2022-05-25","production_year":2022,"manufacturer_role":"vehicle_manufacturer","power_source_unit":"kw","registration_date":"2022-07-29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37" s="38" t="str">
        <x:v>{"drive_type":"awd","model_family":"TARRACO"}</x:v>
      </x:c>
      <x:c r="W1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TARRACO","target":"normalized","rule_ids":["MODEL-CANDIDATE-V1"],"sequence":6,"transformer_id":"ts.model-family","confidence_effect":0.0},{"after":"TARRACO","field":"model_family","before":"TARRACO","target":"candidate","rule_ids":["MODEL-CANDIDATE-V1"],"sequence":7,"transformer_id":"ts.model-family","confidence_effect":0.05},{"after":"2022-05-25","field":"production_date","before":{"build_date":"20220525","build_month":"202205","vehicle_year":2022,"registration_date":"20220729"},"target":"normalized","rule_ids":["DATE-REGISTRATION-V1","DATE-PRODUCTION-DAY-V1"],"sequence":8,"transformer_id":"ts.dates","confidence_effect":0.1},{"after":"day","field":"production_date_precision","before":{"build_date":"20220525","build_month":"202205","vehicle_year":2022,"registration_date":"20220729"},"target":"normalized","rule_ids":["DATE-REGISTRATION-V1","DATE-PRODUCTION-DAY-V1"],"sequence":9,"transformer_id":"ts.dates","confidence_effect":0.1},{"after":2022,"field":"production_year","before":{"build_date":"20220525","build_month":"202205","vehicle_year":2022,"registration_date":"20220729"},"target":"normalized","rule_ids":["DATE-REGISTRATION-V1","DATE-PRODUCTION-DAY-V1"],"sequence":10,"transformer_id":"ts.dates","confidence_effect":0.1},{"after":"2022-07-29","field":"registration_date","before":{"build_date":"20220525","build_month":"202205","vehicle_year":2022,"registration_date":"20220729"},"target":"normalized","rule_ids":["DATE-REGISTRATION-V1","DATE-PRODUCTION-DAY-V1"],"sequence":11,"transformer_id":"ts.dates","confidence_effect":0.1},{"after":1984,"field":"displacement_cc","before":{"kw":180,"ccm":1984},"target":"normalized","rule_ids":["UNIT-POWER-KW-V1","UNIT-DISPLACEMENT-CCM-V1"],"sequence":12,"transformer_id":"ts.engine-measurements","confidence_effect":0.1},{"after":"ccm","field":"displacement_source_unit","before":{"kw":180,"ccm":1984},"target":"normalized","rule_ids":["UNIT-POWER-KW-V1","UNIT-DISPLACEMENT-CCM-V1"],"sequence":13,"transformer_id":"ts.engine-measurements","confidence_effect":0.1},{"after":180,"field":"power_kw","before":{"kw":180,"ccm":1984},"target":"normalized","rule_ids":["UNIT-POWER-KW-V1","UNIT-DISPLACEMENT-CCM-V1"],"sequence":14,"transformer_id":"ts.engine-measurements","confidence_effect":0.1},{"after":"kw","field":"power_source_unit","before":{"kw":180,"ccm":1984},"target":"normalized","rule_ids":["UNIT-POWER-KW-V1","UNIT-DISPLACEMENT-CCM-V1"],"sequence":15,"transformer_id":"ts.engine-measurements","confidence_effect":0.1},{"after":"automatic","field":"transmission_type","before":{"model":"TARRACO","gearbox":"A","variant":"XDNPAX1","version":"AD7MAD7GC0064BIML761BBB"},"target":"normalized","rule_ids":["TRN-002"],"sequence":16,"transformer_id":"ts.transmission","confidence_effect":0.1},{"after":"estate","field":"bodywork_form","before":{"model":"TARRACO","variant":"XDNPAX1","version":"AD7MAD7GC0064BIML761BBB","body_code":"AC","eu_category":"M1","vehicle_type":"PB"},"target":"normalized","rule_ids":["BDY-110"],"sequence":17,"transformer_id":"ts.bodywork","confidence_effect":0.1},{"after":"Stationsvagn (kombivagn)","field":"bodywork_registry_label_sv","before":{"model":"TARRACO","variant":"XDNPAX1","version":"AD7MAD7GC0064BIML761BB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ARRACO","variant":"XDNPAX1","version":"AD7MAD7GC0064BIML761BBB"},"target":"normalized","rule_ids":["FUEL-001"],"sequence":20,"transformer_id":"ts.fuel","confidence_effect":0.0}]</x:v>
      </x:c>
      <x:c r="X13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7" s="38" t="str">
        <x:v>{"candidates":{"drive_type":"awd","model_family":"TARRACO"},"confidence":0.8,"normalized":{"market":["SE"],"power_kw":180,"manufacturer":"SEAT","bodywork_form":"estate","energy_sources":["petrol"],"displacement_cc":1984,"production_date":"2022-05-25","production_year":2022,"manufacturer_role":"vehicle_manufacturer","power_source_unit":"kw","registration_date":"2022-07-29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TARRACO","target":"normalized","rule_ids":["MODEL-CANDIDATE-V1"],"sequence":6,"transformer_id":"ts.model-family","confidence_effect":0.0},{"after":"TARRACO","field":"model_family","before":"TARRACO","target":"candidate","rule_ids":["MODEL-CANDIDATE-V1"],"sequence":7,"transformer_id":"ts.model-family","confidence_effect":0.05},{"after":"2022-05-25","field":"production_date","before":{"build_date":"20220525","build_month":"202205","vehicle_year":2022,"registration_date":"20220729"},"target":"normalized","rule_ids":["DATE-REGISTRATION-V1","DATE-PRODUCTION-DAY-V1"],"sequence":8,"transformer_id":"ts.dates","confidence_effect":0.1},{"after":"day","field":"production_date_precision","before":{"build_date":"20220525","build_month":"202205","vehicle_year":2022,"registration_date":"20220729"},"target":"normalized","rule_ids":["DATE-REGISTRATION-V1","DATE-PRODUCTION-DAY-V1"],"sequence":9,"transformer_id":"ts.dates","confidence_effect":0.1},{"after":2022,"field":"production_year","before":{"build_date":"20220525","build_month":"202205","vehicle_year":2022,"registration_date":"20220729"},"target":"normalized","rule_ids":["DATE-REGISTRATION-V1","DATE-PRODUCTION-DAY-V1"],"sequence":10,"transformer_id":"ts.dates","confidence_effect":0.1},{"after":"2022-07-29","field":"registration_date","before":{"build_date":"20220525","build_month":"202205","vehicle_year":2022,"registration_date":"20220729"},"target":"normalized","rule_ids":["DATE-REGISTRATION-V1","DATE-PRODUCTION-DAY-V1"],"sequence":11,"transformer_id":"ts.dates","confidence_effect":0.1},{"after":1984,"field":"displacement_cc","before":{"kw":180,"ccm":1984},"target":"normalized","rule_ids":["UNIT-POWER-KW-V1","UNIT-DISPLACEMENT-CCM-V1"],"sequence":12,"transformer_id":"ts.engine-measurements","confidence_effect":0.1},{"after":"ccm","field":"displacement_source_unit","before":{"kw":180,"ccm":1984},"target":"normalized","rule_ids":["UNIT-POWER-KW-V1","UNIT-DISPLACEMENT-CCM-V1"],"sequence":13,"transformer_id":"ts.engine-measurements","confidence_effect":0.1},{"after":180,"field":"power_kw","before":{"kw":180,"ccm":1984},"target":"normalized","rule_ids":["UNIT-POWER-KW-V1","UNIT-DISPLACEMENT-CCM-V1"],"sequence":14,"transformer_id":"ts.engine-measurements","confidence_effect":0.1},{"after":"kw","field":"power_source_unit","before":{"kw":180,"ccm":1984},"target":"normalized","rule_ids":["UNIT-POWER-KW-V1","UNIT-DISPLACEMENT-CCM-V1"],"sequence":15,"transformer_id":"ts.engine-measurements","confidence_effect":0.1},{"after":"automatic","field":"transmission_type","before":{"model":"TARRACO","gearbox":"A","variant":"XDNPAX1","version":"AD7MAD7GC0064BIML761BBB"},"target":"normalized","rule_ids":["TRN-002"],"sequence":16,"transformer_id":"ts.transmission","confidence_effect":0.1},{"after":"estate","field":"bodywork_form","before":{"model":"TARRACO","variant":"XDNPAX1","version":"AD7MAD7GC0064BIML761BBB","body_code":"AC","eu_category":"M1","vehicle_type":"PB"},"target":"normalized","rule_ids":["BDY-110"],"sequence":17,"transformer_id":"ts.bodywork","confidence_effect":0.1},{"after":"Stationsvagn (kombivagn)","field":"bodywork_registry_label_sv","before":{"model":"TARRACO","variant":"XDNPAX1","version":"AD7MAD7GC0064BIML761BB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ARRACO","variant":"XDNPAX1","version":"AD7MAD7GC0064BIML761BBB"},"target":"normalized","rule_ids":["FUEL-001"],"sequence":20,"transformer_id":"ts.fuel","confidence_effect":0.0}],"pipeline_version":"normalization-pipeline-v4","candidate_rule_ids":["DRV-008"]}</x:v>
      </x:c>
      <x:c r="Z137" s="36" t="n">
        <x:v>46239.78067015046</x:v>
      </x:c>
      <x:c r="AA137" s="36" t="n">
        <x:v>46239.78067015046</x:v>
      </x:c>
    </x:row>
    <x:row r="138" ht="18" customHeight="1">
      <x:c r="A138" s="36" t="n">
        <x:v>2740</x:v>
      </x:c>
      <x:c r="B138" s="36" t="str">
        <x:v>0d50d25c-9deb-50b2-9161-0ec31afa5a4a</x:v>
      </x:c>
      <x:c r="C138" s="36" t="str">
        <x:v>Transportstyrelsen</x:v>
      </x:c>
      <x:c r="D138" s="36" t="str">
        <x:v>normalization-review-passenger-250-v1-rules-20260805T184409855703Z</x:v>
      </x:c>
      <x:c r="E138" s="36" t="str">
        <x:v>staging.transportstyrelsen_raw</x:v>
      </x:c>
      <x:c r="F138" s="36" t="n">
        <x:v>2858</x:v>
      </x:c>
      <x:c r="G138" s="36" t="str">
        <x:v>ts-mapping-v1</x:v>
      </x:c>
      <x:c r="H138" s="36" t="str">
        <x:v>ts-review-20260805T184254528647Z</x:v>
      </x:c>
      <x:c r="I138" s="36" t="str">
        <x:v>normalization-pipeline-v4</x:v>
      </x:c>
      <x:c r="J138" s="36" t="str">
        <x:v>provisional</x:v>
      </x:c>
      <x:c r="K138" s="39" t="n">
        <x:v>0.8</x:v>
      </x:c>
      <x:c r="L138" s="36" t="str">
        <x:v>BMW</x:v>
      </x:c>
      <x:c r="M138" s="36" t="str">
        <x:v>218I ACTIVE TOURER</x:v>
      </x:c>
      <x:c r="N138" s="36" t="str">
        <x:v>estate</x:v>
      </x:c>
      <x:c r="O138" s="38" t="str">
        <x:v>["petrol"]</x:v>
      </x:c>
      <x:c r="P138" s="36" t="str">
        <x:v>manual</x:v>
      </x:c>
      <x:c r="Q138" s="36" t="n">
        <x:v>2014</x:v>
      </x:c>
      <x:c r="R138" s="38" t="str">
        <x:v>["MFR-BRAND-CONFIRMED","MFR-BRAND-VIN-WMI","DATE-REGISTRATION-V1","DATE-PRODUCTION-MONTH-V1","UNIT-POWER-KW-V1","UNIT-DISPLACEMENT-CCM-V1","TRN-001","BDY-110","FUEL-001"]</x:v>
      </x:c>
      <x:c r="S138" s="38" t="str">
        <x:v>[]</x:v>
      </x:c>
      <x:c r="T138" s="38" t="str">
        <x:v>[]</x:v>
      </x:c>
      <x:c r="U138" s="38" t="str">
        <x:v>{"market":["SE"],"power_kw":100,"manufacturer":"BMW","bodywork_form":"estate","energy_sources":["petrol"],"displacement_cc":1499,"production_date":"2014-10","production_year":2014,"manufacturer_role":"vehicle_manufacturer","power_source_unit":"kw","registration_date":"2015-09-01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38" s="38" t="str">
        <x:v>{"model_family":"218I ACTIVE TOURER"}</x:v>
      </x:c>
      <x:c r="W1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UKL-L","target":"normalized","rule_ids":["MFR-BRAND-CONFIRMED","MFR-BRAND-VIN-WMI"],"sequence":3,"transformer_id":"ts.manufacturer","confidence_effect":0.2},{"after":"BMW","field":"manufacturer","before":"BMW UKL-L","target":"normalized","rule_ids":["MFR-BRAND-CONFIRMED","MFR-BRAND-VIN-WMI"],"sequence":4,"transformer_id":"ts.manufacturer","confidence_effect":0.2},{"after":"vehicle_manufacturer","field":"manufacturer_role","before":"BMW UKL-L","target":"normalized","rule_ids":["MFR-BRAND-CONFIRMED","MFR-BRAND-VIN-WMI"],"sequence":5,"transformer_id":"ts.manufacturer","confidence_effect":0.2},{"after":true,"field":"model_family_candidate","before":"218I ACTIVE TOURER","target":"normalized","rule_ids":["MODEL-CANDIDATE-V1"],"sequence":6,"transformer_id":"ts.model-family","confidence_effect":0.0},{"after":"218I ACTIVE TOURER","field":"model_family","before":"218I ACTIVE TOURER","target":"candidate","rule_ids":["MODEL-CANDIDATE-V1"],"sequence":7,"transformer_id":"ts.model-family","confidence_effect":0.05},{"after":"2014-10","field":"production_date","before":{"build_month":"201410","vehicle_year":2014,"registration_date":"20150901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20150901"},"target":"normalized","rule_ids":["DATE-REGISTRATION-V1","DATE-PRODUCTION-MONTH-V1"],"sequence":9,"transformer_id":"ts.dates","confidence_effect":0.1},{"after":2014,"field":"production_year","before":{"build_month":"201410","vehicle_year":2014,"registration_date":"20150901"},"target":"normalized","rule_ids":["DATE-REGISTRATION-V1","DATE-PRODUCTION-MONTH-V1"],"sequence":10,"transformer_id":"ts.dates","confidence_effect":0.1},{"after":"2015-09-01","field":"registration_date","before":{"build_month":"201410","vehicle_year":2014,"registration_date":"20150901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manual","field":"transmission_type","before":{"model":"218I ACTIVE TOURER","gearbox":"M","variant":"2A31","version":"6H1500C0"},"target":"normalized","rule_ids":["TRN-001"],"sequence":16,"transformer_id":"ts.transmission","confidence_effect":0.1},{"after":"estate","field":"bodywork_form","before":{"model":"218I ACTIVE TOURER","variant":"2A31","version":"6H1500C0","body_code":"AC","eu_category":"M1","vehicle_type":"PB"},"target":"normalized","rule_ids":["BDY-110"],"sequence":17,"transformer_id":"ts.bodywork","confidence_effect":0.1},{"after":"Stationsvagn (kombivagn)","field":"bodywork_registry_label_sv","before":{"model":"218I ACTIVE TOURER","variant":"2A31","version":"6H1500C0","body_code":"AC","eu_category":"M1","vehicle_type":"PB"},"target":"normalized","rule_ids":["BDY-110"],"sequence":18,"transformer_id":"ts.bodywork","confidence_effect":0.1},{"after":["petrol"],"field":"energy_sources","before":{"fuel1":"1","fuel2":"0","fuel3":"0","model":"218I ACTIVE TOURER","variant":"2A31","version":"6H1500C0"},"target":"normalized","rule_ids":["FUEL-001"],"sequence":19,"transformer_id":"ts.fuel","confidence_effect":0.0}]</x:v>
      </x:c>
      <x:c r="X13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8" s="38" t="str">
        <x:v>{"candidates":{"model_family":"218I ACTIVE TOURER"},"confidence":0.8,"normalized":{"market":["SE"],"power_kw":100,"manufacturer":"BMW","bodywork_form":"estate","energy_sources":["petrol"],"displacement_cc":1499,"production_date":"2014-10","production_year":2014,"manufacturer_role":"vehicle_manufacturer","power_source_unit":"kw","registration_date":"2015-09-01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UKL-L","target":"normalized","rule_ids":["MFR-BRAND-CONFIRMED","MFR-BRAND-VIN-WMI"],"sequence":3,"transformer_id":"ts.manufacturer","confidence_effect":0.2},{"after":"BMW","field":"manufacturer","before":"BMW UKL-L","target":"normalized","rule_ids":["MFR-BRAND-CONFIRMED","MFR-BRAND-VIN-WMI"],"sequence":4,"transformer_id":"ts.manufacturer","confidence_effect":0.2},{"after":"vehicle_manufacturer","field":"manufacturer_role","before":"BMW UKL-L","target":"normalized","rule_ids":["MFR-BRAND-CONFIRMED","MFR-BRAND-VIN-WMI"],"sequence":5,"transformer_id":"ts.manufacturer","confidence_effect":0.2},{"after":true,"field":"model_family_candidate","before":"218I ACTIVE TOURER","target":"normalized","rule_ids":["MODEL-CANDIDATE-V1"],"sequence":6,"transformer_id":"ts.model-family","confidence_effect":0.0},{"after":"218I ACTIVE TOURER","field":"model_family","before":"218I ACTIVE TOURER","target":"candidate","rule_ids":["MODEL-CANDIDATE-V1"],"sequence":7,"transformer_id":"ts.model-family","confidence_effect":0.05},{"after":"2014-10","field":"production_date","before":{"build_month":"201410","vehicle_year":2014,"registration_date":"20150901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20150901"},"target":"normalized","rule_ids":["DATE-REGISTRATION-V1","DATE-PRODUCTION-MONTH-V1"],"sequence":9,"transformer_id":"ts.dates","confidence_effect":0.1},{"after":2014,"field":"production_year","before":{"build_month":"201410","vehicle_year":2014,"registration_date":"20150901"},"target":"normalized","rule_ids":["DATE-REGISTRATION-V1","DATE-PRODUCTION-MONTH-V1"],"sequence":10,"transformer_id":"ts.dates","confidence_effect":0.1},{"after":"2015-09-01","field":"registration_date","before":{"build_month":"201410","vehicle_year":2014,"registration_date":"20150901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manual","field":"transmission_type","before":{"model":"218I ACTIVE TOURER","gearbox":"M","variant":"2A31","version":"6H1500C0"},"target":"normalized","rule_ids":["TRN-001"],"sequence":16,"transformer_id":"ts.transmission","confidence_effect":0.1},{"after":"estate","field":"bodywork_form","before":{"model":"218I ACTIVE TOURER","variant":"2A31","version":"6H1500C0","body_code":"AC","eu_category":"M1","vehicle_type":"PB"},"target":"normalized","rule_ids":["BDY-110"],"sequence":17,"transformer_id":"ts.bodywork","confidence_effect":0.1},{"after":"Stationsvagn (kombivagn)","field":"bodywork_registry_label_sv","before":{"model":"218I ACTIVE TOURER","variant":"2A31","version":"6H1500C0","body_code":"AC","eu_category":"M1","vehicle_type":"PB"},"target":"normalized","rule_ids":["BDY-110"],"sequence":18,"transformer_id":"ts.bodywork","confidence_effect":0.1},{"after":["petrol"],"field":"energy_sources","before":{"fuel1":"1","fuel2":"0","fuel3":"0","model":"218I ACTIVE TOURER","variant":"2A31","version":"6H1500C0"},"target":"normalized","rule_ids":["FUEL-001"],"sequence":19,"transformer_id":"ts.fuel","confidence_effect":0.0}],"pipeline_version":"normalization-pipeline-v4","candidate_rule_ids":[]}</x:v>
      </x:c>
      <x:c r="Z138" s="36" t="n">
        <x:v>46239.78067015046</x:v>
      </x:c>
      <x:c r="AA138" s="36" t="n">
        <x:v>46239.78067015046</x:v>
      </x:c>
    </x:row>
    <x:row r="139" ht="18" customHeight="1">
      <x:c r="A139" s="36" t="n">
        <x:v>2741</x:v>
      </x:c>
      <x:c r="B139" s="36" t="str">
        <x:v>0dd6cd94-1eeb-57e2-ba34-3e7f002f6655</x:v>
      </x:c>
      <x:c r="C139" s="36" t="str">
        <x:v>Transportstyrelsen</x:v>
      </x:c>
      <x:c r="D139" s="36" t="str">
        <x:v>normalization-review-passenger-250-v1-rules-20260805T184409855703Z</x:v>
      </x:c>
      <x:c r="E139" s="36" t="str">
        <x:v>staging.transportstyrelsen_raw</x:v>
      </x:c>
      <x:c r="F139" s="36" t="n">
        <x:v>2859</x:v>
      </x:c>
      <x:c r="G139" s="36" t="str">
        <x:v>ts-mapping-v1</x:v>
      </x:c>
      <x:c r="H139" s="36" t="str">
        <x:v>ts-review-20260805T184254528647Z</x:v>
      </x:c>
      <x:c r="I139" s="36" t="str">
        <x:v>normalization-pipeline-v4</x:v>
      </x:c>
      <x:c r="J139" s="36" t="str">
        <x:v>provisional</x:v>
      </x:c>
      <x:c r="K139" s="39" t="n">
        <x:v>0.8</x:v>
      </x:c>
      <x:c r="L139" s="36" t="str">
        <x:v>Audi</x:v>
      </x:c>
      <x:c r="M139" s="36" t="str">
        <x:v>AUDI A3</x:v>
      </x:c>
      <x:c r="N139" s="36" t="str">
        <x:v>estate</x:v>
      </x:c>
      <x:c r="O139" s="38" t="str">
        <x:v>["diesel"]</x:v>
      </x:c>
      <x:c r="P139" s="36" t="str">
        <x:v>manual</x:v>
      </x:c>
      <x:c r="Q139" s="36" t="n">
        <x:v>2011</x:v>
      </x:c>
      <x:c r="R139" s="38" t="str">
        <x:v>["MFR-BRAND-CONFIRMED","MFR-BRAND-VIN-WMI","DATE-REGISTRATION-V1","DATE-PRODUCTION-MONTH-V1","UNIT-POWER-KW-V1","UNIT-DISPLACEMENT-CCM-V1","TRN-001","BDY-110","FUEL-002"]</x:v>
      </x:c>
      <x:c r="S139" s="38" t="str">
        <x:v>[]</x:v>
      </x:c>
      <x:c r="T139" s="38" t="str">
        <x:v>[]</x:v>
      </x:c>
      <x:c r="U139" s="38" t="str">
        <x:v>{"market":["SE"],"power_kw":77,"manufacturer":"Audi","bodywork_form":"estate","energy_sources":["diesel"],"displacement_cc":1598,"production_date":"2011-02","production_year":2011,"manufacturer_role":"vehicle_manufacturer","power_source_unit":"kw","registration_date":"2011-02-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39" s="38" t="str">
        <x:v>{"model_family":"AUDI A3"}</x:v>
      </x:c>
      <x:c r="W139" s="38" t="str">
        <x:v>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8P","target":"normalized","rule_ids":["MFR-BRAND-CONFIRMED","MFR-BRAND-VIN-WMI"],"sequence":6,"transformer_id":"ts.manufacturer","confidence_effect":0.2},{"after":true,"field":"model_family_candidate","before":"AUDI A3","target":"normalized","rule_ids":["MODEL-CANDIDATE-V1"],"sequence":7,"transformer_id":"ts.model-family","confidence_effect":0.0},{"after":"AUDI A3","field":"model_family","before":"AUDI A3","target":"candidate","rule_ids":["MODEL-CANDIDATE-V1"],"sequence":8,"transformer_id":"ts.model-family","confidence_effect":0.05},{"after":"2011-02","field":"production_date","before":{"build_month":"201102","vehicle_year":2011,"registration_date":"20110225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20110225"},"target":"normalized","rule_ids":["DATE-REGISTRATION-V1","DATE-PRODUCTION-MONTH-V1"],"sequence":10,"transformer_id":"ts.dates","confidence_effect":0.1},{"after":2011,"field":"production_year","before":{"build_month":"201102","vehicle_year":2011,"registration_date":"20110225"},"target":"normalized","rule_ids":["DATE-REGISTRATION-V1","DATE-PRODUCTION-MONTH-V1"],"sequence":11,"transformer_id":"ts.dates","confidence_effect":0.1},{"after":"2011-02-25","field":"registration_date","before":{"build_month":"201102","vehicle_year":2011,"registration_date":"20110225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AUDI A3","gearbox":"M","variant":"SCAYCF1","version":"FM5A4051R8P607MGEM1"},"target":"normalized","rule_ids":["TRN-001"],"sequence":17,"transformer_id":"ts.transmission","confidence_effect":0.1},{"after":"estate","field":"bodywork_form","before":{"model":"AUDI A3","variant":"SCAYCF1","version":"FM5A4051R8P607MGEM1","body_code":"AC","eu_category":"M1","vehicle_type":"PB"},"target":"normalized","rule_ids":["BDY-110"],"sequence":18,"transformer_id":"ts.bodywork","confidence_effect":0.1},{"after":"Stationsvagn (kombivagn)","field":"bodywork_registry_label_sv","before":{"model":"AUDI A3","variant":"SCAYCF1","version":"FM5A4051R8P607MGEM1","body_code":"AC","eu_category":"M1","vehicle_type":"PB"},"target":"normalized","rule_ids":["BDY-110"],"sequence":19,"transformer_id":"ts.bodywork","confidence_effect":0.1},{"after":["diesel"],"field":"energy_sources","before":{"fuel1":"2","fuel2":"0","fuel3":"0","model":"AUDI A3","variant":"SCAYCF1","version":"FM5A4051R8P607MGEM1"},"target":"normalized","rule_ids":["FUEL-002"],"sequence":20,"transformer_id":"ts.fuel","confidence_effect":0.0}]</x:v>
      </x:c>
      <x:c r="X13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9" s="38" t="str">
        <x:v>{"candidates":{"model_family":"AUDI A3"},"confidence":0.8,"normalized":{"market":["SE"],"power_kw":77,"manufacturer":"Audi","bodywork_form":"estate","energy_sources":["diesel"],"displacement_cc":1598,"production_date":"2011-02","production_year":2011,"manufacturer_role":"vehicle_manufacturer","power_source_unit":"kw","registration_date":"2011-02-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8P","target":"normalized","rule_ids":["MFR-BRAND-CONFIRMED","MFR-BRAND-VIN-WMI"],"sequence":6,"transformer_id":"ts.manufacturer","confidence_effect":0.2},{"after":true,"field":"model_family_candidate","before":"AUDI A3","target":"normalized","rule_ids":["MODEL-CANDIDATE-V1"],"sequence":7,"transformer_id":"ts.model-family","confidence_effect":0.0},{"after":"AUDI A3","field":"model_family","before":"AUDI A3","target":"candidate","rule_ids":["MODEL-CANDIDATE-V1"],"sequence":8,"transformer_id":"ts.model-family","confidence_effect":0.05},{"after":"2011-02","field":"production_date","before":{"build_month":"201102","vehicle_year":2011,"registration_date":"20110225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20110225"},"target":"normalized","rule_ids":["DATE-REGISTRATION-V1","DATE-PRODUCTION-MONTH-V1"],"sequence":10,"transformer_id":"ts.dates","confidence_effect":0.1},{"after":2011,"field":"production_year","before":{"build_month":"201102","vehicle_year":2011,"registration_date":"20110225"},"target":"normalized","rule_ids":["DATE-REGISTRATION-V1","DATE-PRODUCTION-MONTH-V1"],"sequence":11,"transformer_id":"ts.dates","confidence_effect":0.1},{"after":"2011-02-25","field":"registration_date","before":{"build_month":"201102","vehicle_year":2011,"registration_date":"20110225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AUDI A3","gearbox":"M","variant":"SCAYCF1","version":"FM5A4051R8P607MGEM1"},"target":"normalized","rule_ids":["TRN-001"],"sequence":17,"transformer_id":"ts.transmission","confidence_effect":0.1},{"after":"estate","field":"bodywork_form","before":{"model":"AUDI A3","variant":"SCAYCF1","version":"FM5A4051R8P607MGEM1","body_code":"AC","eu_category":"M1","vehicle_type":"PB"},"target":"normalized","rule_ids":["BDY-110"],"sequence":18,"transformer_id":"ts.bodywork","confidence_effect":0.1},{"after":"Stationsvagn (kombivagn)","field":"bodywork_registry_label_sv","before":{"model":"AUDI A3","variant":"SCAYCF1","version":"FM5A4051R8P607MGEM1","body_code":"AC","eu_category":"M1","vehicle_type":"PB"},"target":"normalized","rule_ids":["BDY-110"],"sequence":19,"transformer_id":"ts.bodywork","confidence_effect":0.1},{"after":["diesel"],"field":"energy_sources","before":{"fuel1":"2","fuel2":"0","fuel3":"0","model":"AUDI A3","variant":"SCAYCF1","version":"FM5A4051R8P607MGEM1"},"target":"normalized","rule_ids":["FUEL-002"],"sequence":20,"transformer_id":"ts.fuel","confidence_effect":0.0}],"pipeline_version":"normalization-pipeline-v4","candidate_rule_ids":[]}</x:v>
      </x:c>
      <x:c r="Z139" s="36" t="n">
        <x:v>46239.78067015046</x:v>
      </x:c>
      <x:c r="AA139" s="36" t="n">
        <x:v>46239.78067015046</x:v>
      </x:c>
    </x:row>
    <x:row r="140" ht="18" customHeight="1">
      <x:c r="A140" s="36" t="n">
        <x:v>2742</x:v>
      </x:c>
      <x:c r="B140" s="36" t="str">
        <x:v>1fcc33fc-cf16-57b0-8f69-3153676804fa</x:v>
      </x:c>
      <x:c r="C140" s="36" t="str">
        <x:v>Transportstyrelsen</x:v>
      </x:c>
      <x:c r="D140" s="36" t="str">
        <x:v>normalization-review-passenger-250-v1-rules-20260805T184409855703Z</x:v>
      </x:c>
      <x:c r="E140" s="36" t="str">
        <x:v>staging.transportstyrelsen_raw</x:v>
      </x:c>
      <x:c r="F140" s="36" t="n">
        <x:v>2860</x:v>
      </x:c>
      <x:c r="G140" s="36" t="str">
        <x:v>ts-mapping-v1</x:v>
      </x:c>
      <x:c r="H140" s="36" t="str">
        <x:v>ts-review-20260805T184254528647Z</x:v>
      </x:c>
      <x:c r="I140" s="36" t="str">
        <x:v>normalization-pipeline-v4</x:v>
      </x:c>
      <x:c r="J140" s="36" t="str">
        <x:v>resolved</x:v>
      </x:c>
      <x:c r="K140" s="39" t="n">
        <x:v>0.95</x:v>
      </x:c>
      <x:c r="L140" s="36" t="str">
        <x:v>Mercedes-Benz</x:v>
      </x:c>
      <x:c r="M140" s="36"/>
      <x:c r="N140" s="36" t="str">
        <x:v>covered_body</x:v>
      </x:c>
      <x:c r="O140" s="38" t="str">
        <x:v>["petrol"]</x:v>
      </x:c>
      <x:c r="P140" s="36" t="str">
        <x:v>manual</x:v>
      </x:c>
      <x:c r="Q140" s="36" t="n">
        <x:v>1990</x:v>
      </x:c>
      <x:c r="R140" s="38" t="str">
        <x:v>["MFR-BRAND-CONFIRMED","MFR-BRAND-VIN-WMI","DATE-REGISTRATION-V1","DATE-PRODUCTION-YEAR-V1","UNIT-POWER-KW-V1","TRN-001","BDY-104","FUEL-001"]</x:v>
      </x:c>
      <x:c r="S140" s="38" t="str">
        <x:v>[]</x:v>
      </x:c>
      <x:c r="T140" s="38" t="str">
        <x:v>[]</x:v>
      </x:c>
      <x:c r="U140" s="38" t="str">
        <x:v>{"market":["SE"],"power_kw":143,"manufacturer":"Mercedes-Benz","bodywork_form":"covered_body","energy_sources":["petrol"],"production_year":1990,"manufacturer_role":"vehicle_manufacturer","power_source_unit":"kw","registration_date":"2007-04-13","transmission_type":"manual","alias_types_present":["plate","vin"],"builder_converter_names":[],"production_date_precision":"model_year","bodywork_registry_label_sv":"Täckt, taklucka"}</x:v>
      </x:c>
      <x:c r="V140" s="38" t="str">
        <x:v>{}</x:v>
      </x:c>
      <x:c r="W1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190E 2,5","target":"normalized","rule_ids":["MFR-BRAND-CONFIRMED","MFR-BRAND-VIN-WMI"],"sequence":3,"transformer_id":"ts.manufacturer","confidence_effect":0.2},{"after":"Mercedes-Benz","field":"manufacturer","before":"MERCEDES-BENZ 190E 2,5","target":"normalized","rule_ids":["MFR-BRAND-CONFIRMED","MFR-BRAND-VIN-WMI"],"sequence":4,"transformer_id":"ts.manufacturer","confidence_effect":0.2},{"after":"vehicle_manufacturer","field":"manufacturer_role","before":"MERCEDES-BENZ 190E 2,5","target":"normalized","rule_ids":["MFR-BRAND-CONFIRMED","MFR-BRAND-VIN-WMI"],"sequence":5,"transformer_id":"ts.manufacturer","confidence_effect":0.2},{"after":"model_year","field":"production_date_precision","before":{"model_year":1990,"vehicle_year":1990,"registration_date":"20070413"},"target":"normalized","rule_ids":["DATE-REGISTRATION-V1","DATE-PRODUCTION-YEAR-V1"],"sequence":6,"transformer_id":"ts.dates","confidence_effect":0.1},{"after":1990,"field":"production_year","before":{"model_year":1990,"vehicle_year":1990,"registration_date":"20070413"},"target":"normalized","rule_ids":["DATE-REGISTRATION-V1","DATE-PRODUCTION-YEAR-V1"],"sequence":7,"transformer_id":"ts.dates","confidence_effect":0.1},{"after":"2007-04-13","field":"registration_date","before":{"model_year":1990,"vehicle_year":1990,"registration_date":"20070413"},"target":"normalized","rule_ids":["DATE-REGISTRATION-V1","DATE-PRODUCTION-YEAR-V1"],"sequence":8,"transformer_id":"ts.dates","confidence_effect":0.1},{"after":143,"field":"power_kw","before":143,"target":"normalized","rule_ids":["UNIT-POWER-KW-V1"],"sequence":9,"transformer_id":"ts.engine-measurements","confidence_effect":0.1},{"after":"kw","field":"power_source_unit","before":143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40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0" s="38" t="str">
        <x:v>{"candidates":{},"confidence":0.95,"normalized":{"market":["SE"],"power_kw":143,"manufacturer":"Mercedes-Benz","bodywork_form":"covered_body","energy_sources":["petrol"],"production_year":1990,"manufacturer_role":"vehicle_manufacturer","power_source_unit":"kw","registration_date":"2007-04-13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190E 2,5","target":"normalized","rule_ids":["MFR-BRAND-CONFIRMED","MFR-BRAND-VIN-WMI"],"sequence":3,"transformer_id":"ts.manufacturer","confidence_effect":0.2},{"after":"Mercedes-Benz","field":"manufacturer","before":"MERCEDES-BENZ 190E 2,5","target":"normalized","rule_ids":["MFR-BRAND-CONFIRMED","MFR-BRAND-VIN-WMI"],"sequence":4,"transformer_id":"ts.manufacturer","confidence_effect":0.2},{"after":"vehicle_manufacturer","field":"manufacturer_role","before":"MERCEDES-BENZ 190E 2,5","target":"normalized","rule_ids":["MFR-BRAND-CONFIRMED","MFR-BRAND-VIN-WMI"],"sequence":5,"transformer_id":"ts.manufacturer","confidence_effect":0.2},{"after":"model_year","field":"production_date_precision","before":{"model_year":1990,"vehicle_year":1990,"registration_date":"20070413"},"target":"normalized","rule_ids":["DATE-REGISTRATION-V1","DATE-PRODUCTION-YEAR-V1"],"sequence":6,"transformer_id":"ts.dates","confidence_effect":0.1},{"after":1990,"field":"production_year","before":{"model_year":1990,"vehicle_year":1990,"registration_date":"20070413"},"target":"normalized","rule_ids":["DATE-REGISTRATION-V1","DATE-PRODUCTION-YEAR-V1"],"sequence":7,"transformer_id":"ts.dates","confidence_effect":0.1},{"after":"2007-04-13","field":"registration_date","before":{"model_year":1990,"vehicle_year":1990,"registration_date":"20070413"},"target":"normalized","rule_ids":["DATE-REGISTRATION-V1","DATE-PRODUCTION-YEAR-V1"],"sequence":8,"transformer_id":"ts.dates","confidence_effect":0.1},{"after":143,"field":"power_kw","before":143,"target":"normalized","rule_ids":["UNIT-POWER-KW-V1"],"sequence":9,"transformer_id":"ts.engine-measurements","confidence_effect":0.1},{"after":"kw","field":"power_source_unit","before":143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40" s="36" t="n">
        <x:v>46239.78067015046</x:v>
      </x:c>
      <x:c r="AA140" s="36" t="n">
        <x:v>46239.78067015046</x:v>
      </x:c>
    </x:row>
    <x:row r="141" ht="18" customHeight="1">
      <x:c r="A141" s="36" t="n">
        <x:v>2743</x:v>
      </x:c>
      <x:c r="B141" s="36" t="str">
        <x:v>27b5e001-c53e-53e4-a281-c457da2df908</x:v>
      </x:c>
      <x:c r="C141" s="36" t="str">
        <x:v>Transportstyrelsen</x:v>
      </x:c>
      <x:c r="D141" s="36" t="str">
        <x:v>normalization-review-passenger-250-v1-rules-20260805T184409855703Z</x:v>
      </x:c>
      <x:c r="E141" s="36" t="str">
        <x:v>staging.transportstyrelsen_raw</x:v>
      </x:c>
      <x:c r="F141" s="36" t="n">
        <x:v>2861</x:v>
      </x:c>
      <x:c r="G141" s="36" t="str">
        <x:v>ts-mapping-v1</x:v>
      </x:c>
      <x:c r="H141" s="36" t="str">
        <x:v>ts-review-20260805T184254528647Z</x:v>
      </x:c>
      <x:c r="I141" s="36" t="str">
        <x:v>normalization-pipeline-v4</x:v>
      </x:c>
      <x:c r="J141" s="36" t="str">
        <x:v>provisional</x:v>
      </x:c>
      <x:c r="K141" s="39" t="n">
        <x:v>0.8</x:v>
      </x:c>
      <x:c r="L141" s="36" t="str">
        <x:v>Toyota</x:v>
      </x:c>
      <x:c r="M141" s="36" t="str">
        <x:v>TOYOTA AVENSIS</x:v>
      </x:c>
      <x:c r="N141" s="36" t="str">
        <x:v>multi_purpose_vehicle</x:v>
      </x:c>
      <x:c r="O141" s="38" t="str">
        <x:v>["diesel"]</x:v>
      </x:c>
      <x:c r="P141" s="36" t="str">
        <x:v>manual</x:v>
      </x:c>
      <x:c r="Q141" s="36" t="n">
        <x:v>2013</x:v>
      </x:c>
      <x:c r="R141" s="38" t="str">
        <x:v>["DATE-REGISTRATION-V1","DATE-PRODUCTION-MONTH-V1","UNIT-POWER-KW-V1","UNIT-DISPLACEMENT-CCM-V1","TRN-001","BDY-113","FUEL-002"]</x:v>
      </x:c>
      <x:c r="S141" s="38" t="str">
        <x:v>["MFR-BRAND-PREFIX-FALLBACK"]</x:v>
      </x:c>
      <x:c r="T141" s="38" t="str">
        <x:v>[]</x:v>
      </x:c>
      <x:c r="U141" s="38" t="str">
        <x:v>{"market":["SE"],"power_kw":91,"manufacturer":"Toyota","bodywork_form":"multi_purpose_vehicle","energy_sources":["diesel"],"displacement_cc":1998,"production_date":"2013-03"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41" s="38" t="str">
        <x:v>{"model_family":"TOYOTA AVENSIS","manufacturer_confirmation":{"source_fields":["brand"],"canonical_name":"Toyota"}}</x:v>
      </x:c>
      <x:c r="W1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2013-03","field":"production_date","before":{"build_month":"201303","vehicle_year":2013,"registration_date":"20131230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20131230"},"target":"normalized","rule_ids":["DATE-REGISTRATION-V1","DATE-PRODUCTION-MONTH-V1"],"sequence":10,"transformer_id":"ts.dates","confidence_effect":0.1},{"after":2013,"field":"production_year","before":{"build_month":"201303","vehicle_year":2013,"registration_date":"20131230"},"target":"normalized","rule_ids":["DATE-REGISTRATION-V1","DATE-PRODUCTION-MONTH-V1"],"sequence":11,"transformer_id":"ts.dates","confidence_effect":0.1},{"after":"2013-12-30","field":"registration_date","before":{"build_month":"201303","vehicle_year":2013,"registration_date":"20131230"},"target":"normalized","rule_ids":["DATE-REGISTRATION-V1","DATE-PRODUCTION-MONTH-V1"],"sequence":12,"transformer_id":"ts.dates","confidence_effect":0.1},{"after":1998,"field":"displacement_cc","before":{"kw":91,"ccm":1998},"target":"normalized","rule_ids":["UNIT-POWER-KW-V1","UNIT-DISPLACEMENT-CCM-V1"],"sequence":13,"transformer_id":"ts.engine-measurements","confidence_effect":0.1},{"after":"ccm","field":"displacement_source_unit","before":{"kw":91,"ccm":1998},"target":"normalized","rule_ids":["UNIT-POWER-KW-V1","UNIT-DISPLACEMENT-CCM-V1"],"sequence":14,"transformer_id":"ts.engine-measurements","confidence_effect":0.1},{"after":91,"field":"power_kw","before":{"kw":91,"ccm":1998},"target":"normalized","rule_ids":["UNIT-POWER-KW-V1","UNIT-DISPLACEMENT-CCM-V1"],"sequence":15,"transformer_id":"ts.engine-measurements","confidence_effect":0.1},{"after":"kw","field":"power_source_unit","before":{"kw":91,"ccm":1998},"target":"normalized","rule_ids":["UNIT-POWER-KW-V1","UNIT-DISPLACEMENT-CCM-V1"],"sequence":16,"transformer_id":"ts.engine-measurements","confidence_effect":0.1},{"after":"manual","field":"transmission_type","before":{"model":"TOYOTA AVENSIS","gearbox":"M","variant":"ADT270(W)","version":"ADT270L-AWFGYW(AG)"},"target":"normalized","rule_ids":["TRN-001"],"sequence":17,"transformer_id":"ts.transmission","confidence_effect":0.1},{"after":"multi_purpose_vehicle","field":"bodywork_form","before":{"model":"TOYOTA AVENSIS","variant":"ADT270(W)","version":"ADT270L-AWFGYW(AG)","body_code":"AF","eu_category":"M1","vehicle_type":"PB"},"target":"normalized","rule_ids":["BDY-113"],"sequence":18,"transformer_id":"ts.bodywork","confidence_effect":0.1},{"after":"Fordon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ADT270(W)","version":"ADT270L-AWFGYW(AG)","body_code":"AF","eu_category":"M1","vehicle_type":"PB"},"target":"normalized","rule_ids":["BDY-113"],"sequence":19,"transformer_id":"ts.bodywork","confidence_effect":0.1},{"after":["diesel"],"field":"energy_sources","before":{"fuel1":"2","fuel2":"0","fuel3":"0","model":"TOYOTA AVENSIS","variant":"ADT270(W)","version":"ADT270L-AWFGYW(AG)"},"target":"normalized","rule_ids":["FUEL-002"],"sequence":20,"transformer_id":"ts.fuel","confidence_effect":0.0}]</x:v>
      </x:c>
      <x:c r="X14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1" s="38" t="str">
        <x:v>{"candidates":{"model_family":"TOYOTA AVENSIS","manufacturer_confirmation":{"source_fields":["brand"],"canonical_name":"Toyota"}},"confidence":0.8,"normalized":{"market":["SE"],"power_kw":91,"manufacturer":"Toyota","bodywork_form":"multi_purpose_vehicle","energy_sources":["diesel"],"displacement_cc":1998,"production_date":"2013-03"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2013-03","field":"production_date","before":{"build_month":"201303","vehicle_year":2013,"registration_date":"20131230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20131230"},"target":"normalized","rule_ids":["DATE-REGISTRATION-V1","DATE-PRODUCTION-MONTH-V1"],"sequence":10,"transformer_id":"ts.dates","confidence_effect":0.1},{"after":2013,"field":"production_year","before":{"build_month":"201303","vehicle_year":2013,"registration_date":"20131230"},"target":"normalized","rule_ids":["DATE-REGISTRATION-V1","DATE-PRODUCTION-MONTH-V1"],"sequence":11,"transformer_id":"ts.dates","confidence_effect":0.1},{"after":"2013-12-30","field":"registration_date","before":{"build_month":"201303","vehicle_year":2013,"registration_date":"20131230"},"target":"normalized","rule_ids":["DATE-REGISTRATION-V1","DATE-PRODUCTION-MONTH-V1"],"sequence":12,"transformer_id":"ts.dates","confidence_effect":0.1},{"after":1998,"field":"displacement_cc","before":{"kw":91,"ccm":1998},"target":"normalized","rule_ids":["UNIT-POWER-KW-V1","UNIT-DISPLACEMENT-CCM-V1"],"sequence":13,"transformer_id":"ts.engine-measurements","confidence_effect":0.1},{"after":"ccm","field":"displacement_source_unit","before":{"kw":91,"ccm":1998},"target":"normalized","rule_ids":["UNIT-POWER-KW-V1","UNIT-DISPLACEMENT-CCM-V1"],"sequence":14,"transformer_id":"ts.engine-measurements","confidence_effect":0.1},{"after":91,"field":"power_kw","before":{"kw":91,"ccm":1998},"target":"normalized","rule_ids":["UNIT-POWER-KW-V1","UNIT-DISPLACEMENT-CCM-V1"],"sequence":15,"transformer_id":"ts.engine-measurements","confidence_effect":0.1},{"after":"kw","field":"power_source_unit","before":{"kw":91,"ccm":1998},"target":"normalized","rule_ids":["UNIT-POWER-KW-V1","UNIT-DISPLACEMENT-CCM-V1"],"sequence":16,"transformer_id":"ts.engine-measurements","confidence_effect":0.1},{"after":"manual","field":"transmission_type","before":{"model":"TOYOTA AVENSIS","gearbox":"M","variant":"ADT270(W)","version":"ADT270L-AWFGYW(AG)"},"target":"normalized","rule_ids":["TRN-001"],"sequence":17,"transformer_id":"ts.transmission","confidence_effect":0.1},{"after":"multi_purpose_vehicle","field":"bodywork_form","before":{"model":"TOYOTA AVENSIS","variant":"ADT270(W)","version":"ADT270L-AWFGYW(AG)","body_code":"AF","eu_category":"M1","vehicle_type":"PB"},"target":"normalized","rule_ids":["BDY-113"],"sequence":18,"transformer_id":"ts.bodywork","confidence_effect":0.1},{"after":"Fordon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ADT270(W)","version":"ADT270L-AWFGYW(AG)","body_code":"AF","eu_category":"M1","vehicle_type":"PB"},"target":"normalized","rule_ids":["BDY-113"],"sequence":19,"transformer_id":"ts.bodywork","confidence_effect":0.1},{"after":["diesel"],"field":"energy_sources","before":{"fuel1":"2","fuel2":"0","fuel3":"0","model":"TOYOTA AVENSIS","variant":"ADT270(W)","version":"ADT270L-AWFGYW(AG)"},"target":"normalized","rule_ids":["FUEL-002"],"sequence":20,"transformer_id":"ts.fuel","confidence_effect":0.0}],"pipeline_version":"normalization-pipeline-v4","candidate_rule_ids":["MFR-BRAND-PREFIX-FALLBACK"]}</x:v>
      </x:c>
      <x:c r="Z141" s="36" t="n">
        <x:v>46239.78067015046</x:v>
      </x:c>
      <x:c r="AA141" s="36" t="n">
        <x:v>46239.78067015046</x:v>
      </x:c>
    </x:row>
    <x:row r="142" ht="18" customHeight="1">
      <x:c r="A142" s="36" t="n">
        <x:v>2744</x:v>
      </x:c>
      <x:c r="B142" s="36" t="str">
        <x:v>983edbc1-68b0-5df3-bedb-2644500897dc</x:v>
      </x:c>
      <x:c r="C142" s="36" t="str">
        <x:v>Transportstyrelsen</x:v>
      </x:c>
      <x:c r="D142" s="36" t="str">
        <x:v>normalization-review-passenger-250-v1-rules-20260805T184409855703Z</x:v>
      </x:c>
      <x:c r="E142" s="36" t="str">
        <x:v>staging.transportstyrelsen_raw</x:v>
      </x:c>
      <x:c r="F142" s="36" t="n">
        <x:v>2862</x:v>
      </x:c>
      <x:c r="G142" s="36" t="str">
        <x:v>ts-mapping-v1</x:v>
      </x:c>
      <x:c r="H142" s="36" t="str">
        <x:v>ts-review-20260805T184254528647Z</x:v>
      </x:c>
      <x:c r="I142" s="36" t="str">
        <x:v>normalization-pipeline-v4</x:v>
      </x:c>
      <x:c r="J142" s="36" t="str">
        <x:v>provisional</x:v>
      </x:c>
      <x:c r="K142" s="39" t="n">
        <x:v>0.8</x:v>
      </x:c>
      <x:c r="L142" s="36" t="str">
        <x:v>Audi</x:v>
      </x:c>
      <x:c r="M142" s="36" t="str">
        <x:v>A6 AVANT</x:v>
      </x:c>
      <x:c r="N142" s="36" t="str">
        <x:v>estate</x:v>
      </x:c>
      <x:c r="O142" s="38" t="str">
        <x:v>["diesel"]</x:v>
      </x:c>
      <x:c r="P142" s="36" t="str">
        <x:v>automatic</x:v>
      </x:c>
      <x:c r="Q142" s="36" t="n">
        <x:v>2018</x:v>
      </x:c>
      <x:c r="R142" s="38" t="str">
        <x:v>["MFR-BRAND-CONFIRMED","MFR-BRAND-VIN-WMI","DATE-REGISTRATION-V1","DATE-PRODUCTION-MONTH-V1","UNIT-POWER-KW-V1","UNIT-DISPLACEMENT-CCM-V1","TRN-002","BDY-110","BDY-002","FUEL-002"]</x:v>
      </x:c>
      <x:c r="S142" s="38" t="str">
        <x:v>["DRV-008"]</x:v>
      </x:c>
      <x:c r="T142" s="38" t="str">
        <x:v>[]</x:v>
      </x:c>
      <x:c r="U142" s="38" t="str">
        <x:v>{"market":["SE"],"power_kw":140,"manufacturer":"Audi","bodywork_form":"estate","energy_sources":["diesel"],"displacement_cc":1968,"production_date":"2018-03","production_year":2018,"manufacturer_role":"vehicle_manufacturer","power_source_unit":"kw","registration_date":"2018-05-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42" s="38" t="str">
        <x:v>{"drive_type":"awd","model_family":"A6 AVANT"}</x:v>
      </x:c>
      <x:c r="W1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2018-03","field":"production_date","before":{"build_month":"201803","vehicle_year":2018,"registration_date":"20180518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20180518"},"target":"normalized","rule_ids":["DATE-REGISTRATION-V1","DATE-PRODUCTION-MONTH-V1"],"sequence":9,"transformer_id":"ts.dates","confidence_effect":0.1},{"after":2018,"field":"production_year","before":{"build_month":"201803","vehicle_year":2018,"registration_date":"20180518"},"target":"normalized","rule_ids":["DATE-REGISTRATION-V1","DATE-PRODUCTION-MONTH-V1"],"sequence":10,"transformer_id":"ts.dates","confidence_effect":0.1},{"after":"2018-05-18","field":"registration_date","before":{"build_month":"201803","vehicle_year":2018,"registration_date":"20180518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A6 AVANT","gearbox":"A","variant":"ADDDAQ1","version":"QD7QD7B5027P4G03S57MMEM2"},"target":"normalized","rule_ids":["TRN-002"],"sequence":16,"transformer_id":"ts.transmission","confidence_effect":0.1},{"after":"estate","field":"bodywork_form","before":{"model":"A6 AVANT","variant":"ADDDAQ1","version":"QD7QD7B5027P4G03S57MMEM2","body_code":"AC","eu_category":"M1","vehicle_type":"PB"},"target":"normalized","rule_ids":["BDY-110","BDY-002"],"sequence":17,"transformer_id":"ts.bodywork","confidence_effect":0.1},{"after":"Stationsvagn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DDDAQ1","version":"QD7QD7B5027P4G03S57MMEM2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6 AVANT","variant":"ADDDAQ1","version":"QD7QD7B5027P4G03S57MMEM2"},"target":"normalized","rule_ids":["FUEL-002"],"sequence":20,"transformer_id":"ts.fuel","confidence_effect":0.0}]</x:v>
      </x:c>
      <x:c r="X14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2" s="38" t="str">
        <x:v>{"candidates":{"drive_type":"awd","model_family":"A6 AVANT"},"confidence":0.8,"normalized":{"market":["SE"],"power_kw":140,"manufacturer":"Audi","bodywork_form":"estate","energy_sources":["diesel"],"displacement_cc":1968,"production_date":"2018-03","production_year":2018,"manufacturer_role":"vehicle_manufacturer","power_source_unit":"kw","registration_date":"2018-05-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2018-03","field":"production_date","before":{"build_month":"201803","vehicle_year":2018,"registration_date":"20180518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20180518"},"target":"normalized","rule_ids":["DATE-REGISTRATION-V1","DATE-PRODUCTION-MONTH-V1"],"sequence":9,"transformer_id":"ts.dates","confidence_effect":0.1},{"after":2018,"field":"production_year","before":{"build_month":"201803","vehicle_year":2018,"registration_date":"20180518"},"target":"normalized","rule_ids":["DATE-REGISTRATION-V1","DATE-PRODUCTION-MONTH-V1"],"sequence":10,"transformer_id":"ts.dates","confidence_effect":0.1},{"after":"2018-05-18","field":"registration_date","before":{"build_month":"201803","vehicle_year":2018,"registration_date":"20180518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A6 AVANT","gearbox":"A","variant":"ADDDAQ1","version":"QD7QD7B5027P4G03S57MMEM2"},"target":"normalized","rule_ids":["TRN-002"],"sequence":16,"transformer_id":"ts.transmission","confidence_effect":0.1},{"after":"estate","field":"bodywork_form","before":{"model":"A6 AVANT","variant":"ADDDAQ1","version":"QD7QD7B5027P4G03S57MMEM2","body_code":"AC","eu_category":"M1","vehicle_type":"PB"},"target":"normalized","rule_ids":["BDY-110","BDY-002"],"sequence":17,"transformer_id":"ts.bodywork","confidence_effect":0.1},{"after":"Stationsvagn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DDDAQ1","version":"QD7QD7B5027P4G03S57MMEM2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6 AVANT","variant":"ADDDAQ1","version":"QD7QD7B5027P4G03S57MMEM2"},"target":"normalized","rule_ids":["FUEL-002"],"sequence":20,"transformer_id":"ts.fuel","confidence_effect":0.0}],"pipeline_version":"normalization-pipeline-v4","candidate_rule_ids":["DRV-008"]}</x:v>
      </x:c>
      <x:c r="Z142" s="36" t="n">
        <x:v>46239.78067015046</x:v>
      </x:c>
      <x:c r="AA142" s="36" t="n">
        <x:v>46239.78067015046</x:v>
      </x:c>
    </x:row>
    <x:row r="143" ht="18" customHeight="1">
      <x:c r="A143" s="36" t="n">
        <x:v>2745</x:v>
      </x:c>
      <x:c r="B143" s="36" t="str">
        <x:v>fe9ac51c-e2d1-59d2-8feb-e72fd84ffa58</x:v>
      </x:c>
      <x:c r="C143" s="36" t="str">
        <x:v>Transportstyrelsen</x:v>
      </x:c>
      <x:c r="D143" s="36" t="str">
        <x:v>normalization-review-passenger-250-v1-rules-20260805T184409855703Z</x:v>
      </x:c>
      <x:c r="E143" s="36" t="str">
        <x:v>staging.transportstyrelsen_raw</x:v>
      </x:c>
      <x:c r="F143" s="36" t="n">
        <x:v>2863</x:v>
      </x:c>
      <x:c r="G143" s="36" t="str">
        <x:v>ts-mapping-v1</x:v>
      </x:c>
      <x:c r="H143" s="36" t="str">
        <x:v>ts-review-20260805T184254528647Z</x:v>
      </x:c>
      <x:c r="I143" s="36" t="str">
        <x:v>normalization-pipeline-v4</x:v>
      </x:c>
      <x:c r="J143" s="36" t="str">
        <x:v>provisional</x:v>
      </x:c>
      <x:c r="K143" s="39" t="n">
        <x:v>0.8</x:v>
      </x:c>
      <x:c r="L143" s="36" t="str">
        <x:v>BMW</x:v>
      </x:c>
      <x:c r="M143" s="36"/>
      <x:c r="N143" s="36" t="str">
        <x:v>covered_body</x:v>
      </x:c>
      <x:c r="O143" s="38" t="str">
        <x:v>["petrol"]</x:v>
      </x:c>
      <x:c r="P143" s="36" t="str">
        <x:v>automatic</x:v>
      </x:c>
      <x:c r="Q143" s="36" t="n">
        <x:v>1995</x:v>
      </x:c>
      <x:c r="R143" s="38" t="str">
        <x:v>["DATE-REGISTRATION-V1","DATE-PRODUCTION-YEAR-V1","UNIT-POWER-KW-V1","TRN-008","BDY-102","FUEL-001"]</x:v>
      </x:c>
      <x:c r="S143" s="38" t="str">
        <x:v>["MFR-BRAND-PREFIX-FALLBACK"]</x:v>
      </x:c>
      <x:c r="T143" s="38" t="str">
        <x:v>[]</x:v>
      </x:c>
      <x:c r="U143" s="38" t="str">
        <x:v>{"market":["SE"],"power_kw":210,"manufacturer":"BMW","bodywork_form":"covered_body","energy_sources":["petrol"],"production_year":1995,"manufacturer_role":"vehicle_manufacturer","power_source_unit":"kw","registration_date":"1994-12-07","transmission_type":"automatic","alias_types_present":["plate","vin"],"builder_converter_names":[],"production_date_precision":"model_year","bodywork_registry_label_sv":"Täckt"}</x:v>
      </x:c>
      <x:c r="V143" s="38" t="str">
        <x:v>{"manufacturer_confirmation":{"source_fields":["brand"],"canonical_name":"BMW"}}</x:v>
      </x:c>
      <x:c r="W1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740IA","target":"normalized","rule_ids":["MFR-CLASSIFY-V1"],"sequence":3,"transformer_id":"ts.manufacturer","confidence_effect":0.2},{"after":"BMW","field":"manufacturer","before":"BMW 740IA","target":"normalized","rule_ids":["MFR-CLASSIFY-V1"],"sequence":4,"transformer_id":"ts.manufacturer","confidence_effect":0.2},{"after":"vehicle_manufacturer","field":"manufacturer_role","before":"BMW 740IA","target":"normalized","rule_ids":["MFR-CLASSIFY-V1"],"sequence":5,"transformer_id":"ts.manufacturer","confidence_effect":0.2},{"after":{"source_fields":["brand"],"canonical_name":"BMW"},"field":"manufacturer_confirmation","before":"BMW 740IA","target":"candidate","rule_ids":["MFR-BRAND-PREFIX-FALLBACK"],"sequence":6,"transformer_id":"ts.manufacturer","confidence_effect":0.05},{"after":"model_year","field":"production_date_precision","before":{"model_year":1995,"vehicle_year":1995,"registration_date":"19941207"},"target":"normalized","rule_ids":["DATE-REGISTRATION-V1","DATE-PRODUCTION-YEAR-V1"],"sequence":7,"transformer_id":"ts.dates","confidence_effect":0.1},{"after":1995,"field":"production_year","before":{"model_year":1995,"vehicle_year":1995,"registration_date":"19941207"},"target":"normalized","rule_ids":["DATE-REGISTRATION-V1","DATE-PRODUCTION-YEAR-V1"],"sequence":8,"transformer_id":"ts.dates","confidence_effect":0.1},{"after":"1994-12-07","field":"registration_date","before":{"model_year":1995,"vehicle_year":1995,"registration_date":"19941207"},"target":"normalized","rule_ids":["DATE-REGISTRATION-V1","DATE-PRODUCTION-YEAR-V1"],"sequence":9,"transformer_id":"ts.dates","confidence_effect":0.1},{"after":210,"field":"power_kw","before":210,"target":"normalized","rule_ids":["UNIT-POWER-KW-V1"],"sequence":10,"transformer_id":"ts.engine-measurements","confidence_effect":0.1},{"after":"kw","field":"power_source_unit","before":210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3" s="38" t="str">
        <x:v>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3" s="38" t="str">
        <x:v>{"candidates":{"manufacturer_confirmation":{"source_fields":["brand"],"canonical_name":"BMW"}},"confidence":0.8,"normalized":{"market":["SE"],"power_kw":210,"manufacturer":"BMW","bodywork_form":"covered_body","energy_sources":["petrol"],"production_year":1995,"manufacturer_role":"vehicle_manufacturer","power_source_unit":"kw","registration_date":"1994-12-07","transmission_type":"automatic","alias_types_present":["plate","vin"]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740IA","target":"normalized","rule_ids":["MFR-CLASSIFY-V1"],"sequence":3,"transformer_id":"ts.manufacturer","confidence_effect":0.2},{"after":"BMW","field":"manufacturer","before":"BMW 740IA","target":"normalized","rule_ids":["MFR-CLASSIFY-V1"],"sequence":4,"transformer_id":"ts.manufacturer","confidence_effect":0.2},{"after":"vehicle_manufacturer","field":"manufacturer_role","before":"BMW 740IA","target":"normalized","rule_ids":["MFR-CLASSIFY-V1"],"sequence":5,"transformer_id":"ts.manufacturer","confidence_effect":0.2},{"after":{"source_fields":["brand"],"canonical_name":"BMW"},"field":"manufacturer_confirmation","before":"BMW 740IA","target":"candidate","rule_ids":["MFR-BRAND-PREFIX-FALLBACK"],"sequence":6,"transformer_id":"ts.manufacturer","confidence_effect":0.05},{"after":"model_year","field":"production_date_precision","before":{"model_year":1995,"vehicle_year":1995,"registration_date":"19941207"},"target":"normalized","rule_ids":["DATE-REGISTRATION-V1","DATE-PRODUCTION-YEAR-V1"],"sequence":7,"transformer_id":"ts.dates","confidence_effect":0.1},{"after":1995,"field":"production_year","before":{"model_year":1995,"vehicle_year":1995,"registration_date":"19941207"},"target":"normalized","rule_ids":["DATE-REGISTRATION-V1","DATE-PRODUCTION-YEAR-V1"],"sequence":8,"transformer_id":"ts.dates","confidence_effect":0.1},{"after":"1994-12-07","field":"registration_date","before":{"model_year":1995,"vehicle_year":1995,"registration_date":"19941207"},"target":"normalized","rule_ids":["DATE-REGISTRATION-V1","DATE-PRODUCTION-YEAR-V1"],"sequence":9,"transformer_id":"ts.dates","confidence_effect":0.1},{"after":210,"field":"power_kw","before":210,"target":"normalized","rule_ids":["UNIT-POWER-KW-V1"],"sequence":10,"transformer_id":"ts.engine-measurements","confidence_effect":0.1},{"after":"kw","field":"power_source_unit","before":210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43" s="36" t="n">
        <x:v>46239.78067015046</x:v>
      </x:c>
      <x:c r="AA143" s="36" t="n">
        <x:v>46239.78067015046</x:v>
      </x:c>
    </x:row>
    <x:row r="144" ht="18" customHeight="1">
      <x:c r="A144" s="36" t="n">
        <x:v>2746</x:v>
      </x:c>
      <x:c r="B144" s="36" t="str">
        <x:v>66b80480-c76d-5ef8-9554-80e0d1d38211</x:v>
      </x:c>
      <x:c r="C144" s="36" t="str">
        <x:v>Transportstyrelsen</x:v>
      </x:c>
      <x:c r="D144" s="36" t="str">
        <x:v>normalization-review-passenger-250-v1-rules-20260805T184409855703Z</x:v>
      </x:c>
      <x:c r="E144" s="36" t="str">
        <x:v>staging.transportstyrelsen_raw</x:v>
      </x:c>
      <x:c r="F144" s="36" t="n">
        <x:v>2864</x:v>
      </x:c>
      <x:c r="G144" s="36" t="str">
        <x:v>ts-mapping-v1</x:v>
      </x:c>
      <x:c r="H144" s="36" t="str">
        <x:v>ts-review-20260805T184254528647Z</x:v>
      </x:c>
      <x:c r="I144" s="36" t="str">
        <x:v>normalization-pipeline-v4</x:v>
      </x:c>
      <x:c r="J144" s="36" t="str">
        <x:v>provisional</x:v>
      </x:c>
      <x:c r="K144" s="39" t="n">
        <x:v>0.8</x:v>
      </x:c>
      <x:c r="L144" s="36" t="str">
        <x:v>Peugeot</x:v>
      </x:c>
      <x:c r="M144" s="36" t="str">
        <x:v>207</x:v>
      </x:c>
      <x:c r="N144" s="36" t="str">
        <x:v>hatchback</x:v>
      </x:c>
      <x:c r="O144" s="38" t="str">
        <x:v>["petrol"]</x:v>
      </x:c>
      <x:c r="P144" s="36" t="str">
        <x:v>manual</x:v>
      </x:c>
      <x:c r="Q144" s="36" t="n">
        <x:v>2010</x:v>
      </x:c>
      <x:c r="R144" s="38" t="str">
        <x:v>["DATE-REGISTRATION-V1","DATE-PRODUCTION-MONTH-V1","UNIT-POWER-KW-V1","UNIT-DISPLACEMENT-CCM-V1","TRN-001","BDY-109","FUEL-001"]</x:v>
      </x:c>
      <x:c r="S144" s="38" t="str">
        <x:v>["MFR-BRAND-PREFIX-FALLBACK"]</x:v>
      </x:c>
      <x:c r="T144" s="38" t="str">
        <x:v>[]</x:v>
      </x:c>
      <x:c r="U144" s="38" t="str">
        <x:v>{"market":["SE"],"power_kw":70,"manufacturer":"Peugeot","bodywork_form":"hatchback","energy_sources":["petrol"],"displacement_cc":1397,"production_date":"2010-01","production_year":2010,"manufacturer_role":"vehicle_manufacturer","power_source_unit":"kw","registration_date":"2010-03-31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44" s="38" t="str">
        <x:v>{"model_family":"207","manufacturer_confirmation":{"source_fields":["brand"],"canonical_name":"Peugeot"}}</x:v>
      </x:c>
      <x:c r="W1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207","target":"normalized","rule_ids":["MFR-CLASSIFY-V1"],"sequence":3,"transformer_id":"ts.manufacturer","confidence_effect":0.2},{"after":"Peugeot","field":"manufacturer","before":"PEUGEOT 207","target":"normalized","rule_ids":["MFR-CLASSIFY-V1"],"sequence":4,"transformer_id":"ts.manufacturer","confidence_effect":0.2},{"after":"vehicle_manufacturer","field":"manufacturer_role","before":"PEUGEOT 207","target":"normalized","rule_ids":["MFR-CLASSIFY-V1"],"sequence":5,"transformer_id":"ts.manufacturer","confidence_effect":0.2},{"after":{"source_fields":["brand"],"canonical_name":"Peugeot"},"field":"manufacturer_confirmation","before":"PEUGEOT 207","target":"candidate","rule_ids":["MFR-BRAND-PREFIX-FALLBACK"],"sequence":6,"transformer_id":"ts.manufacturer","confidence_effect":0.05},{"after":true,"field":"model_family_candidate","before":"207","target":"normalized","rule_ids":["MODEL-CANDIDATE-V1"],"sequence":7,"transformer_id":"ts.model-family","confidence_effect":0.0},{"after":"207","field":"model_family","before":"207","target":"candidate","rule_ids":["MODEL-CANDIDATE-V1"],"sequence":8,"transformer_id":"ts.model-family","confidence_effect":0.05},{"after":"2010-01","field":"production_date","before":{"build_month":"201001","vehicle_year":2010,"registration_date":"20100331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20100331"},"target":"normalized","rule_ids":["DATE-REGISTRATION-V1","DATE-PRODUCTION-MONTH-V1"],"sequence":10,"transformer_id":"ts.dates","confidence_effect":0.1},{"after":2010,"field":"production_year","before":{"build_month":"201001","vehicle_year":2010,"registration_date":"20100331"},"target":"normalized","rule_ids":["DATE-REGISTRATION-V1","DATE-PRODUCTION-MONTH-V1"],"sequence":11,"transformer_id":"ts.dates","confidence_effect":0.1},{"after":"2010-03-31","field":"registration_date","before":{"build_month":"201001","vehicle_year":2010,"registration_date":"20100331"},"target":"normalized","rule_ids":["DATE-REGISTRATION-V1","DATE-PRODUCTION-MONTH-V1"],"sequence":12,"transformer_id":"ts.dates","confidence_effect":0.1},{"after":1397,"field":"displacement_cc","before":{"kw":70,"ccm":1397},"target":"normalized","rule_ids":["UNIT-POWER-KW-V1","UNIT-DISPLACEMENT-CCM-V1"],"sequence":13,"transformer_id":"ts.engine-measurements","confidence_effect":0.1},{"after":"ccm","field":"displacement_source_unit","before":{"kw":70,"ccm":1397},"target":"normalized","rule_ids":["UNIT-POWER-KW-V1","UNIT-DISPLACEMENT-CCM-V1"],"sequence":14,"transformer_id":"ts.engine-measurements","confidence_effect":0.1},{"after":70,"field":"power_kw","before":{"kw":70,"ccm":1397},"target":"normalized","rule_ids":["UNIT-POWER-KW-V1","UNIT-DISPLACEMENT-CCM-V1"],"sequence":15,"transformer_id":"ts.engine-measurements","confidence_effect":0.1},{"after":"kw","field":"power_source_unit","before":{"kw":70,"ccm":1397},"target":"normalized","rule_ids":["UNIT-POWER-KW-V1","UNIT-DISPLACEMENT-CCM-V1"],"sequence":16,"transformer_id":"ts.engine-measurements","confidence_effect":0.1},{"after":"manual","field":"transmission_type","before":{"model":"207","gearbox":"M","variant":"WC8FS*","version":"WC8FSC/1"},"target":"normalized","rule_ids":["TRN-001"],"sequence":17,"transformer_id":"ts.transmission","confidence_effect":0.1},{"after":"hatchback","field":"bodywork_form","before":{"model":"207","variant":"WC8FS*","version":"WC8FSC/1","body_code":"AB","eu_category":"M1","vehicle_type":"PB"},"target":"normalized","rule_ids":["BDY-109"],"sequence":18,"transformer_id":"ts.bodywork","confidence_effect":0.1},{"after":"Halvkombi","field":"bodywork_registry_label_sv","before":{"model":"207","variant":"WC8FS*","version":"WC8FSC/1","body_code":"AB","eu_category":"M1","vehicle_type":"PB"},"target":"normalized","rule_ids":["BDY-109"],"sequence":19,"transformer_id":"ts.bodywork","confidence_effect":0.1},{"after":["petrol"],"field":"energy_sources","before":{"fuel1":"1","fuel2":"0","fuel3":"0","model":"207","variant":"WC8FS*","version":"WC8FSC/1"},"target":"normalized","rule_ids":["FUEL-001"],"sequence":20,"transformer_id":"ts.fuel","confidence_effect":0.0}]</x:v>
      </x:c>
      <x:c r="X14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4" s="38" t="str">
        <x:v>{"candidates":{"model_family":"207","manufacturer_confirmation":{"source_fields":["brand"],"canonical_name":"Peugeot"}},"confidence":0.8,"normalized":{"market":["SE"],"power_kw":70,"manufacturer":"Peugeot","bodywork_form":"hatchback","energy_sources":["petrol"],"displacement_cc":1397,"production_date":"2010-01","production_year":2010,"manufacturer_role":"vehicle_manufacturer","power_source_unit":"kw","registration_date":"2010-03-31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207","target":"normalized","rule_ids":["MFR-CLASSIFY-V1"],"sequence":3,"transformer_id":"ts.manufacturer","confidence_effect":0.2},{"after":"Peugeot","field":"manufacturer","before":"PEUGEOT 207","target":"normalized","rule_ids":["MFR-CLASSIFY-V1"],"sequence":4,"transformer_id":"ts.manufacturer","confidence_effect":0.2},{"after":"vehicle_manufacturer","field":"manufacturer_role","before":"PEUGEOT 207","target":"normalized","rule_ids":["MFR-CLASSIFY-V1"],"sequence":5,"transformer_id":"ts.manufacturer","confidence_effect":0.2},{"after":{"source_fields":["brand"],"canonical_name":"Peugeot"},"field":"manufacturer_confirmation","before":"PEUGEOT 207","target":"candidate","rule_ids":["MFR-BRAND-PREFIX-FALLBACK"],"sequence":6,"transformer_id":"ts.manufacturer","confidence_effect":0.05},{"after":true,"field":"model_family_candidate","before":"207","target":"normalized","rule_ids":["MODEL-CANDIDATE-V1"],"sequence":7,"transformer_id":"ts.model-family","confidence_effect":0.0},{"after":"207","field":"model_family","before":"207","target":"candidate","rule_ids":["MODEL-CANDIDATE-V1"],"sequence":8,"transformer_id":"ts.model-family","confidence_effect":0.05},{"after":"2010-01","field":"production_date","before":{"build_month":"201001","vehicle_year":2010,"registration_date":"20100331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20100331"},"target":"normalized","rule_ids":["DATE-REGISTRATION-V1","DATE-PRODUCTION-MONTH-V1"],"sequence":10,"transformer_id":"ts.dates","confidence_effect":0.1},{"after":2010,"field":"production_year","before":{"build_month":"201001","vehicle_year":2010,"registration_date":"20100331"},"target":"normalized","rule_ids":["DATE-REGISTRATION-V1","DATE-PRODUCTION-MONTH-V1"],"sequence":11,"transformer_id":"ts.dates","confidence_effect":0.1},{"after":"2010-03-31","field":"registration_date","before":{"build_month":"201001","vehicle_year":2010,"registration_date":"20100331"},"target":"normalized","rule_ids":["DATE-REGISTRATION-V1","DATE-PRODUCTION-MONTH-V1"],"sequence":12,"transformer_id":"ts.dates","confidence_effect":0.1},{"after":1397,"field":"displacement_cc","before":{"kw":70,"ccm":1397},"target":"normalized","rule_ids":["UNIT-POWER-KW-V1","UNIT-DISPLACEMENT-CCM-V1"],"sequence":13,"transformer_id":"ts.engine-measurements","confidence_effect":0.1},{"after":"ccm","field":"displacement_source_unit","before":{"kw":70,"ccm":1397},"target":"normalized","rule_ids":["UNIT-POWER-KW-V1","UNIT-DISPLACEMENT-CCM-V1"],"sequence":14,"transformer_id":"ts.engine-measurements","confidence_effect":0.1},{"after":70,"field":"power_kw","before":{"kw":70,"ccm":1397},"target":"normalized","rule_ids":["UNIT-POWER-KW-V1","UNIT-DISPLACEMENT-CCM-V1"],"sequence":15,"transformer_id":"ts.engine-measurements","confidence_effect":0.1},{"after":"kw","field":"power_source_unit","before":{"kw":70,"ccm":1397},"target":"normalized","rule_ids":["UNIT-POWER-KW-V1","UNIT-DISPLACEMENT-CCM-V1"],"sequence":16,"transformer_id":"ts.engine-measurements","confidence_effect":0.1},{"after":"manual","field":"transmission_type","before":{"model":"207","gearbox":"M","variant":"WC8FS*","version":"WC8FSC/1"},"target":"normalized","rule_ids":["TRN-001"],"sequence":17,"transformer_id":"ts.transmission","confidence_effect":0.1},{"after":"hatchback","field":"bodywork_form","before":{"model":"207","variant":"WC8FS*","version":"WC8FSC/1","body_code":"AB","eu_category":"M1","vehicle_type":"PB"},"target":"normalized","rule_ids":["BDY-109"],"sequence":18,"transformer_id":"ts.bodywork","confidence_effect":0.1},{"after":"Halvkombi","field":"bodywork_registry_label_sv","before":{"model":"207","variant":"WC8FS*","version":"WC8FSC/1","body_code":"AB","eu_category":"M1","vehicle_type":"PB"},"target":"normalized","rule_ids":["BDY-109"],"sequence":19,"transformer_id":"ts.bodywork","confidence_effect":0.1},{"after":["petrol"],"field":"energy_sources","before":{"fuel1":"1","fuel2":"0","fuel3":"0","model":"207","variant":"WC8FS*","version":"WC8FSC/1"},"target":"normalized","rule_ids":["FUEL-001"],"sequence":20,"transformer_id":"ts.fuel","confidence_effect":0.0}],"pipeline_version":"normalization-pipeline-v4","candidate_rule_ids":["MFR-BRAND-PREFIX-FALLBACK"]}</x:v>
      </x:c>
      <x:c r="Z144" s="36" t="n">
        <x:v>46239.78067015046</x:v>
      </x:c>
      <x:c r="AA144" s="36" t="n">
        <x:v>46239.78067015046</x:v>
      </x:c>
    </x:row>
    <x:row r="145" ht="18" customHeight="1">
      <x:c r="A145" s="36" t="n">
        <x:v>2747</x:v>
      </x:c>
      <x:c r="B145" s="36" t="str">
        <x:v>668de4dc-3daa-5edf-b4a9-9a7f746cd528</x:v>
      </x:c>
      <x:c r="C145" s="36" t="str">
        <x:v>Transportstyrelsen</x:v>
      </x:c>
      <x:c r="D145" s="36" t="str">
        <x:v>normalization-review-passenger-250-v1-rules-20260805T184409855703Z</x:v>
      </x:c>
      <x:c r="E145" s="36" t="str">
        <x:v>staging.transportstyrelsen_raw</x:v>
      </x:c>
      <x:c r="F145" s="36" t="n">
        <x:v>2865</x:v>
      </x:c>
      <x:c r="G145" s="36" t="str">
        <x:v>ts-mapping-v1</x:v>
      </x:c>
      <x:c r="H145" s="36" t="str">
        <x:v>ts-review-20260805T184254528647Z</x:v>
      </x:c>
      <x:c r="I145" s="36" t="str">
        <x:v>normalization-pipeline-v4</x:v>
      </x:c>
      <x:c r="J145" s="36" t="str">
        <x:v>provisional</x:v>
      </x:c>
      <x:c r="K145" s="39" t="n">
        <x:v>0.8</x:v>
      </x:c>
      <x:c r="L145" s="36" t="str">
        <x:v>Jaguar</x:v>
      </x:c>
      <x:c r="M145" s="36"/>
      <x:c r="N145" s="36" t="str">
        <x:v>covered_body</x:v>
      </x:c>
      <x:c r="O145" s="38" t="str">
        <x:v>["petrol"]</x:v>
      </x:c>
      <x:c r="P145" s="36" t="str">
        <x:v>manual</x:v>
      </x:c>
      <x:c r="Q145" s="36" t="n">
        <x:v>1961</x:v>
      </x:c>
      <x:c r="R145" s="38" t="str">
        <x:v>["DATE-REGISTRATION-V1","DATE-PRODUCTION-YEAR-V1","UNIT-POWER-KW-V1","TRN-001","BDY-102","FUEL-001"]</x:v>
      </x:c>
      <x:c r="S145" s="38" t="str">
        <x:v>["MFR-BRAND-PREFIX-FALLBACK","MFE-4D882BD3D59195"]</x:v>
      </x:c>
      <x:c r="T145" s="38" t="str">
        <x:v>[]</x:v>
      </x:c>
      <x:c r="U145" s="38" t="str">
        <x:v>{"market":["SE"],"power_kw":88,"manufacturer":"Jaguar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</x:v>
      </x:c>
      <x:c r="V145" s="38" t="str">
        <x:v>{"manufacturer_confirmation":{"source_fields":["brand"],"canonical_name":"Jaguar"}}</x:v>
      </x:c>
      <x:c r="W1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AGUAR MARK II 2 4 LITER","target":"normalized","rule_ids":["MFR-CLASSIFY-V1"],"sequence":3,"transformer_id":"ts.manufacturer","confidence_effect":0.2},{"after":"Jaguar","field":"manufacturer","before":"JAGUAR MARK II 2 4 LITER","target":"normalized","rule_ids":["MFR-CLASSIFY-V1"],"sequence":4,"transformer_id":"ts.manufacturer","confidence_effect":0.2},{"after":"vehicle_manufacturer","field":"manufacturer_role","before":"JAGUAR MARK II 2 4 LITER","target":"normalized","rule_ids":["MFR-CLASSIFY-V1"],"sequence":5,"transformer_id":"ts.manufacturer","confidence_effect":0.2},{"after":{"source_fields":["brand"],"canonical_name":"Jaguar"},"field":"manufacturer_confirmation","before":"JAGUAR MARK II 2 4 LITER","target":"candidate","rule_ids":["MFR-BRAND-PREFIX-FALLBACK","MFE-4D882BD3D59195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5" s="38" t="str">
        <x:v>{"candidates":{"manufacturer_confirmation":{"source_fields":["brand"],"canonical_name":"Jaguar"}},"confidence":0.8,"normalized":{"market":["SE"],"power_kw":88,"manufacturer":"Jaguar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AGUAR MARK II 2 4 LITER","target":"normalized","rule_ids":["MFR-CLASSIFY-V1"],"sequence":3,"transformer_id":"ts.manufacturer","confidence_effect":0.2},{"after":"Jaguar","field":"manufacturer","before":"JAGUAR MARK II 2 4 LITER","target":"normalized","rule_ids":["MFR-CLASSIFY-V1"],"sequence":4,"transformer_id":"ts.manufacturer","confidence_effect":0.2},{"after":"vehicle_manufacturer","field":"manufacturer_role","before":"JAGUAR MARK II 2 4 LITER","target":"normalized","rule_ids":["MFR-CLASSIFY-V1"],"sequence":5,"transformer_id":"ts.manufacturer","confidence_effect":0.2},{"after":{"source_fields":["brand"],"canonical_name":"Jaguar"},"field":"manufacturer_confirmation","before":"JAGUAR MARK II 2 4 LITER","target":"candidate","rule_ids":["MFR-BRAND-PREFIX-FALLBACK","MFE-4D882BD3D59195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-4D882BD3D59195"]}</x:v>
      </x:c>
      <x:c r="Z145" s="36" t="n">
        <x:v>46239.78067015046</x:v>
      </x:c>
      <x:c r="AA145" s="36" t="n">
        <x:v>46239.78067015046</x:v>
      </x:c>
    </x:row>
    <x:row r="146" ht="18" customHeight="1">
      <x:c r="A146" s="36" t="n">
        <x:v>2748</x:v>
      </x:c>
      <x:c r="B146" s="36" t="str">
        <x:v>a258433a-32b5-5859-9fd0-fb0844fd899a</x:v>
      </x:c>
      <x:c r="C146" s="36" t="str">
        <x:v>Transportstyrelsen</x:v>
      </x:c>
      <x:c r="D146" s="36" t="str">
        <x:v>normalization-review-passenger-250-v1-rules-20260805T184409855703Z</x:v>
      </x:c>
      <x:c r="E146" s="36" t="str">
        <x:v>staging.transportstyrelsen_raw</x:v>
      </x:c>
      <x:c r="F146" s="36" t="n">
        <x:v>2866</x:v>
      </x:c>
      <x:c r="G146" s="36" t="str">
        <x:v>ts-mapping-v1</x:v>
      </x:c>
      <x:c r="H146" s="36" t="str">
        <x:v>ts-review-20260805T184254528647Z</x:v>
      </x:c>
      <x:c r="I146" s="36" t="str">
        <x:v>normalization-pipeline-v4</x:v>
      </x:c>
      <x:c r="J146" s="36" t="str">
        <x:v>provisional</x:v>
      </x:c>
      <x:c r="K146" s="39" t="n">
        <x:v>0.8</x:v>
      </x:c>
      <x:c r="L146" s="36" t="str">
        <x:v>BMW</x:v>
      </x:c>
      <x:c r="M146" s="36"/>
      <x:c r="N146" s="36" t="str">
        <x:v>covered_body</x:v>
      </x:c>
      <x:c r="O146" s="38" t="str">
        <x:v>["petrol"]</x:v>
      </x:c>
      <x:c r="P146" s="36" t="str">
        <x:v>automatic</x:v>
      </x:c>
      <x:c r="Q146" s="36" t="n">
        <x:v>1997</x:v>
      </x:c>
      <x:c r="R146" s="38" t="str">
        <x:v>["DATE-REGISTRATION-V1","DATE-PRODUCTION-YEAR-V1","UNIT-POWER-KW-V1","TRN-002","BDY-102","FUEL-001"]</x:v>
      </x:c>
      <x:c r="S146" s="38" t="str">
        <x:v>["MFR-BRAND-PREFIX-FALLBACK"]</x:v>
      </x:c>
      <x:c r="T146" s="38" t="str">
        <x:v>[]</x:v>
      </x:c>
      <x:c r="U146" s="38" t="str">
        <x:v>{"market":["SE"],"power_kw":125,"manufacturer":"BMW","bodywork_form":"covered_body","energy_sources":["petrol"],"production_year":1997,"manufacturer_role":"vehicle_manufacturer","power_source_unit":"kw","registration_date":"1997-01-10","transmission_type":"automatic","alias_types_present":["plate","vin"],"builder_converter_names":[],"production_date_precision":"model_year","bodywork_registry_label_sv":"Täckt"}</x:v>
      </x:c>
      <x:c r="V146" s="38" t="str">
        <x:v>{"manufacturer_confirmation":{"source_fields":["brand"],"canonical_name":"BMW"}}</x:v>
      </x:c>
      <x:c r="W1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523IA","target":"normalized","rule_ids":["MFR-CLASSIFY-V1"],"sequence":3,"transformer_id":"ts.manufacturer","confidence_effect":0.2},{"after":"BMW","field":"manufacturer","before":"BMW 523IA","target":"normalized","rule_ids":["MFR-CLASSIFY-V1"],"sequence":4,"transformer_id":"ts.manufacturer","confidence_effect":0.2},{"after":"vehicle_manufacturer","field":"manufacturer_role","before":"BMW 523IA","target":"normalized","rule_ids":["MFR-CLASSIFY-V1"],"sequence":5,"transformer_id":"ts.manufacturer","confidence_effect":0.2},{"after":{"source_fields":["brand"],"canonical_name":"BMW"},"field":"manufacturer_confirmation","before":"BMW 523IA","target":"candidate","rule_ids":["MFR-BRAND-PREFIX-FALLBACK"],"sequence":6,"transformer_id":"ts.manufacturer","confidence_effect":0.05},{"after":"model_year","field":"production_date_precision","before":{"model_year":1997,"vehicle_year":1997,"registration_date":"19970110"},"target":"normalized","rule_ids":["DATE-REGISTRATION-V1","DATE-PRODUCTION-YEAR-V1"],"sequence":7,"transformer_id":"ts.dates","confidence_effect":0.1},{"after":1997,"field":"production_year","before":{"model_year":1997,"vehicle_year":1997,"registration_date":"19970110"},"target":"normalized","rule_ids":["DATE-REGISTRATION-V1","DATE-PRODUCTION-YEAR-V1"],"sequence":8,"transformer_id":"ts.dates","confidence_effect":0.1},{"after":"1997-01-10","field":"registration_date","before":{"model_year":1997,"vehicle_year":1997,"registration_date":"19970110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{"gearbox":"A","variant":"DD41","version":"01"},"target":"normalized","rule_ids":["TRN-002"],"sequence":12,"transformer_id":"ts.transmission","confidence_effect":0.1},{"after":"covered_body","field":"bodywork_form","before":{"variant":"DD41","version":"01","body_code":"01","eu_category":"M1","vehicle_type":"PB"},"target":"normalized","rule_ids":["BDY-102"],"sequence":13,"transformer_id":"ts.bodywork","confidence_effect":0.1},{"after":"Täckt","field":"bodywork_registry_label_sv","before":{"variant":"DD41","version":"01","body_code":"01","eu_category":"M1","vehicle_type":"PB"},"target":"normalized","rule_ids":["BDY-102"],"sequence":14,"transformer_id":"ts.bodywork","confidence_effect":0.1},{"after":["petrol"],"field":"energy_sources","before":{"fuel1":"1","fuel2":"0","fuel3":"0","variant":"DD41","version":"01"},"target":"normalized","rule_ids":["FUEL-001"],"sequence":15,"transformer_id":"ts.fuel","confidence_effect":0.0}]</x:v>
      </x:c>
      <x:c r="X146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6" s="38" t="str">
        <x:v>{"candidates":{"manufacturer_confirmation":{"source_fields":["brand"],"canonical_name":"BMW"}},"confidence":0.8,"normalized":{"market":["SE"],"power_kw":125,"manufacturer":"BMW","bodywork_form":"covered_body","energy_sources":["petrol"],"production_year":1997,"manufacturer_role":"vehicle_manufacturer","power_source_unit":"kw","registration_date":"1997-01-10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523IA","target":"normalized","rule_ids":["MFR-CLASSIFY-V1"],"sequence":3,"transformer_id":"ts.manufacturer","confidence_effect":0.2},{"after":"BMW","field":"manufacturer","before":"BMW 523IA","target":"normalized","rule_ids":["MFR-CLASSIFY-V1"],"sequence":4,"transformer_id":"ts.manufacturer","confidence_effect":0.2},{"after":"vehicle_manufacturer","field":"manufacturer_role","before":"BMW 523IA","target":"normalized","rule_ids":["MFR-CLASSIFY-V1"],"sequence":5,"transformer_id":"ts.manufacturer","confidence_effect":0.2},{"after":{"source_fields":["brand"],"canonical_name":"BMW"},"field":"manufacturer_confirmation","before":"BMW 523IA","target":"candidate","rule_ids":["MFR-BRAND-PREFIX-FALLBACK"],"sequence":6,"transformer_id":"ts.manufacturer","confidence_effect":0.05},{"after":"model_year","field":"production_date_precision","before":{"model_year":1997,"vehicle_year":1997,"registration_date":"19970110"},"target":"normalized","rule_ids":["DATE-REGISTRATION-V1","DATE-PRODUCTION-YEAR-V1"],"sequence":7,"transformer_id":"ts.dates","confidence_effect":0.1},{"after":1997,"field":"production_year","before":{"model_year":1997,"vehicle_year":1997,"registration_date":"19970110"},"target":"normalized","rule_ids":["DATE-REGISTRATION-V1","DATE-PRODUCTION-YEAR-V1"],"sequence":8,"transformer_id":"ts.dates","confidence_effect":0.1},{"after":"1997-01-10","field":"registration_date","before":{"model_year":1997,"vehicle_year":1997,"registration_date":"19970110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{"gearbox":"A","variant":"DD41","version":"01"},"target":"normalized","rule_ids":["TRN-002"],"sequence":12,"transformer_id":"ts.transmission","confidence_effect":0.1},{"after":"covered_body","field":"bodywork_form","before":{"variant":"DD41","version":"01","body_code":"01","eu_category":"M1","vehicle_type":"PB"},"target":"normalized","rule_ids":["BDY-102"],"sequence":13,"transformer_id":"ts.bodywork","confidence_effect":0.1},{"after":"Täckt","field":"bodywork_registry_label_sv","before":{"variant":"DD41","version":"01","body_code":"01","eu_category":"M1","vehicle_type":"PB"},"target":"normalized","rule_ids":["BDY-102"],"sequence":14,"transformer_id":"ts.bodywork","confidence_effect":0.1},{"after":["petrol"],"field":"energy_sources","before":{"fuel1":"1","fuel2":"0","fuel3":"0","variant":"DD41","version":"01"},"target":"normalized","rule_ids":["FUEL-001"],"sequence":15,"transformer_id":"ts.fuel","confidence_effect":0.0}],"pipeline_version":"normalization-pipeline-v4","candidate_rule_ids":["MFR-BRAND-PREFIX-FALLBACK"]}</x:v>
      </x:c>
      <x:c r="Z146" s="36" t="n">
        <x:v>46239.78067015046</x:v>
      </x:c>
      <x:c r="AA146" s="36" t="n">
        <x:v>46239.78067015046</x:v>
      </x:c>
    </x:row>
    <x:row r="147" ht="18" customHeight="1">
      <x:c r="A147" s="36" t="n">
        <x:v>2749</x:v>
      </x:c>
      <x:c r="B147" s="36" t="str">
        <x:v>eccb5f8d-f78a-571b-a806-b15a7a5bae80</x:v>
      </x:c>
      <x:c r="C147" s="36" t="str">
        <x:v>Transportstyrelsen</x:v>
      </x:c>
      <x:c r="D147" s="36" t="str">
        <x:v>normalization-review-passenger-250-v1-rules-20260805T184409855703Z</x:v>
      </x:c>
      <x:c r="E147" s="36" t="str">
        <x:v>staging.transportstyrelsen_raw</x:v>
      </x:c>
      <x:c r="F147" s="36" t="n">
        <x:v>2867</x:v>
      </x:c>
      <x:c r="G147" s="36" t="str">
        <x:v>ts-mapping-v1</x:v>
      </x:c>
      <x:c r="H147" s="36" t="str">
        <x:v>ts-review-20260805T184254528647Z</x:v>
      </x:c>
      <x:c r="I147" s="36" t="str">
        <x:v>normalization-pipeline-v4</x:v>
      </x:c>
      <x:c r="J147" s="36" t="str">
        <x:v>provisional</x:v>
      </x:c>
      <x:c r="K147" s="39" t="n">
        <x:v>0.8</x:v>
      </x:c>
      <x:c r="L147" s="36" t="str">
        <x:v>Mitsubishi</x:v>
      </x:c>
      <x:c r="M147" s="36" t="str">
        <x:v>MITSUBISHI COLT</x:v>
      </x:c>
      <x:c r="N147" s="36" t="str">
        <x:v>hatchback</x:v>
      </x:c>
      <x:c r="O147" s="38" t="str">
        <x:v>["petrol"]</x:v>
      </x:c>
      <x:c r="P147" s="36" t="str">
        <x:v>manual</x:v>
      </x:c>
      <x:c r="Q147" s="36" t="n">
        <x:v>2012</x:v>
      </x:c>
      <x:c r="R147" s="38" t="str">
        <x:v>["DATE-REGISTRATION-V1","DATE-PRODUCTION-MONTH-V1","UNIT-POWER-KW-V1","UNIT-DISPLACEMENT-CCM-V1","TRN-001","BDY-109","FUEL-001"]</x:v>
      </x:c>
      <x:c r="S147" s="38" t="str">
        <x:v>["MFR-BRAND-PREFIX-FALLBACK","MFE-329EF04E45F8EF"]</x:v>
      </x:c>
      <x:c r="T147" s="38" t="str">
        <x:v>[]</x:v>
      </x:c>
      <x:c r="U147" s="38" t="str">
        <x:v>{"market":["SE"],"power_kw":70,"manufacturer":"Mitsubishi","bodywork_form":"hatchback","energy_sources":["petrol"],"displacement_cc":1332,"production_date":"2012-07","production_year":2012,"manufacturer_role":"vehicle_manufacturer","power_source_unit":"kw","registration_date":"2012-09-18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47" s="38" t="str">
        <x:v>{"model_family":"MITSUBISHI COLT","manufacturer_confirmation":{"source_fields":["brand"],"canonical_name":"Mitsubishi"}}</x:v>
      </x:c>
      <x:c r="W1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Z30","target":"normalized","rule_ids":["MFR-CLASSIFY-V1"],"sequence":3,"transformer_id":"ts.manufacturer","confidence_effect":0.2},{"after":"Mitsubishi","field":"manufacturer","before":"MITSUBISHI Z30","target":"normalized","rule_ids":["MFR-CLASSIFY-V1"],"sequence":4,"transformer_id":"ts.manufacturer","confidence_effect":0.2},{"after":"vehicle_manufacturer","field":"manufacturer_role","before":"MITSUBISHI Z30","target":"normalized","rule_ids":["MFR-CLASSIFY-V1"],"sequence":5,"transformer_id":"ts.manufacturer","confidence_effect":0.2},{"after":{"source_fields":["brand"],"canonical_name":"Mitsubishi"},"field":"manufacturer_confirmation","before":"MITSUBISHI Z30","target":"candidate","rule_ids":["MFR-BRAND-PREFIX-FALLBACK","MFE-329EF04E45F8EF"],"sequence":6,"transformer_id":"ts.manufacturer","confidence_effect":0.05},{"after":true,"field":"model_family_candidate","before":"MITSUBISHI COLT","target":"normalized","rule_ids":["MODEL-CANDIDATE-V1"],"sequence":7,"transformer_id":"ts.model-family","confidence_effect":0.0},{"after":"MITSUBISHI COLT","field":"model_family","before":"MITSUBISHI COLT","target":"candidate","rule_ids":["MODEL-CANDIDATE-V1"],"sequence":8,"transformer_id":"ts.model-family","confidence_effect":0.05},{"after":"2012-07","field":"production_date","before":{"build_month":"201207","vehicle_year":2012,"registration_date":"20120918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20120918"},"target":"normalized","rule_ids":["DATE-REGISTRATION-V1","DATE-PRODUCTION-MONTH-V1"],"sequence":10,"transformer_id":"ts.dates","confidence_effect":0.1},{"after":2012,"field":"production_year","before":{"build_month":"201207","vehicle_year":2012,"registration_date":"20120918"},"target":"normalized","rule_ids":["DATE-REGISTRATION-V1","DATE-PRODUCTION-MONTH-V1"],"sequence":11,"transformer_id":"ts.dates","confidence_effect":0.1},{"after":"2012-09-18","field":"registration_date","before":{"build_month":"201207","vehicle_year":2012,"registration_date":"20120918"},"target":"normalized","rule_ids":["DATE-REGISTRATION-V1","DATE-PRODUCTION-MONTH-V1"],"sequence":12,"transformer_id":"ts.dates","confidence_effect":0.1},{"after":1332,"field":"displacement_cc","before":{"kw":70,"ccm":1332},"target":"normalized","rule_ids":["UNIT-POWER-KW-V1","UNIT-DISPLACEMENT-CCM-V1"],"sequence":13,"transformer_id":"ts.engine-measurements","confidence_effect":0.1},{"after":"ccm","field":"displacement_source_unit","before":{"kw":70,"ccm":1332},"target":"normalized","rule_ids":["UNIT-POWER-KW-V1","UNIT-DISPLACEMENT-CCM-V1"],"sequence":14,"transformer_id":"ts.engine-measurements","confidence_effect":0.1},{"after":70,"field":"power_kw","before":{"kw":70,"ccm":1332},"target":"normalized","rule_ids":["UNIT-POWER-KW-V1","UNIT-DISPLACEMENT-CCM-V1"],"sequence":15,"transformer_id":"ts.engine-measurements","confidence_effect":0.1},{"after":"kw","field":"power_source_unit","before":{"kw":70,"ccm":1332},"target":"normalized","rule_ids":["UNIT-POWER-KW-V1","UNIT-DISPLACEMENT-CCM-V1"],"sequence":16,"transformer_id":"ts.engine-measurements","confidence_effect":0.1},{"after":"manual","field":"transmission_type","before":{"model":"MITSUBISHI COLT","gearbox":"M","variant":"Z3311","version":"APMPA5B5EAAA"},"target":"normalized","rule_ids":["TRN-001"],"sequence":17,"transformer_id":"ts.transmission","confidence_effect":0.1},{"after":"hatchback","field":"bodywork_form","before":{"model":"MITSUBISHI COLT","variant":"Z3311","version":"APMPA5B5EAAA","body_code":"AB","eu_category":"M1","vehicle_type":"PB"},"target":"normalized","rule_ids":["BDY-109"],"sequence":18,"transformer_id":"ts.bodywork","confidence_effect":0.1},{"after":"Halvkombi","field":"bodywork_registry_label_sv","before":{"model":"MITSUBISHI COLT","variant":"Z3311","version":"APMPA5B5EAAA","body_code":"AB","eu_category":"M1","vehicle_type":"PB"},"target":"normalized","rule_ids":["BDY-109"],"sequence":19,"transformer_id":"ts.bodywork","confidence_effect":0.1},{"after":["petrol"],"field":"energy_sources","before":{"fuel1":"1","fuel2":"0","fuel3":"0","model":"MITSUBISHI COLT","variant":"Z3311","version":"APMPA5B5EAAA"},"target":"normalized","rule_ids":["FUEL-001"],"sequence":20,"transformer_id":"ts.fuel","confidence_effect":0.0}]</x:v>
      </x:c>
      <x:c r="X14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7" s="38" t="str">
        <x:v>{"candidates":{"model_family":"MITSUBISHI COLT","manufacturer_confirmation":{"source_fields":["brand"],"canonical_name":"Mitsubishi"}},"confidence":0.8,"normalized":{"market":["SE"],"power_kw":70,"manufacturer":"Mitsubishi","bodywork_form":"hatchback","energy_sources":["petrol"],"displacement_cc":1332,"production_date":"2012-07","production_year":2012,"manufacturer_role":"vehicle_manufacturer","power_source_unit":"kw","registration_date":"2012-09-18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Z30","target":"normalized","rule_ids":["MFR-CLASSIFY-V1"],"sequence":3,"transformer_id":"ts.manufacturer","confidence_effect":0.2},{"after":"Mitsubishi","field":"manufacturer","before":"MITSUBISHI Z30","target":"normalized","rule_ids":["MFR-CLASSIFY-V1"],"sequence":4,"transformer_id":"ts.manufacturer","confidence_effect":0.2},{"after":"vehicle_manufacturer","field":"manufacturer_role","before":"MITSUBISHI Z30","target":"normalized","rule_ids":["MFR-CLASSIFY-V1"],"sequence":5,"transformer_id":"ts.manufacturer","confidence_effect":0.2},{"after":{"source_fields":["brand"],"canonical_name":"Mitsubishi"},"field":"manufacturer_confirmation","before":"MITSUBISHI Z30","target":"candidate","rule_ids":["MFR-BRAND-PREFIX-FALLBACK","MFE-329EF04E45F8EF"],"sequence":6,"transformer_id":"ts.manufacturer","confidence_effect":0.05},{"after":true,"field":"model_family_candidate","before":"MITSUBISHI COLT","target":"normalized","rule_ids":["MODEL-CANDIDATE-V1"],"sequence":7,"transformer_id":"ts.model-family","confidence_effect":0.0},{"after":"MITSUBISHI COLT","field":"model_family","before":"MITSUBISHI COLT","target":"candidate","rule_ids":["MODEL-CANDIDATE-V1"],"sequence":8,"transformer_id":"ts.model-family","confidence_effect":0.05},{"after":"2012-07","field":"production_date","before":{"build_month":"201207","vehicle_year":2012,"registration_date":"20120918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20120918"},"target":"normalized","rule_ids":["DATE-REGISTRATION-V1","DATE-PRODUCTION-MONTH-V1"],"sequence":10,"transformer_id":"ts.dates","confidence_effect":0.1},{"after":2012,"field":"production_year","before":{"build_month":"201207","vehicle_year":2012,"registration_date":"20120918"},"target":"normalized","rule_ids":["DATE-REGISTRATION-V1","DATE-PRODUCTION-MONTH-V1"],"sequence":11,"transformer_id":"ts.dates","confidence_effect":0.1},{"after":"2012-09-18","field":"registration_date","before":{"build_month":"201207","vehicle_year":2012,"registration_date":"20120918"},"target":"normalized","rule_ids":["DATE-REGISTRATION-V1","DATE-PRODUCTION-MONTH-V1"],"sequence":12,"transformer_id":"ts.dates","confidence_effect":0.1},{"after":1332,"field":"displacement_cc","before":{"kw":70,"ccm":1332},"target":"normalized","rule_ids":["UNIT-POWER-KW-V1","UNIT-DISPLACEMENT-CCM-V1"],"sequence":13,"transformer_id":"ts.engine-measurements","confidence_effect":0.1},{"after":"ccm","field":"displacement_source_unit","before":{"kw":70,"ccm":1332},"target":"normalized","rule_ids":["UNIT-POWER-KW-V1","UNIT-DISPLACEMENT-CCM-V1"],"sequence":14,"transformer_id":"ts.engine-measurements","confidence_effect":0.1},{"after":70,"field":"power_kw","before":{"kw":70,"ccm":1332},"target":"normalized","rule_ids":["UNIT-POWER-KW-V1","UNIT-DISPLACEMENT-CCM-V1"],"sequence":15,"transformer_id":"ts.engine-measurements","confidence_effect":0.1},{"after":"kw","field":"power_source_unit","before":{"kw":70,"ccm":1332},"target":"normalized","rule_ids":["UNIT-POWER-KW-V1","UNIT-DISPLACEMENT-CCM-V1"],"sequence":16,"transformer_id":"ts.engine-measurements","confidence_effect":0.1},{"after":"manual","field":"transmission_type","before":{"model":"MITSUBISHI COLT","gearbox":"M","variant":"Z3311","version":"APMPA5B5EAAA"},"target":"normalized","rule_ids":["TRN-001"],"sequence":17,"transformer_id":"ts.transmission","confidence_effect":0.1},{"after":"hatchback","field":"bodywork_form","before":{"model":"MITSUBISHI COLT","variant":"Z3311","version":"APMPA5B5EAAA","body_code":"AB","eu_category":"M1","vehicle_type":"PB"},"target":"normalized","rule_ids":["BDY-109"],"sequence":18,"transformer_id":"ts.bodywork","confidence_effect":0.1},{"after":"Halvkombi","field":"bodywork_registry_label_sv","before":{"model":"MITSUBISHI COLT","variant":"Z3311","version":"APMPA5B5EAAA","body_code":"AB","eu_category":"M1","vehicle_type":"PB"},"target":"normalized","rule_ids":["BDY-109"],"sequence":19,"transformer_id":"ts.bodywork","confidence_effect":0.1},{"after":["petrol"],"field":"energy_sources","before":{"fuel1":"1","fuel2":"0","fuel3":"0","model":"MITSUBISHI COLT","variant":"Z3311","version":"APMPA5B5EAAA"},"target":"normalized","rule_ids":["FUEL-001"],"sequence":20,"transformer_id":"ts.fuel","confidence_effect":0.0}],"pipeline_version":"normalization-pipeline-v4","candidate_rule_ids":["MFR-BRAND-PREFIX-FALLBACK","MFE-329EF04E45F8EF"]}</x:v>
      </x:c>
      <x:c r="Z147" s="36" t="n">
        <x:v>46239.78067015046</x:v>
      </x:c>
      <x:c r="AA147" s="36" t="n">
        <x:v>46239.78067015046</x:v>
      </x:c>
    </x:row>
    <x:row r="148" ht="18" customHeight="1">
      <x:c r="A148" s="36" t="n">
        <x:v>2750</x:v>
      </x:c>
      <x:c r="B148" s="36" t="str">
        <x:v>f15c2231-22e2-50ed-8392-cf9f81499dc2</x:v>
      </x:c>
      <x:c r="C148" s="36" t="str">
        <x:v>Transportstyrelsen</x:v>
      </x:c>
      <x:c r="D148" s="36" t="str">
        <x:v>normalization-review-passenger-250-v1-rules-20260805T184409855703Z</x:v>
      </x:c>
      <x:c r="E148" s="36" t="str">
        <x:v>staging.transportstyrelsen_raw</x:v>
      </x:c>
      <x:c r="F148" s="36" t="n">
        <x:v>2868</x:v>
      </x:c>
      <x:c r="G148" s="36" t="str">
        <x:v>ts-mapping-v1</x:v>
      </x:c>
      <x:c r="H148" s="36" t="str">
        <x:v>ts-review-20260805T184254528647Z</x:v>
      </x:c>
      <x:c r="I148" s="36" t="str">
        <x:v>normalization-pipeline-v4</x:v>
      </x:c>
      <x:c r="J148" s="36" t="str">
        <x:v>provisional</x:v>
      </x:c>
      <x:c r="K148" s="39" t="n">
        <x:v>0.8</x:v>
      </x:c>
      <x:c r="L148" s="36" t="str">
        <x:v>Saab</x:v>
      </x:c>
      <x:c r="M148" s="36"/>
      <x:c r="N148" s="36" t="str">
        <x:v>estate</x:v>
      </x:c>
      <x:c r="O148" s="38" t="str">
        <x:v>["petrol","ethanol"]</x:v>
      </x:c>
      <x:c r="P148" s="36" t="str">
        <x:v>manual</x:v>
      </x:c>
      <x:c r="Q148" s="36" t="n">
        <x:v>2007</x:v>
      </x:c>
      <x:c r="R148" s="38" t="str">
        <x:v>["DATE-REGISTRATION-V1","DATE-PRODUCTION-MONTH-V1","UNIT-POWER-KW-V1","UNIT-DISPLACEMENT-CCM-V1","TRN-001","BDY-110","FUEL-001","FUEL-007"]</x:v>
      </x:c>
      <x:c r="S148" s="38" t="str">
        <x:v>["MFR-BRAND-PREFIX-FALLBACK","MFE-CC8089323A8D5F"]</x:v>
      </x:c>
      <x:c r="T148" s="38" t="str">
        <x:v>[]</x:v>
      </x:c>
      <x:c r="U148" s="38" t="str">
        <x:v>{"market":["SE"],"power_kw":136,"manufacturer":"Saab","bodywork_form":"estate","energy_sources":["petrol","ethanol"],"displacement_cc":2290,"production_date":"2007-10","production_year":2007,"manufacturer_role":"vehicle_manufacturer","power_source_unit":"kw","registration_date":"2007-12-03","transmission_type":"manual","alias_types_present":["plate","vin"],"builder_converter_names":[],"displacement_source_unit":"ccm","production_date_precision":"month","bodywork_registry_label_sv":"Stationsvagn (kombivagn)"}</x:v>
      </x:c>
      <x:c r="V148" s="38" t="str">
        <x:v>{"manufacturer_confirmation":{"source_fields":["brand"],"canonical_name":"Saab"}}</x:v>
      </x:c>
      <x:c r="W1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VECTOR","target":"normalized","rule_ids":["MFR-CLASSIFY-V1"],"sequence":3,"transformer_id":"ts.manufacturer","confidence_effect":0.2},{"after":"Saab","field":"manufacturer","before":"SAAB 9-5 VECTOR","target":"normalized","rule_ids":["MFR-CLASSIFY-V1"],"sequence":4,"transformer_id":"ts.manufacturer","confidence_effect":0.2},{"after":"vehicle_manufacturer","field":"manufacturer_role","before":"SAAB 9-5 VECTOR","target":"normalized","rule_ids":["MFR-CLASSIFY-V1"],"sequence":5,"transformer_id":"ts.manufacturer","confidence_effect":0.2},{"after":{"source_fields":["brand"],"canonical_name":"Saab"},"field":"manufacturer_confirmation","before":"SAAB 9-5 VECTOR","target":"candidate","rule_ids":["MFR-BRAND-PREFIX-FALLBACK","MFE-CC8089323A8D5F"],"sequence":6,"transformer_id":"ts.manufacturer","confidence_effect":0.05},{"after":"2007-10","field":"production_date","before":{"build_month":"200710","vehicle_year":2007,"registration_date":"20071203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20071203"},"target":"normalized","rule_ids":["DATE-REGISTRATION-V1","DATE-PRODUCTION-MONTH-V1"],"sequence":8,"transformer_id":"ts.dates","confidence_effect":0.1},{"after":2007,"field":"production_year","before":{"build_month":"200710","vehicle_year":2007,"registration_date":"20071203"},"target":"normalized","rule_ids":["DATE-REGISTRATION-V1","DATE-PRODUCTION-MONTH-V1"],"sequence":9,"transformer_id":"ts.dates","confidence_effect":0.1},{"after":"2007-12-03","field":"registration_date","before":{"build_month":"200710","vehicle_year":2007,"registration_date":"20071203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/BP","version":"M501"},"target":"normalized","rule_ids":["TRN-001"],"sequence":15,"transformer_id":"ts.transmission","confidence_effect":0.1},{"after":"estate","field":"bodywork_form","before":{"variant":"E5E/BP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E/BP","version":"M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/BP","version":"M501"},"target":"normalized","rule_ids":["FUEL-001","FUEL-007"],"sequence":18,"transformer_id":"ts.fuel","confidence_effect":0.0}]</x:v>
      </x:c>
      <x:c r="X14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48" s="38" t="str">
        <x:v>{"candidates":{"manufacturer_confirmation":{"source_fields":["brand"],"canonical_name":"Saab"}},"confidence":0.8,"normalized":{"market":["SE"],"power_kw":136,"manufacturer":"Saab","bodywork_form":"estate","energy_sources":["petrol","ethanol"],"displacement_cc":2290,"production_date":"2007-10","production_year":2007,"manufacturer_role":"vehicle_manufacturer","power_source_unit":"kw","registration_date":"2007-12-03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VECTOR","target":"normalized","rule_ids":["MFR-CLASSIFY-V1"],"sequence":3,"transformer_id":"ts.manufacturer","confidence_effect":0.2},{"after":"Saab","field":"manufacturer","before":"SAAB 9-5 VECTOR","target":"normalized","rule_ids":["MFR-CLASSIFY-V1"],"sequence":4,"transformer_id":"ts.manufacturer","confidence_effect":0.2},{"after":"vehicle_manufacturer","field":"manufacturer_role","before":"SAAB 9-5 VECTOR","target":"normalized","rule_ids":["MFR-CLASSIFY-V1"],"sequence":5,"transformer_id":"ts.manufacturer","confidence_effect":0.2},{"after":{"source_fields":["brand"],"canonical_name":"Saab"},"field":"manufacturer_confirmation","before":"SAAB 9-5 VECTOR","target":"candidate","rule_ids":["MFR-BRAND-PREFIX-FALLBACK","MFE-CC8089323A8D5F"],"sequence":6,"transformer_id":"ts.manufacturer","confidence_effect":0.05},{"after":"2007-10","field":"production_date","before":{"build_month":"200710","vehicle_year":2007,"registration_date":"20071203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20071203"},"target":"normalized","rule_ids":["DATE-REGISTRATION-V1","DATE-PRODUCTION-MONTH-V1"],"sequence":8,"transformer_id":"ts.dates","confidence_effect":0.1},{"after":2007,"field":"production_year","before":{"build_month":"200710","vehicle_year":2007,"registration_date":"20071203"},"target":"normalized","rule_ids":["DATE-REGISTRATION-V1","DATE-PRODUCTION-MONTH-V1"],"sequence":9,"transformer_id":"ts.dates","confidence_effect":0.1},{"after":"2007-12-03","field":"registration_date","before":{"build_month":"200710","vehicle_year":2007,"registration_date":"20071203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/BP","version":"M501"},"target":"normalized","rule_ids":["TRN-001"],"sequence":15,"transformer_id":"ts.transmission","confidence_effect":0.1},{"after":"estate","field":"bodywork_form","before":{"variant":"E5E/BP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E/BP","version":"M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/BP","version":"M501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148" s="36" t="n">
        <x:v>46239.78067015046</x:v>
      </x:c>
      <x:c r="AA148" s="36" t="n">
        <x:v>46239.78067015046</x:v>
      </x:c>
    </x:row>
    <x:row r="149" ht="18" customHeight="1">
      <x:c r="A149" s="36" t="n">
        <x:v>2751</x:v>
      </x:c>
      <x:c r="B149" s="36" t="str">
        <x:v>4a911d00-99d8-58e9-9654-509dd68e7133</x:v>
      </x:c>
      <x:c r="C149" s="36" t="str">
        <x:v>Transportstyrelsen</x:v>
      </x:c>
      <x:c r="D149" s="36" t="str">
        <x:v>normalization-review-passenger-250-v1-rules-20260805T184409855703Z</x:v>
      </x:c>
      <x:c r="E149" s="36" t="str">
        <x:v>staging.transportstyrelsen_raw</x:v>
      </x:c>
      <x:c r="F149" s="36" t="n">
        <x:v>2869</x:v>
      </x:c>
      <x:c r="G149" s="36" t="str">
        <x:v>ts-mapping-v1</x:v>
      </x:c>
      <x:c r="H149" s="36" t="str">
        <x:v>ts-review-20260805T184254528647Z</x:v>
      </x:c>
      <x:c r="I149" s="36" t="str">
        <x:v>normalization-pipeline-v4</x:v>
      </x:c>
      <x:c r="J149" s="36" t="str">
        <x:v>provisional</x:v>
      </x:c>
      <x:c r="K149" s="39" t="n">
        <x:v>0.8</x:v>
      </x:c>
      <x:c r="L149" s="36" t="str">
        <x:v>Buick</x:v>
      </x:c>
      <x:c r="M149" s="36"/>
      <x:c r="N149" s="36" t="str">
        <x:v>covered_body</x:v>
      </x:c>
      <x:c r="O149" s="38" t="str">
        <x:v>["petrol"]</x:v>
      </x:c>
      <x:c r="P149" s="36" t="str">
        <x:v>automatic</x:v>
      </x:c>
      <x:c r="Q149" s="36" t="n">
        <x:v>1961</x:v>
      </x:c>
      <x:c r="R149" s="38" t="str">
        <x:v>["DATE-REGISTRATION-V1","DATE-PRODUCTION-YEAR-V1","UNIT-POWER-KW-V1","TRN-002","BDY-102","FUEL-001"]</x:v>
      </x:c>
      <x:c r="S149" s="38" t="str">
        <x:v>["MFR-BRAND-PREFIX-FALLBACK","MFE-199D2C91D9EB65"]</x:v>
      </x:c>
      <x:c r="T149" s="38" t="str">
        <x:v>[]</x:v>
      </x:c>
      <x:c r="U149" s="38" t="str">
        <x:v>{"market":["SE"],"power_kw":77,"manufacturer":"Buick","bodywork_form":"covered_body","energy_sources":["petrol"],"production_year":1961,"manufacturer_role":"vehicle_manufacturer","power_source_unit":"kw","registration_date":"1961-01-01","transmission_type":"automatic","alias_types_present":["plate","vin"],"builder_converter_names":[],"production_date_precision":"model_year","bodywork_registry_label_sv":"Täckt"}</x:v>
      </x:c>
      <x:c r="V149" s="38" t="str">
        <x:v>{"manufacturer_confirmation":{"source_fields":["brand"],"canonical_name":"Buick"}}</x:v>
      </x:c>
      <x:c r="W1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 4119 SPECIAL","target":"normalized","rule_ids":["MFR-CLASSIFY-V1"],"sequence":3,"transformer_id":"ts.manufacturer","confidence_effect":0.2},{"after":"Buick","field":"manufacturer","before":"BUICK 4119 SPECIAL","target":"normalized","rule_ids":["MFR-CLASSIFY-V1"],"sequence":4,"transformer_id":"ts.manufacturer","confidence_effect":0.2},{"after":"vehicle_manufacturer","field":"manufacturer_role","before":"BUICK 4119 SPECIAL","target":"normalized","rule_ids":["MFR-CLASSIFY-V1"],"sequence":5,"transformer_id":"ts.manufacturer","confidence_effect":0.2},{"after":{"source_fields":["brand"],"canonical_name":"Buick"},"field":"manufacturer_confirmation","before":"BUICK 4119 SPECIAL","target":"candidate","rule_ids":["MFR-BRAND-PREFIX-FALLBACK","MFE-199D2C91D9EB65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9" s="38" t="str">
        <x:v>{"candidates":{"manufacturer_confirmation":{"source_fields":["brand"],"canonical_name":"Buick"}},"confidence":0.8,"normalized":{"market":["SE"],"power_kw":77,"manufacturer":"Buick","bodywork_form":"covered_body","energy_sources":["petrol"],"production_year":1961,"manufacturer_role":"vehicle_manufacturer","power_source_unit":"kw","registration_date":"1961-01-01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UICK 4119 SPECIAL","target":"normalized","rule_ids":["MFR-CLASSIFY-V1"],"sequence":3,"transformer_id":"ts.manufacturer","confidence_effect":0.2},{"after":"Buick","field":"manufacturer","before":"BUICK 4119 SPECIAL","target":"normalized","rule_ids":["MFR-CLASSIFY-V1"],"sequence":4,"transformer_id":"ts.manufacturer","confidence_effect":0.2},{"after":"vehicle_manufacturer","field":"manufacturer_role","before":"BUICK 4119 SPECIAL","target":"normalized","rule_ids":["MFR-CLASSIFY-V1"],"sequence":5,"transformer_id":"ts.manufacturer","confidence_effect":0.2},{"after":{"source_fields":["brand"],"canonical_name":"Buick"},"field":"manufacturer_confirmation","before":"BUICK 4119 SPECIAL","target":"candidate","rule_ids":["MFR-BRAND-PREFIX-FALLBACK","MFE-199D2C91D9EB65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-199D2C91D9EB65"]}</x:v>
      </x:c>
      <x:c r="Z149" s="36" t="n">
        <x:v>46239.78067015046</x:v>
      </x:c>
      <x:c r="AA149" s="36" t="n">
        <x:v>46239.78067015046</x:v>
      </x:c>
    </x:row>
    <x:row r="150" ht="18" customHeight="1">
      <x:c r="A150" s="36" t="n">
        <x:v>2752</x:v>
      </x:c>
      <x:c r="B150" s="36" t="str">
        <x:v>fb4e77ba-3477-5f1e-bcd2-02d9e7a3d035</x:v>
      </x:c>
      <x:c r="C150" s="36" t="str">
        <x:v>Transportstyrelsen</x:v>
      </x:c>
      <x:c r="D150" s="36" t="str">
        <x:v>normalization-review-passenger-250-v1-rules-20260805T184409855703Z</x:v>
      </x:c>
      <x:c r="E150" s="36" t="str">
        <x:v>staging.transportstyrelsen_raw</x:v>
      </x:c>
      <x:c r="F150" s="36" t="n">
        <x:v>2870</x:v>
      </x:c>
      <x:c r="G150" s="36" t="str">
        <x:v>ts-mapping-v1</x:v>
      </x:c>
      <x:c r="H150" s="36" t="str">
        <x:v>ts-review-20260805T184254528647Z</x:v>
      </x:c>
      <x:c r="I150" s="36" t="str">
        <x:v>normalization-pipeline-v4</x:v>
      </x:c>
      <x:c r="J150" s="36" t="str">
        <x:v>provisional</x:v>
      </x:c>
      <x:c r="K150" s="39" t="n">
        <x:v>0.8</x:v>
      </x:c>
      <x:c r="L150" s="36" t="str">
        <x:v>Volvo</x:v>
      </x:c>
      <x:c r="M150" s="36" t="str">
        <x:v>XC70</x:v>
      </x:c>
      <x:c r="N150" s="36" t="str">
        <x:v>estate</x:v>
      </x:c>
      <x:c r="O150" s="38" t="str">
        <x:v>["diesel"]</x:v>
      </x:c>
      <x:c r="P150" s="36" t="str">
        <x:v>automatic</x:v>
      </x:c>
      <x:c r="Q150" s="36" t="n">
        <x:v>2011</x:v>
      </x:c>
      <x:c r="R150" s="38" t="str">
        <x:v>["MFR-BRAND-CONFIRMED","MFR-BRAND-MODEL","MFR-BRAND-VIN-WMI","DATE-REGISTRATION-V1","DATE-PRODUCTION-MONTH-V1","UNIT-POWER-KW-V1","UNIT-DISPLACEMENT-CCM-V1","TRN-002","BDY-110","FUEL-002"]</x:v>
      </x:c>
      <x:c r="S150" s="38" t="str">
        <x:v>["DRV-008"]</x:v>
      </x:c>
      <x:c r="T150" s="38" t="str">
        <x:v>[]</x:v>
      </x:c>
      <x:c r="U150" s="38" t="str">
        <x:v>{"market":["SE"],"power_kw":151,"manufacturer":"Volvo","bodywork_form":"estate","energy_sources":["diesel"],"displacement_cc":2400,"production_date":"2011-03","production_year":2011,"manufacturer_role":"vehicle_manufacturer","power_source_unit":"kw","registration_date":"2011-04-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50" s="38" t="str">
        <x:v>{"drive_type":"awd","model_family":"XC70"}</x:v>
      </x:c>
      <x:c r="W1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2011-03","field":"production_date","before":{"build_month":"201103","vehicle_year":2011,"registration_date":"20110408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20110408"},"target":"normalized","rule_ids":["DATE-REGISTRATION-V1","DATE-PRODUCTION-MONTH-V1"],"sequence":9,"transformer_id":"ts.dates","confidence_effect":0.1},{"after":2011,"field":"production_year","before":{"build_month":"201103","vehicle_year":2011,"registration_date":"20110408"},"target":"normalized","rule_ids":["DATE-REGISTRATION-V1","DATE-PRODUCTION-MONTH-V1"],"sequence":10,"transformer_id":"ts.dates","confidence_effect":0.1},{"after":"2011-04-08","field":"registration_date","before":{"build_month":"201103","vehicle_year":2011,"registration_date":"20110408"},"target":"normalized","rule_ids":["DATE-REGISTRATION-V1","DATE-PRODUCTION-MONTH-V1"],"sequence":11,"transformer_id":"ts.dates","confidence_effect":0.1},{"after":2400,"field":"displacement_cc","before":{"kw":151,"ccm":2400},"target":"normalized","rule_ids":["UNIT-POWER-KW-V1","UNIT-DISPLACEMENT-CCM-V1"],"sequence":12,"transformer_id":"ts.engine-measurements","confidence_effect":0.1},{"after":"ccm","field":"displacement_source_unit","before":{"kw":151,"ccm":2400},"target":"normalized","rule_ids":["UNIT-POWER-KW-V1","UNIT-DISPLACEMENT-CCM-V1"],"sequence":13,"transformer_id":"ts.engine-measurements","confidence_effect":0.1},{"after":151,"field":"power_kw","before":{"kw":151,"ccm":2400},"target":"normalized","rule_ids":["UNIT-POWER-KW-V1","UNIT-DISPLACEMENT-CCM-V1"],"sequence":14,"transformer_id":"ts.engine-measurements","confidence_effect":0.1},{"after":"kw","field":"power_source_unit","before":{"kw":151,"ccm":2400},"target":"normalized","rule_ids":["UNIT-POWER-KW-V1","UNIT-DISPLACEMENT-CCM-V1"],"sequence":15,"transformer_id":"ts.engine-measurements","confidence_effect":0.1},{"after":"automatic","field":"transmission_type","before":{"model":"XC70","gearbox":"A","variant":"BZ70","version":"BZ7056??"},"target":"normalized","rule_ids":["TRN-002"],"sequence":16,"transformer_id":"ts.transmission","confidence_effect":0.1},{"after":"estate","field":"bodywork_form","before":{"model":"XC70","variant":"BZ70","version":"BZ7056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70","version":"BZ7056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70","version":"BZ7056??"},"target":"normalized","rule_ids":["FUEL-002"],"sequence":20,"transformer_id":"ts.fuel","confidence_effect":0.0}]</x:v>
      </x:c>
      <x:c r="X15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0" s="38" t="str">
        <x:v>{"candidates":{"drive_type":"awd","model_family":"XC70"},"confidence":0.8,"normalized":{"market":["SE"],"power_kw":151,"manufacturer":"Volvo","bodywork_form":"estate","energy_sources":["diesel"],"displacement_cc":2400,"production_date":"2011-03","production_year":2011,"manufacturer_role":"vehicle_manufacturer","power_source_unit":"kw","registration_date":"2011-04-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2011-03","field":"production_date","before":{"build_month":"201103","vehicle_year":2011,"registration_date":"20110408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20110408"},"target":"normalized","rule_ids":["DATE-REGISTRATION-V1","DATE-PRODUCTION-MONTH-V1"],"sequence":9,"transformer_id":"ts.dates","confidence_effect":0.1},{"after":2011,"field":"production_year","before":{"build_month":"201103","vehicle_year":2011,"registration_date":"20110408"},"target":"normalized","rule_ids":["DATE-REGISTRATION-V1","DATE-PRODUCTION-MONTH-V1"],"sequence":10,"transformer_id":"ts.dates","confidence_effect":0.1},{"after":"2011-04-08","field":"registration_date","before":{"build_month":"201103","vehicle_year":2011,"registration_date":"20110408"},"target":"normalized","rule_ids":["DATE-REGISTRATION-V1","DATE-PRODUCTION-MONTH-V1"],"sequence":11,"transformer_id":"ts.dates","confidence_effect":0.1},{"after":2400,"field":"displacement_cc","before":{"kw":151,"ccm":2400},"target":"normalized","rule_ids":["UNIT-POWER-KW-V1","UNIT-DISPLACEMENT-CCM-V1"],"sequence":12,"transformer_id":"ts.engine-measurements","confidence_effect":0.1},{"after":"ccm","field":"displacement_source_unit","before":{"kw":151,"ccm":2400},"target":"normalized","rule_ids":["UNIT-POWER-KW-V1","UNIT-DISPLACEMENT-CCM-V1"],"sequence":13,"transformer_id":"ts.engine-measurements","confidence_effect":0.1},{"after":151,"field":"power_kw","before":{"kw":151,"ccm":2400},"target":"normalized","rule_ids":["UNIT-POWER-KW-V1","UNIT-DISPLACEMENT-CCM-V1"],"sequence":14,"transformer_id":"ts.engine-measurements","confidence_effect":0.1},{"after":"kw","field":"power_source_unit","before":{"kw":151,"ccm":2400},"target":"normalized","rule_ids":["UNIT-POWER-KW-V1","UNIT-DISPLACEMENT-CCM-V1"],"sequence":15,"transformer_id":"ts.engine-measurements","confidence_effect":0.1},{"after":"automatic","field":"transmission_type","before":{"model":"XC70","gearbox":"A","variant":"BZ70","version":"BZ7056??"},"target":"normalized","rule_ids":["TRN-002"],"sequence":16,"transformer_id":"ts.transmission","confidence_effect":0.1},{"after":"estate","field":"bodywork_form","before":{"model":"XC70","variant":"BZ70","version":"BZ7056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70","version":"BZ7056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70","version":"BZ7056??"},"target":"normalized","rule_ids":["FUEL-002"],"sequence":20,"transformer_id":"ts.fuel","confidence_effect":0.0}],"pipeline_version":"normalization-pipeline-v4","candidate_rule_ids":["DRV-008"]}</x:v>
      </x:c>
      <x:c r="Z150" s="36" t="n">
        <x:v>46239.78067015046</x:v>
      </x:c>
      <x:c r="AA150" s="36" t="n">
        <x:v>46239.78067015046</x:v>
      </x:c>
    </x:row>
    <x:row r="151" ht="18" customHeight="1">
      <x:c r="A151" s="36" t="n">
        <x:v>2753</x:v>
      </x:c>
      <x:c r="B151" s="36" t="str">
        <x:v>f622d863-b9fc-586c-8cae-a99f31bd48ca</x:v>
      </x:c>
      <x:c r="C151" s="36" t="str">
        <x:v>Transportstyrelsen</x:v>
      </x:c>
      <x:c r="D151" s="36" t="str">
        <x:v>normalization-review-passenger-250-v1-rules-20260805T184409855703Z</x:v>
      </x:c>
      <x:c r="E151" s="36" t="str">
        <x:v>staging.transportstyrelsen_raw</x:v>
      </x:c>
      <x:c r="F151" s="36" t="n">
        <x:v>2871</x:v>
      </x:c>
      <x:c r="G151" s="36" t="str">
        <x:v>ts-mapping-v1</x:v>
      </x:c>
      <x:c r="H151" s="36" t="str">
        <x:v>ts-review-20260805T184254528647Z</x:v>
      </x:c>
      <x:c r="I151" s="36" t="str">
        <x:v>normalization-pipeline-v4</x:v>
      </x:c>
      <x:c r="J151" s="36" t="str">
        <x:v>provisional</x:v>
      </x:c>
      <x:c r="K151" s="39" t="n">
        <x:v>0.8</x:v>
      </x:c>
      <x:c r="L151" s="36" t="str">
        <x:v>Peugeot</x:v>
      </x:c>
      <x:c r="M151" s="36" t="str">
        <x:v>5008</x:v>
      </x:c>
      <x:c r="N151" s="36" t="str">
        <x:v>multi_purpose_vehicle</x:v>
      </x:c>
      <x:c r="O151" s="38" t="str">
        <x:v>["diesel"]</x:v>
      </x:c>
      <x:c r="P151" s="36" t="str">
        <x:v>automatic</x:v>
      </x:c>
      <x:c r="Q151" s="36" t="n">
        <x:v>2010</x:v>
      </x:c>
      <x:c r="R151" s="38" t="str">
        <x:v>["DATE-REGISTRATION-V1","DATE-PRODUCTION-MONTH-V1","UNIT-POWER-KW-V1","UNIT-DISPLACEMENT-CCM-V1","TRN-002","BDY-113","FUEL-002"]</x:v>
      </x:c>
      <x:c r="S151" s="38" t="str">
        <x:v>["MFR-BRAND-PREFIX-FALLBACK"]</x:v>
      </x:c>
      <x:c r="T151" s="38" t="str">
        <x:v>[]</x:v>
      </x:c>
      <x:c r="U151" s="38" t="str">
        <x:v>{"market":["SE"],"power_kw":80,"manufacturer":"Peugeot","bodywork_form":"multi_purpose_vehicle","energy_sources":["diesel"],"displacement_cc":1560,"production_date":"2010-02","production_year":2010,"manufacturer_role":"vehicle_manufacturer","power_source_unit":"kw","registration_date":"2010-06-23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51" s="38" t="str">
        <x:v>{"model_family":"5008","manufacturer_confirmation":{"source_fields":["brand"],"canonical_name":"Peugeot"}}</x:v>
      </x:c>
      <x:c r="W1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5008","target":"normalized","rule_ids":["MFR-CLASSIFY-V1"],"sequence":3,"transformer_id":"ts.manufacturer","confidence_effect":0.2},{"after":"Peugeot","field":"manufacturer","before":"PEUGEOT 5008","target":"normalized","rule_ids":["MFR-CLASSIFY-V1"],"sequence":4,"transformer_id":"ts.manufacturer","confidence_effect":0.2},{"after":"vehicle_manufacturer","field":"manufacturer_role","before":"PEUGEOT 5008","target":"normalized","rule_ids":["MFR-CLASSIFY-V1"],"sequence":5,"transformer_id":"ts.manufacturer","confidence_effect":0.2},{"after":{"source_fields":["brand"],"canonical_name":"Peugeot"},"field":"manufacturer_confirmation","before":"PEUGEOT 5008","target":"candidate","rule_ids":["MFR-BRAND-PREFIX-FALLBACK"],"sequence":6,"transformer_id":"ts.manufacturer","confidence_effect":0.05},{"after":true,"field":"model_family_candidate","before":"5008","target":"normalized","rule_ids":["MODEL-CANDIDATE-V1"],"sequence":7,"transformer_id":"ts.model-family","confidence_effect":0.0},{"after":"5008","field":"model_family","before":"5008","target":"candidate","rule_ids":["MODEL-CANDIDATE-V1"],"sequence":8,"transformer_id":"ts.model-family","confidence_effect":0.05},{"after":"2010-02","field":"production_date","before":{"build_month":"201002","vehicle_year":2010,"registration_date":"20100623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20100623"},"target":"normalized","rule_ids":["DATE-REGISTRATION-V1","DATE-PRODUCTION-MONTH-V1"],"sequence":10,"transformer_id":"ts.dates","confidence_effect":0.1},{"after":2010,"field":"production_year","before":{"build_month":"201002","vehicle_year":2010,"registration_date":"20100623"},"target":"normalized","rule_ids":["DATE-REGISTRATION-V1","DATE-PRODUCTION-MONTH-V1"],"sequence":11,"transformer_id":"ts.dates","confidence_effect":0.1},{"after":"2010-06-23","field":"registration_date","before":{"build_month":"201002","vehicle_year":2010,"registration_date":"20100623"},"target":"normalized","rule_ids":["DATE-REGISTRATION-V1","DATE-PRODUCTION-MONTH-V1"],"sequence":12,"transformer_id":"ts.dates","confidence_effect":0.1},{"after":1560,"field":"displacement_cc","before":{"kw":80,"ccm":1560},"target":"normalized","rule_ids":["UNIT-POWER-KW-V1","UNIT-DISPLACEMENT-CCM-V1"],"sequence":13,"transformer_id":"ts.engine-measurements","confidence_effect":0.1},{"after":"ccm","field":"displacement_source_unit","before":{"kw":80,"ccm":1560},"target":"normalized","rule_ids":["UNIT-POWER-KW-V1","UNIT-DISPLACEMENT-CCM-V1"],"sequence":14,"transformer_id":"ts.engine-measurements","confidence_effect":0.1},{"after":80,"field":"power_kw","before":{"kw":80,"ccm":1560},"target":"normalized","rule_ids":["UNIT-POWER-KW-V1","UNIT-DISPLACEMENT-CCM-V1"],"sequence":15,"transformer_id":"ts.engine-measurements","confidence_effect":0.1},{"after":"kw","field":"power_source_unit","before":{"kw":80,"ccm":1560},"target":"normalized","rule_ids":["UNIT-POWER-KW-V1","UNIT-DISPLACEMENT-CCM-V1"],"sequence":16,"transformer_id":"ts.engine-measurements","confidence_effect":0.1},{"after":"automatic","field":"transmission_type","before":{"model":"5008","gearbox":"A","variant":"0E9HZ*","version":"0E9HZH/P"},"target":"normalized","rule_ids":["TRN-002"],"sequence":17,"transformer_id":"ts.transmission","confidence_effect":0.1},{"after":"multi_purpose_vehicle","field":"bodywork_form","before":{"model":"5008","variant":"0E9HZ*","version":"0E9HZH/P","body_code":"AF","eu_category":"M1","vehicle_type":"PB"},"target":"normalized","rule_ids":["BDY-113"],"sequence":18,"transformer_id":"ts.bodywork","confidence_effect":0.1},{"after":"Fordon avsett för flera ändamål","field":"bodywork_registry_label_sv","before":{"model":"5008","variant":"0E9HZ*","version":"0E9HZH/P","body_code":"AF","eu_category":"M1","vehicle_type":"PB"},"target":"normalized","rule_ids":["BDY-113"],"sequence":19,"transformer_id":"ts.bodywork","confidence_effect":0.1},{"after":["diesel"],"field":"energy_sources","before":{"fuel1":"2","fuel2":"0","fuel3":"0","model":"5008","variant":"0E9HZ*","version":"0E9HZH/P"},"target":"normalized","rule_ids":["FUEL-002"],"sequence":20,"transformer_id":"ts.fuel","confidence_effect":0.0}]</x:v>
      </x:c>
      <x:c r="X15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1" s="38" t="str">
        <x:v>{"candidates":{"model_family":"5008","manufacturer_confirmation":{"source_fields":["brand"],"canonical_name":"Peugeot"}},"confidence":0.8,"normalized":{"market":["SE"],"power_kw":80,"manufacturer":"Peugeot","bodywork_form":"multi_purpose_vehicle","energy_sources":["diesel"],"displacement_cc":1560,"production_date":"2010-02","production_year":2010,"manufacturer_role":"vehicle_manufacturer","power_source_unit":"kw","registration_date":"2010-06-23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5008","target":"normalized","rule_ids":["MFR-CLASSIFY-V1"],"sequence":3,"transformer_id":"ts.manufacturer","confidence_effect":0.2},{"after":"Peugeot","field":"manufacturer","before":"PEUGEOT 5008","target":"normalized","rule_ids":["MFR-CLASSIFY-V1"],"sequence":4,"transformer_id":"ts.manufacturer","confidence_effect":0.2},{"after":"vehicle_manufacturer","field":"manufacturer_role","before":"PEUGEOT 5008","target":"normalized","rule_ids":["MFR-CLASSIFY-V1"],"sequence":5,"transformer_id":"ts.manufacturer","confidence_effect":0.2},{"after":{"source_fields":["brand"],"canonical_name":"Peugeot"},"field":"manufacturer_confirmation","before":"PEUGEOT 5008","target":"candidate","rule_ids":["MFR-BRAND-PREFIX-FALLBACK"],"sequence":6,"transformer_id":"ts.manufacturer","confidence_effect":0.05},{"after":true,"field":"model_family_candidate","before":"5008","target":"normalized","rule_ids":["MODEL-CANDIDATE-V1"],"sequence":7,"transformer_id":"ts.model-family","confidence_effect":0.0},{"after":"5008","field":"model_family","before":"5008","target":"candidate","rule_ids":["MODEL-CANDIDATE-V1"],"sequence":8,"transformer_id":"ts.model-family","confidence_effect":0.05},{"after":"2010-02","field":"production_date","before":{"build_month":"201002","vehicle_year":2010,"registration_date":"20100623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20100623"},"target":"normalized","rule_ids":["DATE-REGISTRATION-V1","DATE-PRODUCTION-MONTH-V1"],"sequence":10,"transformer_id":"ts.dates","confidence_effect":0.1},{"after":2010,"field":"production_year","before":{"build_month":"201002","vehicle_year":2010,"registration_date":"20100623"},"target":"normalized","rule_ids":["DATE-REGISTRATION-V1","DATE-PRODUCTION-MONTH-V1"],"sequence":11,"transformer_id":"ts.dates","confidence_effect":0.1},{"after":"2010-06-23","field":"registration_date","before":{"build_month":"201002","vehicle_year":2010,"registration_date":"20100623"},"target":"normalized","rule_ids":["DATE-REGISTRATION-V1","DATE-PRODUCTION-MONTH-V1"],"sequence":12,"transformer_id":"ts.dates","confidence_effect":0.1},{"after":1560,"field":"displacement_cc","before":{"kw":80,"ccm":1560},"target":"normalized","rule_ids":["UNIT-POWER-KW-V1","UNIT-DISPLACEMENT-CCM-V1"],"sequence":13,"transformer_id":"ts.engine-measurements","confidence_effect":0.1},{"after":"ccm","field":"displacement_source_unit","before":{"kw":80,"ccm":1560},"target":"normalized","rule_ids":["UNIT-POWER-KW-V1","UNIT-DISPLACEMENT-CCM-V1"],"sequence":14,"transformer_id":"ts.engine-measurements","confidence_effect":0.1},{"after":80,"field":"power_kw","before":{"kw":80,"ccm":1560},"target":"normalized","rule_ids":["UNIT-POWER-KW-V1","UNIT-DISPLACEMENT-CCM-V1"],"sequence":15,"transformer_id":"ts.engine-measurements","confidence_effect":0.1},{"after":"kw","field":"power_source_unit","before":{"kw":80,"ccm":1560},"target":"normalized","rule_ids":["UNIT-POWER-KW-V1","UNIT-DISPLACEMENT-CCM-V1"],"sequence":16,"transformer_id":"ts.engine-measurements","confidence_effect":0.1},{"after":"automatic","field":"transmission_type","before":{"model":"5008","gearbox":"A","variant":"0E9HZ*","version":"0E9HZH/P"},"target":"normalized","rule_ids":["TRN-002"],"sequence":17,"transformer_id":"ts.transmission","confidence_effect":0.1},{"after":"multi_purpose_vehicle","field":"bodywork_form","before":{"model":"5008","variant":"0E9HZ*","version":"0E9HZH/P","body_code":"AF","eu_category":"M1","vehicle_type":"PB"},"target":"normalized","rule_ids":["BDY-113"],"sequence":18,"transformer_id":"ts.bodywork","confidence_effect":0.1},{"after":"Fordon avsett för flera ändamål","field":"bodywork_registry_label_sv","before":{"model":"5008","variant":"0E9HZ*","version":"0E9HZH/P","body_code":"AF","eu_category":"M1","vehicle_type":"PB"},"target":"normalized","rule_ids":["BDY-113"],"sequence":19,"transformer_id":"ts.bodywork","confidence_effect":0.1},{"after":["diesel"],"field":"energy_sources","before":{"fuel1":"2","fuel2":"0","fuel3":"0","model":"5008","variant":"0E9HZ*","version":"0E9HZH/P"},"target":"normalized","rule_ids":["FUEL-002"],"sequence":20,"transformer_id":"ts.fuel","confidence_effect":0.0}],"pipeline_version":"normalization-pipeline-v4","candidate_rule_ids":["MFR-BRAND-PREFIX-FALLBACK"]}</x:v>
      </x:c>
      <x:c r="Z151" s="36" t="n">
        <x:v>46239.78067015046</x:v>
      </x:c>
      <x:c r="AA151" s="36" t="n">
        <x:v>46239.78067015046</x:v>
      </x:c>
    </x:row>
    <x:row r="152" ht="18" customHeight="1">
      <x:c r="A152" s="36" t="n">
        <x:v>2754</x:v>
      </x:c>
      <x:c r="B152" s="36" t="str">
        <x:v>ef1caec6-d386-5a3a-81aa-f6aed7920d1e</x:v>
      </x:c>
      <x:c r="C152" s="36" t="str">
        <x:v>Transportstyrelsen</x:v>
      </x:c>
      <x:c r="D152" s="36" t="str">
        <x:v>normalization-review-passenger-250-v1-rules-20260805T184409855703Z</x:v>
      </x:c>
      <x:c r="E152" s="36" t="str">
        <x:v>staging.transportstyrelsen_raw</x:v>
      </x:c>
      <x:c r="F152" s="36" t="n">
        <x:v>2872</x:v>
      </x:c>
      <x:c r="G152" s="36" t="str">
        <x:v>ts-mapping-v1</x:v>
      </x:c>
      <x:c r="H152" s="36" t="str">
        <x:v>ts-review-20260805T184254528647Z</x:v>
      </x:c>
      <x:c r="I152" s="36" t="str">
        <x:v>normalization-pipeline-v4</x:v>
      </x:c>
      <x:c r="J152" s="36" t="str">
        <x:v>review_required</x:v>
      </x:c>
      <x:c r="K152" s="39" t="n">
        <x:v>0.55</x:v>
      </x:c>
      <x:c r="L152" s="36"/>
      <x:c r="M152" s="36"/>
      <x:c r="N152" s="36" t="str">
        <x:v>covered_body</x:v>
      </x:c>
      <x:c r="O152" s="38" t="str">
        <x:v>["petrol"]</x:v>
      </x:c>
      <x:c r="P152" s="36" t="str">
        <x:v>automatic</x:v>
      </x:c>
      <x:c r="Q152" s="36" t="n">
        <x:v>1977</x:v>
      </x:c>
      <x:c r="R152" s="38" t="str">
        <x:v>["DATE-REGISTRATION-V1","DATE-PRODUCTION-YEAR-V1","UNIT-POWER-KW-V1","TRN-002","BDY-102","FUEL-001"]</x:v>
      </x:c>
      <x:c r="S152" s="38" t="str">
        <x:v>["MFR-BRAND-PREFIX-FALLBACK"]</x:v>
      </x:c>
      <x:c r="T152" s="38" t="str">
        <x:v>["manufacturer_brand_compound_review"]</x:v>
      </x:c>
      <x:c r="U152" s="38" t="str">
        <x:v>{"market":["SE"],"power_kw":126,"bodywork_form":"covered_body","energy_sources":["petrol"],"production_year":1977,"power_source_unit":"kw","registration_date":"1987-10-09","transmission_type":"automatic","alias_types_present":["plate","vin"],"production_date_precision":"model_year","bodywork_registry_label_sv":"Täckt"}</x:v>
      </x:c>
      <x:c r="V152" s="38" t="str">
        <x:v>{}</x:v>
      </x:c>
      <x:c r="W1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JAGUAR DAIMLER SOU","target":"review","rule_ids":["MFR-CLASSIFY-V1","MFR-BRAND-PREFIX-FALLBACK"],"sequence":3,"transformer_id":"ts.manufacturer","confidence_effect":-0.2},{"after":"model_year","field":"production_date_precision","before":{"model_year":1977,"vehicle_year":1977,"registration_date":"19871009"},"target":"normalized","rule_ids":["DATE-REGISTRATION-V1","DATE-PRODUCTION-YEAR-V1"],"sequence":4,"transformer_id":"ts.dates","confidence_effect":0.1},{"after":1977,"field":"production_year","before":{"model_year":1977,"vehicle_year":1977,"registration_date":"19871009"},"target":"normalized","rule_ids":["DATE-REGISTRATION-V1","DATE-PRODUCTION-YEAR-V1"],"sequence":5,"transformer_id":"ts.dates","confidence_effect":0.1},{"after":"1987-10-09","field":"registration_date","before":{"model_year":1977,"vehicle_year":1977,"registration_date":"19871009"},"target":"normalized","rule_ids":["DATE-REGISTRATION-V1","DATE-PRODUCTION-YEAR-V1"],"sequence":6,"transformer_id":"ts.dates","confidence_effect":0.1},{"after":126,"field":"power_kw","before":126,"target":"normalized","rule_ids":["UNIT-POWER-KW-V1"],"sequence":7,"transformer_id":"ts.engine-measurements","confidence_effect":0.1},{"after":"kw","field":"power_source_unit","before":126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5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2" s="38" t="str">
        <x:v>{"candidates":{},"confidence":0.55,"normalized":{"market":["SE"],"power_kw":126,"bodywork_form":"covered_body","energy_sources":["petrol"],"production_year":1977,"power_source_unit":"kw","registration_date":"1987-10-09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JAGUAR DAIMLER SOU","target":"review","rule_ids":["MFR-CLASSIFY-V1","MFR-BRAND-PREFIX-FALLBACK"],"sequence":3,"transformer_id":"ts.manufacturer","confidence_effect":-0.2},{"after":"model_year","field":"production_date_precision","before":{"model_year":1977,"vehicle_year":1977,"registration_date":"19871009"},"target":"normalized","rule_ids":["DATE-REGISTRATION-V1","DATE-PRODUCTION-YEAR-V1"],"sequence":4,"transformer_id":"ts.dates","confidence_effect":0.1},{"after":1977,"field":"production_year","before":{"model_year":1977,"vehicle_year":1977,"registration_date":"19871009"},"target":"normalized","rule_ids":["DATE-REGISTRATION-V1","DATE-PRODUCTION-YEAR-V1"],"sequence":5,"transformer_id":"ts.dates","confidence_effect":0.1},{"after":"1987-10-09","field":"registration_date","before":{"model_year":1977,"vehicle_year":1977,"registration_date":"19871009"},"target":"normalized","rule_ids":["DATE-REGISTRATION-V1","DATE-PRODUCTION-YEAR-V1"],"sequence":6,"transformer_id":"ts.dates","confidence_effect":0.1},{"after":126,"field":"power_kw","before":126,"target":"normalized","rule_ids":["UNIT-POWER-KW-V1"],"sequence":7,"transformer_id":"ts.engine-measurements","confidence_effect":0.1},{"after":"kw","field":"power_source_unit","before":126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"MFR-BRAND-PREFIX-FALLBACK"]}</x:v>
      </x:c>
      <x:c r="Z152" s="36" t="n">
        <x:v>46239.78067015046</x:v>
      </x:c>
      <x:c r="AA152" s="36" t="n">
        <x:v>46239.78067015046</x:v>
      </x:c>
    </x:row>
    <x:row r="153" ht="18" customHeight="1">
      <x:c r="A153" s="36" t="n">
        <x:v>2755</x:v>
      </x:c>
      <x:c r="B153" s="36" t="str">
        <x:v>5220f40c-d9f2-56a6-9602-2697c61471a9</x:v>
      </x:c>
      <x:c r="C153" s="36" t="str">
        <x:v>Transportstyrelsen</x:v>
      </x:c>
      <x:c r="D153" s="36" t="str">
        <x:v>normalization-review-passenger-250-v1-rules-20260805T184409855703Z</x:v>
      </x:c>
      <x:c r="E153" s="36" t="str">
        <x:v>staging.transportstyrelsen_raw</x:v>
      </x:c>
      <x:c r="F153" s="36" t="n">
        <x:v>2873</x:v>
      </x:c>
      <x:c r="G153" s="36" t="str">
        <x:v>ts-mapping-v1</x:v>
      </x:c>
      <x:c r="H153" s="36" t="str">
        <x:v>ts-review-20260805T184254528647Z</x:v>
      </x:c>
      <x:c r="I153" s="36" t="str">
        <x:v>normalization-pipeline-v4</x:v>
      </x:c>
      <x:c r="J153" s="36" t="str">
        <x:v>provisional</x:v>
      </x:c>
      <x:c r="K153" s="39" t="n">
        <x:v>0.8</x:v>
      </x:c>
      <x:c r="L153" s="36" t="str">
        <x:v>Renault</x:v>
      </x:c>
      <x:c r="M153" s="36" t="str">
        <x:v>DUSTER</x:v>
      </x:c>
      <x:c r="N153" s="36" t="str">
        <x:v>estate</x:v>
      </x:c>
      <x:c r="O153" s="38" t="str">
        <x:v>["petrol"]</x:v>
      </x:c>
      <x:c r="P153" s="36"/>
      <x:c r="Q153" s="36" t="n">
        <x:v>2020</x:v>
      </x:c>
      <x:c r="R153" s="38" t="str">
        <x:v>["MFR-102","DATE-REGISTRATION-V1","DATE-PRODUCTION-MONTH-V1","UNIT-POWER-KW-V1","UNIT-DISPLACEMENT-CCM-V1","BDY-110","FUEL-001"]</x:v>
      </x:c>
      <x:c r="S153" s="38" t="str">
        <x:v>[]</x:v>
      </x:c>
      <x:c r="T153" s="38" t="str">
        <x:v>[]</x:v>
      </x:c>
      <x:c r="U153" s="38" t="str">
        <x:v>{"market":["SE"],"power_kw":96,"manufacturer":"Renault","bodywork_form":"estate","energy_sources":["petrol"],"displacement_cc":1332,"production_date":"2020-05","production_year":2020,"manufacturer_role":"vehicle_manufacturer","power_source_unit":"kw","registration_date":"2020-07-13","alias_types_present":["plate","vin","model_name"],"model_family_candidate":true,"builder_converter_names":[],"displacement_source_unit":"ccm","production_date_precision":"month","bodywork_registry_label_sv":"Stationsvagn (kombivagn)"}</x:v>
      </x:c>
      <x:c r="V153" s="38" t="str">
        <x:v>{"model_family":"DUSTER"}</x:v>
      </x:c>
      <x:c r="W1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2020-05","field":"production_date","before":{"build_month":"202005","vehicle_year":2020,"registration_date":"20200713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20200713"},"target":"normalized","rule_ids":["DATE-REGISTRATION-V1","DATE-PRODUCTION-MONTH-V1"],"sequence":9,"transformer_id":"ts.dates","confidence_effect":0.1},{"after":2020,"field":"production_year","before":{"build_month":"202005","vehicle_year":2020,"registration_date":"20200713"},"target":"normalized","rule_ids":["DATE-REGISTRATION-V1","DATE-PRODUCTION-MONTH-V1"],"sequence":10,"transformer_id":"ts.dates","confidence_effect":0.1},{"after":"2020-07-13","field":"registration_date","before":{"build_month":"202005","vehicle_year":2020,"registration_date":"20200713"},"target":"normalized","rule_ids":["DATE-REGISTRATION-V1","DATE-PRODUCTION-MONTH-V1"],"sequence":11,"transformer_id":"ts.dates","confidence_effect":0.1},{"after":1332,"field":"displacement_cc","before":{"kw":96,"ccm":1332},"target":"normalized","rule_ids":["UNIT-POWER-KW-V1","UNIT-DISPLACEMENT-CCM-V1"],"sequence":12,"transformer_id":"ts.engine-measurements","confidence_effect":0.1},{"after":"ccm","field":"displacement_source_unit","before":{"kw":96,"ccm":1332},"target":"normalized","rule_ids":["UNIT-POWER-KW-V1","UNIT-DISPLACEMENT-CCM-V1"],"sequence":13,"transformer_id":"ts.engine-measurements","confidence_effect":0.1},{"after":96,"field":"power_kw","before":{"kw":96,"ccm":1332},"target":"normalized","rule_ids":["UNIT-POWER-KW-V1","UNIT-DISPLACEMENT-CCM-V1"],"sequence":14,"transformer_id":"ts.engine-measurements","confidence_effect":0.1},{"after":"kw","field":"power_source_unit","before":{"kw":96,"ccm":1332},"target":"normalized","rule_ids":["UNIT-POWER-KW-V1","UNIT-DISPLACEMENT-CCM-V1"],"sequence":15,"transformer_id":"ts.engine-measurements","confidence_effect":0.1},{"after":"estate","field":"bodywork_form","before":{"model":"DUSTER","variant":"DHE2","version":"MF6DA1J0M02E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F6DA1J0M02E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F6DA1J0M02E"},"target":"normalized","rule_ids":["FUEL-001"],"sequence":18,"transformer_id":"ts.fuel","confidence_effect":0.0}]</x:v>
      </x:c>
      <x:c r="X153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3" s="38" t="str">
        <x:v>{"candidates":{"model_family":"DUSTER"},"confidence":0.8,"normalized":{"market":["SE"],"power_kw":96,"manufacturer":"Renault","bodywork_form":"estate","energy_sources":["petrol"],"displacement_cc":1332,"production_date":"2020-05","production_year":2020,"manufacturer_role":"vehicle_manufacturer","power_source_unit":"kw","registration_date":"2020-07-13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2020-05","field":"production_date","before":{"build_month":"202005","vehicle_year":2020,"registration_date":"20200713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20200713"},"target":"normalized","rule_ids":["DATE-REGISTRATION-V1","DATE-PRODUCTION-MONTH-V1"],"sequence":9,"transformer_id":"ts.dates","confidence_effect":0.1},{"after":2020,"field":"production_year","before":{"build_month":"202005","vehicle_year":2020,"registration_date":"20200713"},"target":"normalized","rule_ids":["DATE-REGISTRATION-V1","DATE-PRODUCTION-MONTH-V1"],"sequence":10,"transformer_id":"ts.dates","confidence_effect":0.1},{"after":"2020-07-13","field":"registration_date","before":{"build_month":"202005","vehicle_year":2020,"registration_date":"20200713"},"target":"normalized","rule_ids":["DATE-REGISTRATION-V1","DATE-PRODUCTION-MONTH-V1"],"sequence":11,"transformer_id":"ts.dates","confidence_effect":0.1},{"after":1332,"field":"displacement_cc","before":{"kw":96,"ccm":1332},"target":"normalized","rule_ids":["UNIT-POWER-KW-V1","UNIT-DISPLACEMENT-CCM-V1"],"sequence":12,"transformer_id":"ts.engine-measurements","confidence_effect":0.1},{"after":"ccm","field":"displacement_source_unit","before":{"kw":96,"ccm":1332},"target":"normalized","rule_ids":["UNIT-POWER-KW-V1","UNIT-DISPLACEMENT-CCM-V1"],"sequence":13,"transformer_id":"ts.engine-measurements","confidence_effect":0.1},{"after":96,"field":"power_kw","before":{"kw":96,"ccm":1332},"target":"normalized","rule_ids":["UNIT-POWER-KW-V1","UNIT-DISPLACEMENT-CCM-V1"],"sequence":14,"transformer_id":"ts.engine-measurements","confidence_effect":0.1},{"after":"kw","field":"power_source_unit","before":{"kw":96,"ccm":1332},"target":"normalized","rule_ids":["UNIT-POWER-KW-V1","UNIT-DISPLACEMENT-CCM-V1"],"sequence":15,"transformer_id":"ts.engine-measurements","confidence_effect":0.1},{"after":"estate","field":"bodywork_form","before":{"model":"DUSTER","variant":"DHE2","version":"MF6DA1J0M02E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F6DA1J0M02E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F6DA1J0M02E"},"target":"normalized","rule_ids":["FUEL-001"],"sequence":18,"transformer_id":"ts.fuel","confidence_effect":0.0}],"pipeline_version":"normalization-pipeline-v4","candidate_rule_ids":[]}</x:v>
      </x:c>
      <x:c r="Z153" s="36" t="n">
        <x:v>46239.78067015046</x:v>
      </x:c>
      <x:c r="AA153" s="36" t="n">
        <x:v>46239.78067015046</x:v>
      </x:c>
    </x:row>
    <x:row r="154" ht="18" customHeight="1">
      <x:c r="A154" s="36" t="n">
        <x:v>2756</x:v>
      </x:c>
      <x:c r="B154" s="36" t="str">
        <x:v>0ad8afe8-6325-55a4-8871-79693ba3ec13</x:v>
      </x:c>
      <x:c r="C154" s="36" t="str">
        <x:v>Transportstyrelsen</x:v>
      </x:c>
      <x:c r="D154" s="36" t="str">
        <x:v>normalization-review-passenger-250-v1-rules-20260805T184409855703Z</x:v>
      </x:c>
      <x:c r="E154" s="36" t="str">
        <x:v>staging.transportstyrelsen_raw</x:v>
      </x:c>
      <x:c r="F154" s="36" t="n">
        <x:v>2874</x:v>
      </x:c>
      <x:c r="G154" s="36" t="str">
        <x:v>ts-mapping-v1</x:v>
      </x:c>
      <x:c r="H154" s="36" t="str">
        <x:v>ts-review-20260805T184254528647Z</x:v>
      </x:c>
      <x:c r="I154" s="36" t="str">
        <x:v>normalization-pipeline-v4</x:v>
      </x:c>
      <x:c r="J154" s="36" t="str">
        <x:v>resolved</x:v>
      </x:c>
      <x:c r="K154" s="39" t="n">
        <x:v>0.95</x:v>
      </x:c>
      <x:c r="L154" s="36" t="str">
        <x:v>Ford</x:v>
      </x:c>
      <x:c r="M154" s="36"/>
      <x:c r="N154" s="36" t="str">
        <x:v>hatchback</x:v>
      </x:c>
      <x:c r="O154" s="38" t="str">
        <x:v>["petrol","ethanol"]</x:v>
      </x:c>
      <x:c r="P154" s="36" t="str">
        <x:v>manual</x:v>
      </x:c>
      <x:c r="Q154" s="36" t="n">
        <x:v>2008</x:v>
      </x:c>
      <x:c r="R154" s="38" t="str">
        <x:v>["MFR-BRAND-CONFIRMED","MFR-BRAND-VIN-WMI","DATE-REGISTRATION-V1","DATE-PRODUCTION-MONTH-V1","UNIT-POWER-KW-V1","UNIT-DISPLACEMENT-CCM-V1","TRN-001","BDY-109","FUEL-001","FUEL-007"]</x:v>
      </x:c>
      <x:c r="S154" s="38" t="str">
        <x:v>[]</x:v>
      </x:c>
      <x:c r="T154" s="38" t="str">
        <x:v>[]</x:v>
      </x:c>
      <x:c r="U154" s="38" t="str">
        <x:v>{"market":["SE"],"power_kw":92,"manufacturer":"Ford","bodywork_form":"hatchback","energy_sources":["petrol","ethanol"],"displacement_cc":1798,"production_date":"2008-01","production_year":2008,"manufacturer_role":"vehicle_manufacturer","power_source_unit":"kw","registration_date":"2008-08-29","transmission_type":"manual","alias_types_present":["plate","vin"],"builder_converter_names":[],"displacement_source_unit":"ccm","production_date_precision":"month","bodywork_registry_label_sv":"Halvkombi"}</x:v>
      </x:c>
      <x:c r="V154" s="38" t="str">
        <x:v>{}</x:v>
      </x:c>
      <x:c r="W154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2008-01","field":"production_date","before":{"build_month":"200801","vehicle_year":2008,"registration_date":"20080829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20080829"},"target":"normalized","rule_ids":["DATE-REGISTRATION-V1","DATE-PRODUCTION-MONTH-V1"],"sequence":8,"transformer_id":"ts.dates","confidence_effect":0.1},{"after":2008,"field":"production_year","before":{"build_month":"200801","vehicle_year":2008,"registration_date":"20080829"},"target":"normalized","rule_ids":["DATE-REGISTRATION-V1","DATE-PRODUCTION-MONTH-V1"],"sequence":9,"transformer_id":"ts.dates","confidence_effect":0.1},{"after":"2008-08-29","field":"registration_date","before":{"build_month":"200801","vehicle_year":2008,"registration_date":"20080829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P","version":"5ABAMJ"},"target":"normalized","rule_ids":["TRN-001"],"sequence":15,"transformer_id":"ts.transmission","confidence_effect":0.1},{"after":"hatchback","field":"bodywork_form","before":{"variant":"Q7DA1P","version":"5ABAMJ","body_code":"AB","eu_category":"M1","vehicle_type":"PB"},"target":"normalized","rule_ids":["BDY-109"],"sequence":16,"transformer_id":"ts.bodywork","confidence_effect":0.1},{"after":"Halvkombi","field":"bodywork_registry_label_sv","before":{"variant":"Q7DA1P","version":"5ABAMJ","body_code":"AB","eu_category":"M1","vehicle_type":"PB"},"target":"normalized","rule_ids":["BDY-109"],"sequence":17,"transformer_id":"ts.bodywork","confidence_effect":0.1},{"after":["petrol","ethanol"],"field":"energy_sources","before":{"fuel1":"1","fuel2":"7","fuel3":"0","variant":"Q7DA1P","version":"5ABAMJ"},"target":"normalized","rule_ids":["FUEL-001","FUEL-007"],"sequence":18,"transformer_id":"ts.fuel","confidence_effect":0.0}]</x:v>
      </x:c>
      <x:c r="X15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54" s="38" t="str">
        <x:v>{"candidates":{},"confidence":0.95,"normalized":{"market":["SE"],"power_kw":92,"manufacturer":"Ford","bodywork_form":"hatchback","energy_sources":["petrol","ethanol"],"displacement_cc":1798,"production_date":"2008-01","production_year":2008,"manufacturer_role":"vehicle_manufacturer","power_source_unit":"kw","registration_date":"2008-08-29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2008-01","field":"production_date","before":{"build_month":"200801","vehicle_year":2008,"registration_date":"20080829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20080829"},"target":"normalized","rule_ids":["DATE-REGISTRATION-V1","DATE-PRODUCTION-MONTH-V1"],"sequence":8,"transformer_id":"ts.dates","confidence_effect":0.1},{"after":2008,"field":"production_year","before":{"build_month":"200801","vehicle_year":2008,"registration_date":"20080829"},"target":"normalized","rule_ids":["DATE-REGISTRATION-V1","DATE-PRODUCTION-MONTH-V1"],"sequence":9,"transformer_id":"ts.dates","confidence_effect":0.1},{"after":"2008-08-29","field":"registration_date","before":{"build_month":"200801","vehicle_year":2008,"registration_date":"20080829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P","version":"5ABAMJ"},"target":"normalized","rule_ids":["TRN-001"],"sequence":15,"transformer_id":"ts.transmission","confidence_effect":0.1},{"after":"hatchback","field":"bodywork_form","before":{"variant":"Q7DA1P","version":"5ABAMJ","body_code":"AB","eu_category":"M1","vehicle_type":"PB"},"target":"normalized","rule_ids":["BDY-109"],"sequence":16,"transformer_id":"ts.bodywork","confidence_effect":0.1},{"after":"Halvkombi","field":"bodywork_registry_label_sv","before":{"variant":"Q7DA1P","version":"5ABAMJ","body_code":"AB","eu_category":"M1","vehicle_type":"PB"},"target":"normalized","rule_ids":["BDY-109"],"sequence":17,"transformer_id":"ts.bodywork","confidence_effect":0.1},{"after":["petrol","ethanol"],"field":"energy_sources","before":{"fuel1":"1","fuel2":"7","fuel3":"0","variant":"Q7DA1P","version":"5ABAMJ"},"target":"normalized","rule_ids":["FUEL-001","FUEL-007"],"sequence":18,"transformer_id":"ts.fuel","confidence_effect":0.0}],"pipeline_version":"normalization-pipeline-v4","candidate_rule_ids":[]}</x:v>
      </x:c>
      <x:c r="Z154" s="36" t="n">
        <x:v>46239.78067015046</x:v>
      </x:c>
      <x:c r="AA154" s="36" t="n">
        <x:v>46239.78067015046</x:v>
      </x:c>
    </x:row>
    <x:row r="155" ht="18" customHeight="1">
      <x:c r="A155" s="36" t="n">
        <x:v>2757</x:v>
      </x:c>
      <x:c r="B155" s="36" t="str">
        <x:v>be3c7aca-8cce-5a0c-9149-476cda475cc5</x:v>
      </x:c>
      <x:c r="C155" s="36" t="str">
        <x:v>Transportstyrelsen</x:v>
      </x:c>
      <x:c r="D155" s="36" t="str">
        <x:v>normalization-review-passenger-250-v1-rules-20260805T184409855703Z</x:v>
      </x:c>
      <x:c r="E155" s="36" t="str">
        <x:v>staging.transportstyrelsen_raw</x:v>
      </x:c>
      <x:c r="F155" s="36" t="n">
        <x:v>2875</x:v>
      </x:c>
      <x:c r="G155" s="36" t="str">
        <x:v>ts-mapping-v1</x:v>
      </x:c>
      <x:c r="H155" s="36" t="str">
        <x:v>ts-review-20260805T184254528647Z</x:v>
      </x:c>
      <x:c r="I155" s="36" t="str">
        <x:v>normalization-pipeline-v4</x:v>
      </x:c>
      <x:c r="J155" s="36" t="str">
        <x:v>provisional</x:v>
      </x:c>
      <x:c r="K155" s="39" t="n">
        <x:v>0.8</x:v>
      </x:c>
      <x:c r="L155" s="36" t="str">
        <x:v>Ford</x:v>
      </x:c>
      <x:c r="M155" s="36"/>
      <x:c r="N155" s="36" t="str">
        <x:v>covered_body</x:v>
      </x:c>
      <x:c r="O155" s="38" t="str">
        <x:v>["petrol"]</x:v>
      </x:c>
      <x:c r="P155" s="36" t="str">
        <x:v>manual</x:v>
      </x:c>
      <x:c r="Q155" s="36" t="n">
        <x:v>1971</x:v>
      </x:c>
      <x:c r="R155" s="38" t="str">
        <x:v>["DATE-REGISTRATION-V1","DATE-PRODUCTION-YEAR-V1","UNIT-POWER-KW-V1","TRN-001","BDY-102","FUEL-001"]</x:v>
      </x:c>
      <x:c r="S155" s="38" t="str">
        <x:v>["MFR-BRAND-PREFIX-FALLBACK"]</x:v>
      </x:c>
      <x:c r="T155" s="38" t="str">
        <x:v>[]</x:v>
      </x:c>
      <x:c r="U155" s="38" t="str">
        <x:v>{"market":["SE"],"power_kw":53,"manufacturer":"Ford","bodywork_form":"covered_body","energy_sources":["petrol"],"production_year":1971,"manufacturer_role":"vehicle_manufacturer","power_source_unit":"kw","registration_date":"1971-02-09","transmission_type":"manual","alias_types_present":["plate","vin"],"builder_converter_names":[],"production_date_precision":"model_year","bodywork_registry_label_sv":"Täckt"}</x:v>
      </x:c>
      <x:c r="V155" s="38" t="str">
        <x:v>{"manufacturer_confirmation":{"source_fields":["brand"],"canonical_name":"Ford"}}</x:v>
      </x:c>
      <x:c r="W1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TAUNUS 1600 XL","target":"normalized","rule_ids":["MFR-CLASSIFY-V1"],"sequence":3,"transformer_id":"ts.manufacturer","confidence_effect":0.2},{"after":"Ford","field":"manufacturer","before":"FORD TAUNUS 1600 XL","target":"normalized","rule_ids":["MFR-CLASSIFY-V1"],"sequence":4,"transformer_id":"ts.manufacturer","confidence_effect":0.2},{"after":"vehicle_manufacturer","field":"manufacturer_role","before":"FORD TAUNUS 1600 XL","target":"normalized","rule_ids":["MFR-CLASSIFY-V1"],"sequence":5,"transformer_id":"ts.manufacturer","confidence_effect":0.2},{"after":{"source_fields":["brand"],"canonical_name":"Ford"},"field":"manufacturer_confirmation","before":"FORD TAUNUS 1600 XL","target":"candidate","rule_ids":["MFR-BRAND-PREFIX-FALLBACK"],"sequence":6,"transformer_id":"ts.manufacturer","confidence_effect":0.05},{"after":"model_year","field":"production_date_precision","before":{"model_year":1971,"vehicle_year":1971,"registration_date":"19710209"},"target":"normalized","rule_ids":["DATE-REGISTRATION-V1","DATE-PRODUCTION-YEAR-V1"],"sequence":7,"transformer_id":"ts.dates","confidence_effect":0.1},{"after":1971,"field":"production_year","before":{"model_year":1971,"vehicle_year":1971,"registration_date":"19710209"},"target":"normalized","rule_ids":["DATE-REGISTRATION-V1","DATE-PRODUCTION-YEAR-V1"],"sequence":8,"transformer_id":"ts.dates","confidence_effect":0.1},{"after":"1971-02-09","field":"registration_date","before":{"model_year":1971,"vehicle_year":1971,"registration_date":"19710209"},"target":"normalized","rule_ids":["DATE-REGISTRATION-V1","DATE-PRODUCTION-YEAR-V1"],"sequence":9,"transformer_id":"ts.dates","confidence_effect":0.1},{"after":53,"field":"power_kw","before":53,"target":"normalized","rule_ids":["UNIT-POWER-KW-V1"],"sequence":10,"transformer_id":"ts.engine-measurements","confidence_effect":0.1},{"after":"kw","field":"power_source_unit","before":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5" s="38" t="str">
        <x:v>{"candidates":{"manufacturer_confirmation":{"source_fields":["brand"],"canonical_name":"Ford"}},"confidence":0.8,"normalized":{"market":["SE"],"power_kw":53,"manufacturer":"Ford","bodywork_form":"covered_body","energy_sources":["petrol"],"production_year":1971,"manufacturer_role":"vehicle_manufacturer","power_source_unit":"kw","registration_date":"1971-02-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TAUNUS 1600 XL","target":"normalized","rule_ids":["MFR-CLASSIFY-V1"],"sequence":3,"transformer_id":"ts.manufacturer","confidence_effect":0.2},{"after":"Ford","field":"manufacturer","before":"FORD TAUNUS 1600 XL","target":"normalized","rule_ids":["MFR-CLASSIFY-V1"],"sequence":4,"transformer_id":"ts.manufacturer","confidence_effect":0.2},{"after":"vehicle_manufacturer","field":"manufacturer_role","before":"FORD TAUNUS 1600 XL","target":"normalized","rule_ids":["MFR-CLASSIFY-V1"],"sequence":5,"transformer_id":"ts.manufacturer","confidence_effect":0.2},{"after":{"source_fields":["brand"],"canonical_name":"Ford"},"field":"manufacturer_confirmation","before":"FORD TAUNUS 1600 XL","target":"candidate","rule_ids":["MFR-BRAND-PREFIX-FALLBACK"],"sequence":6,"transformer_id":"ts.manufacturer","confidence_effect":0.05},{"after":"model_year","field":"production_date_precision","before":{"model_year":1971,"vehicle_year":1971,"registration_date":"19710209"},"target":"normalized","rule_ids":["DATE-REGISTRATION-V1","DATE-PRODUCTION-YEAR-V1"],"sequence":7,"transformer_id":"ts.dates","confidence_effect":0.1},{"after":1971,"field":"production_year","before":{"model_year":1971,"vehicle_year":1971,"registration_date":"19710209"},"target":"normalized","rule_ids":["DATE-REGISTRATION-V1","DATE-PRODUCTION-YEAR-V1"],"sequence":8,"transformer_id":"ts.dates","confidence_effect":0.1},{"after":"1971-02-09","field":"registration_date","before":{"model_year":1971,"vehicle_year":1971,"registration_date":"19710209"},"target":"normalized","rule_ids":["DATE-REGISTRATION-V1","DATE-PRODUCTION-YEAR-V1"],"sequence":9,"transformer_id":"ts.dates","confidence_effect":0.1},{"after":53,"field":"power_kw","before":53,"target":"normalized","rule_ids":["UNIT-POWER-KW-V1"],"sequence":10,"transformer_id":"ts.engine-measurements","confidence_effect":0.1},{"after":"kw","field":"power_source_unit","before":53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55" s="36" t="n">
        <x:v>46239.78067015046</x:v>
      </x:c>
      <x:c r="AA155" s="36" t="n">
        <x:v>46239.78067015046</x:v>
      </x:c>
    </x:row>
    <x:row r="156" ht="18" customHeight="1">
      <x:c r="A156" s="36" t="n">
        <x:v>2758</x:v>
      </x:c>
      <x:c r="B156" s="36" t="str">
        <x:v>9760984b-6a33-5f49-a762-097503aec34b</x:v>
      </x:c>
      <x:c r="C156" s="36" t="str">
        <x:v>Transportstyrelsen</x:v>
      </x:c>
      <x:c r="D156" s="36" t="str">
        <x:v>normalization-review-passenger-250-v1-rules-20260805T184409855703Z</x:v>
      </x:c>
      <x:c r="E156" s="36" t="str">
        <x:v>staging.transportstyrelsen_raw</x:v>
      </x:c>
      <x:c r="F156" s="36" t="n">
        <x:v>2876</x:v>
      </x:c>
      <x:c r="G156" s="36" t="str">
        <x:v>ts-mapping-v1</x:v>
      </x:c>
      <x:c r="H156" s="36" t="str">
        <x:v>ts-review-20260805T184254528647Z</x:v>
      </x:c>
      <x:c r="I156" s="36" t="str">
        <x:v>normalization-pipeline-v4</x:v>
      </x:c>
      <x:c r="J156" s="36" t="str">
        <x:v>provisional</x:v>
      </x:c>
      <x:c r="K156" s="39" t="n">
        <x:v>0.8</x:v>
      </x:c>
      <x:c r="L156" s="36" t="str">
        <x:v>BMW</x:v>
      </x:c>
      <x:c r="M156" s="36"/>
      <x:c r="N156" s="36" t="str">
        <x:v>estate</x:v>
      </x:c>
      <x:c r="O156" s="38" t="str">
        <x:v>["diesel"]</x:v>
      </x:c>
      <x:c r="P156" s="36" t="str">
        <x:v>automatic</x:v>
      </x:c>
      <x:c r="Q156" s="36" t="n">
        <x:v>2001</x:v>
      </x:c>
      <x:c r="R156" s="38" t="str">
        <x:v>["MFR-BRAND-CONFIRMED","MFR-BRAND-VIN-WMI","DATE-REGISTRATION-V1","DATE-PRODUCTION-YEAR-V1","UNIT-POWER-KW-V1","TRN-002","BDY-112","FUEL-002"]</x:v>
      </x:c>
      <x:c r="S156" s="38" t="str">
        <x:v>["DRV-008"]</x:v>
      </x:c>
      <x:c r="T156" s="38" t="str">
        <x:v>[]</x:v>
      </x:c>
      <x:c r="U156" s="38" t="str">
        <x:v>{"market":["SE"],"power_kw":135,"manufacturer":"BMW","bodywork_form":"estate","energy_sources":["diesel"],"production_year":2001,"manufacturer_role":"vehicle_manufacturer","power_source_unit":"kw","registration_date":"2007-10-17","transmission_type":"automatic","alias_types_present":["plate","vin"],"builder_converter_names":[],"production_date_precision":"vehicle_year","bodywork_registry_label_sv":"Kombi, taklucka"}</x:v>
      </x:c>
      <x:c r="V156" s="38" t="str">
        <x:v>{"drive_type":"awd"}</x:v>
      </x:c>
      <x:c r="W1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330 XD","target":"normalized","rule_ids":["MFR-BRAND-CONFIRMED","MFR-BRAND-VIN-WMI"],"sequence":3,"transformer_id":"ts.manufacturer","confidence_effect":0.2},{"after":"BMW","field":"manufacturer","before":"BMW 330 XD","target":"normalized","rule_ids":["MFR-BRAND-CONFIRMED","MFR-BRAND-VIN-WMI"],"sequence":4,"transformer_id":"ts.manufacturer","confidence_effect":0.2},{"after":"vehicle_manufacturer","field":"manufacturer_role","before":"BMW 330 XD","target":"normalized","rule_ids":["MFR-BRAND-CONFIRMED","MFR-BRAND-VIN-WMI"],"sequence":5,"transformer_id":"ts.manufacturer","confidence_effect":0.2},{"after":"vehicle_year","field":"production_date_precision","before":{"vehicle_year":2001,"registration_date":"20071017"},"target":"normalized","rule_ids":["DATE-REGISTRATION-V1","DATE-PRODUCTION-YEAR-V1"],"sequence":6,"transformer_id":"ts.dates","confidence_effect":0.1},{"after":2001,"field":"production_year","before":{"vehicle_year":2001,"registration_date":"20071017"},"target":"normalized","rule_ids":["DATE-REGISTRATION-V1","DATE-PRODUCTION-YEAR-V1"],"sequence":7,"transformer_id":"ts.dates","confidence_effect":0.1},{"after":"2007-10-17","field":"registration_date","before":{"vehicle_year":2001,"registration_date":"20071017"},"target":"normalized","rule_ids":["DATE-REGISTRATION-V1","DATE-PRODUCTION-YEAR-V1"],"sequence":8,"transformer_id":"ts.dates","confidence_effect":0.1},{"after":135,"field":"power_kw","before":135,"target":"normalized","rule_ids":["UNIT-POWER-KW-V1"],"sequence":9,"transformer_id":"ts.engine-measurements","confidence_effect":0.1},{"after":"kw","field":"power_source_unit","before":135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"awd","field":"drive_type","before":"1","target":"candidate","rule_ids":["DRV-008"],"sequence":14,"transformer_id":"ts.drive","confidence_effect":0.05},{"after":["diesel"],"field":"energy_sources","before":{"fuel1":"2","fuel2":"0","fuel3":"0"},"target":"normalized","rule_ids":["FUEL-002"],"sequence":15,"transformer_id":"ts.fuel","confidence_effect":0.0}]</x:v>
      </x:c>
      <x:c r="X156" s="38" t="str">
        <x:v>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6" s="38" t="str">
        <x:v>{"candidates":{"drive_type":"awd"},"confidence":0.8,"normalized":{"market":["SE"],"power_kw":135,"manufacturer":"BMW","bodywork_form":"estate","energy_sources":["diesel"],"production_year":2001,"manufacturer_role":"vehicle_manufacturer","power_source_unit":"kw","registration_date":"2007-10-17","transmission_type":"automatic","alias_types_present":["plate","vin"],"builder_converter_names":[],"production_date_precision":"vehicle_year","bodywork_registry_label_sv":"Kombi, taklucka"},"rule_matches":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330 XD","target":"normalized","rule_ids":["MFR-BRAND-CONFIRMED","MFR-BRAND-VIN-WMI"],"sequence":3,"transformer_id":"ts.manufacturer","confidence_effect":0.2},{"after":"BMW","field":"manufacturer","before":"BMW 330 XD","target":"normalized","rule_ids":["MFR-BRAND-CONFIRMED","MFR-BRAND-VIN-WMI"],"sequence":4,"transformer_id":"ts.manufacturer","confidence_effect":0.2},{"after":"vehicle_manufacturer","field":"manufacturer_role","before":"BMW 330 XD","target":"normalized","rule_ids":["MFR-BRAND-CONFIRMED","MFR-BRAND-VIN-WMI"],"sequence":5,"transformer_id":"ts.manufacturer","confidence_effect":0.2},{"after":"vehicle_year","field":"production_date_precision","before":{"vehicle_year":2001,"registration_date":"20071017"},"target":"normalized","rule_ids":["DATE-REGISTRATION-V1","DATE-PRODUCTION-YEAR-V1"],"sequence":6,"transformer_id":"ts.dates","confidence_effect":0.1},{"after":2001,"field":"production_year","before":{"vehicle_year":2001,"registration_date":"20071017"},"target":"normalized","rule_ids":["DATE-REGISTRATION-V1","DATE-PRODUCTION-YEAR-V1"],"sequence":7,"transformer_id":"ts.dates","confidence_effect":0.1},{"after":"2007-10-17","field":"registration_date","before":{"vehicle_year":2001,"registration_date":"20071017"},"target":"normalized","rule_ids":["DATE-REGISTRATION-V1","DATE-PRODUCTION-YEAR-V1"],"sequence":8,"transformer_id":"ts.dates","confidence_effect":0.1},{"after":135,"field":"power_kw","before":135,"target":"normalized","rule_ids":["UNIT-POWER-KW-V1"],"sequence":9,"transformer_id":"ts.engine-measurements","confidence_effect":0.1},{"after":"kw","field":"power_source_unit","before":135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"awd","field":"drive_type","before":"1","target":"candidate","rule_ids":["DRV-008"],"sequence":14,"transformer_id":"ts.drive","confidence_effect":0.05},{"after":["diesel"],"field":"energy_sources","before":{"fuel1":"2","fuel2":"0","fuel3":"0"},"target":"normalized","rule_ids":["FUEL-002"],"sequence":15,"transformer_id":"ts.fuel","confidence_effect":0.0}],"pipeline_version":"normalization-pipeline-v4","candidate_rule_ids":["DRV-008"]}</x:v>
      </x:c>
      <x:c r="Z156" s="36" t="n">
        <x:v>46239.78067015046</x:v>
      </x:c>
      <x:c r="AA156" s="36" t="n">
        <x:v>46239.78067015046</x:v>
      </x:c>
    </x:row>
    <x:row r="157" ht="18" customHeight="1">
      <x:c r="A157" s="36" t="n">
        <x:v>2759</x:v>
      </x:c>
      <x:c r="B157" s="36" t="str">
        <x:v>e1d21460-15ce-5f13-812e-1c5b7cc66172</x:v>
      </x:c>
      <x:c r="C157" s="36" t="str">
        <x:v>Transportstyrelsen</x:v>
      </x:c>
      <x:c r="D157" s="36" t="str">
        <x:v>normalization-review-passenger-250-v1-rules-20260805T184409855703Z</x:v>
      </x:c>
      <x:c r="E157" s="36" t="str">
        <x:v>staging.transportstyrelsen_raw</x:v>
      </x:c>
      <x:c r="F157" s="36" t="n">
        <x:v>2877</x:v>
      </x:c>
      <x:c r="G157" s="36" t="str">
        <x:v>ts-mapping-v1</x:v>
      </x:c>
      <x:c r="H157" s="36" t="str">
        <x:v>ts-review-20260805T184254528647Z</x:v>
      </x:c>
      <x:c r="I157" s="36" t="str">
        <x:v>normalization-pipeline-v4</x:v>
      </x:c>
      <x:c r="J157" s="36" t="str">
        <x:v>provisional</x:v>
      </x:c>
      <x:c r="K157" s="39" t="n">
        <x:v>0.8</x:v>
      </x:c>
      <x:c r="L157" s="36" t="str">
        <x:v>Saab</x:v>
      </x:c>
      <x:c r="M157" s="36"/>
      <x:c r="N157" s="36" t="str">
        <x:v>estate</x:v>
      </x:c>
      <x:c r="O157" s="38" t="str">
        <x:v>["petrol"]</x:v>
      </x:c>
      <x:c r="P157" s="36" t="str">
        <x:v>automatic</x:v>
      </x:c>
      <x:c r="Q157" s="36" t="n">
        <x:v>1999</x:v>
      </x:c>
      <x:c r="R157" s="38" t="str">
        <x:v>["DATE-REGISTRATION-V1","DATE-PRODUCTION-MONTH-V1","UNIT-POWER-KW-V1","TRN-002","BDY-103","FUEL-001"]</x:v>
      </x:c>
      <x:c r="S157" s="38" t="str">
        <x:v>["MFR-BRAND-PREFIX-FALLBACK","MFE-CC8089323A8D5F"]</x:v>
      </x:c>
      <x:c r="T157" s="38" t="str">
        <x:v>[]</x:v>
      </x:c>
      <x:c r="U157" s="38" t="str">
        <x:v>{"market":["SE"],"power_kw":110,"manufacturer":"Saab","bodywork_form":"estate","energy_sources":["petrol"],"production_date":"1999-05","production_year":1999,"manufacturer_role":"vehicle_manufacturer","power_source_unit":"kw","registration_date":"1999-06-15","transmission_type":"automatic","alias_types_present":["plate","vin"],"builder_converter_names":[],"production_date_precision":"month","bodywork_registry_label_sv":"Kombi"}</x:v>
      </x:c>
      <x:c r="V157" s="38" t="str">
        <x:v>{"manufacturer_confirmation":{"source_fields":["brand"],"canonical_name":"Saab"}}</x:v>
      </x:c>
      <x:c r="W1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KOMBI 2.0T","target":"normalized","rule_ids":["MFR-CLASSIFY-V1"],"sequence":3,"transformer_id":"ts.manufacturer","confidence_effect":0.2},{"after":"Saab","field":"manufacturer","before":"SAAB 9-5 SE KOMBI 2.0T","target":"normalized","rule_ids":["MFR-CLASSIFY-V1"],"sequence":4,"transformer_id":"ts.manufacturer","confidence_effect":0.2},{"after":"vehicle_manufacturer","field":"manufacturer_role","before":"SAAB 9-5 SE KOMBI 2.0T","target":"normalized","rule_ids":["MFR-CLASSIFY-V1"],"sequence":5,"transformer_id":"ts.manufacturer","confidence_effect":0.2},{"after":{"source_fields":["brand"],"canonical_name":"Saab"},"field":"manufacturer_confirmation","before":"SAAB 9-5 SE KOMBI 2.0T","target":"candidate","rule_ids":["MFR-BRAND-PREFIX-FALLBACK","MFE-CC8089323A8D5F"],"sequence":6,"transformer_id":"ts.manufacturer","confidence_effect":0.05},{"after":"1999-05","field":"production_date","before":{"build_month":"199905","vehicle_year":1999,"registration_date":"19990615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19990615"},"target":"normalized","rule_ids":["DATE-REGISTRATION-V1","DATE-PRODUCTION-MONTH-V1"],"sequence":8,"transformer_id":"ts.dates","confidence_effect":0.1},{"after":1999,"field":"production_year","before":{"build_month":"199905","vehicle_year":1999,"registration_date":"19990615"},"target":"normalized","rule_ids":["DATE-REGISTRATION-V1","DATE-PRODUCTION-MONTH-V1"],"sequence":9,"transformer_id":"ts.dates","confidence_effect":0.1},{"after":"1999-06-15","field":"registration_date","before":{"build_month":"199905","vehicle_year":1999,"registration_date":"19990615"},"target":"normalized","rule_ids":["DATE-REGISTRATION-V1","DATE-PRODUCTION-MONTH-V1"],"sequence":10,"transformer_id":"ts.dates","confidence_effect":0.1},{"after":110,"field":"power_kw","before":110,"target":"normalized","rule_ids":["UNIT-POWER-KW-V1"],"sequence":11,"transformer_id":"ts.engine-measurements","confidence_effect":0.1},{"after":"kw","field":"power_source_unit","before":110,"target":"normalized","rule_ids":["UNIT-POWER-KW-V1"],"sequence":12,"transformer_id":"ts.engine-measurements","confidence_effect":0.1},{"after":"automatic","field":"transmission_type","before":{"gearbox":"A","variant":"E5C","version":"A01"},"target":"normalized","rule_ids":["TRN-002"],"sequence":13,"transformer_id":"ts.transmission","confidence_effect":0.1},{"after":"estate","field":"bodywork_form","before":{"variant":"E5C","version":"A01","body_code":"03","eu_category":"M1","vehicle_type":"PB"},"target":"normalized","rule_ids":["BDY-103"],"sequence":14,"transformer_id":"ts.bodywork","confidence_effect":0.1},{"after":"Kombi","field":"bodywork_registry_label_sv","before":{"variant":"E5C","version":"A01","body_code":"03","eu_category":"M1","vehicle_type":"PB"},"target":"normalized","rule_ids":["BDY-103"],"sequence":15,"transformer_id":"ts.bodywork","confidence_effect":0.1},{"after":["petrol"],"field":"energy_sources","before":{"fuel1":"1","fuel2":"0","fuel3":"0","variant":"E5C","version":"A01"},"target":"normalized","rule_ids":["FUEL-001"],"sequence":16,"transformer_id":"ts.fuel","confidence_effect":0.0}]</x:v>
      </x:c>
      <x:c r="X157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7" s="38" t="str">
        <x:v>{"candidates":{"manufacturer_confirmation":{"source_fields":["brand"],"canonical_name":"Saab"}},"confidence":0.8,"normalized":{"market":["SE"],"power_kw":110,"manufacturer":"Saab","bodywork_form":"estate","energy_sources":["petrol"],"production_date":"1999-05","production_year":1999,"manufacturer_role":"vehicle_manufacturer","power_source_unit":"kw","registration_date":"1999-06-15","transmission_type":"automatic","alias_types_present":["plate","vin"],"builder_converter_names":[],"production_date_precision":"month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KOMBI 2.0T","target":"normalized","rule_ids":["MFR-CLASSIFY-V1"],"sequence":3,"transformer_id":"ts.manufacturer","confidence_effect":0.2},{"after":"Saab","field":"manufacturer","before":"SAAB 9-5 SE KOMBI 2.0T","target":"normalized","rule_ids":["MFR-CLASSIFY-V1"],"sequence":4,"transformer_id":"ts.manufacturer","confidence_effect":0.2},{"after":"vehicle_manufacturer","field":"manufacturer_role","before":"SAAB 9-5 SE KOMBI 2.0T","target":"normalized","rule_ids":["MFR-CLASSIFY-V1"],"sequence":5,"transformer_id":"ts.manufacturer","confidence_effect":0.2},{"after":{"source_fields":["brand"],"canonical_name":"Saab"},"field":"manufacturer_confirmation","before":"SAAB 9-5 SE KOMBI 2.0T","target":"candidate","rule_ids":["MFR-BRAND-PREFIX-FALLBACK","MFE-CC8089323A8D5F"],"sequence":6,"transformer_id":"ts.manufacturer","confidence_effect":0.05},{"after":"1999-05","field":"production_date","before":{"build_month":"199905","vehicle_year":1999,"registration_date":"19990615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19990615"},"target":"normalized","rule_ids":["DATE-REGISTRATION-V1","DATE-PRODUCTION-MONTH-V1"],"sequence":8,"transformer_id":"ts.dates","confidence_effect":0.1},{"after":1999,"field":"production_year","before":{"build_month":"199905","vehicle_year":1999,"registration_date":"19990615"},"target":"normalized","rule_ids":["DATE-REGISTRATION-V1","DATE-PRODUCTION-MONTH-V1"],"sequence":9,"transformer_id":"ts.dates","confidence_effect":0.1},{"after":"1999-06-15","field":"registration_date","before":{"build_month":"199905","vehicle_year":1999,"registration_date":"19990615"},"target":"normalized","rule_ids":["DATE-REGISTRATION-V1","DATE-PRODUCTION-MONTH-V1"],"sequence":10,"transformer_id":"ts.dates","confidence_effect":0.1},{"after":110,"field":"power_kw","before":110,"target":"normalized","rule_ids":["UNIT-POWER-KW-V1"],"sequence":11,"transformer_id":"ts.engine-measurements","confidence_effect":0.1},{"after":"kw","field":"power_source_unit","before":110,"target":"normalized","rule_ids":["UNIT-POWER-KW-V1"],"sequence":12,"transformer_id":"ts.engine-measurements","confidence_effect":0.1},{"after":"automatic","field":"transmission_type","before":{"gearbox":"A","variant":"E5C","version":"A01"},"target":"normalized","rule_ids":["TRN-002"],"sequence":13,"transformer_id":"ts.transmission","confidence_effect":0.1},{"after":"estate","field":"bodywork_form","before":{"variant":"E5C","version":"A01","body_code":"03","eu_category":"M1","vehicle_type":"PB"},"target":"normalized","rule_ids":["BDY-103"],"sequence":14,"transformer_id":"ts.bodywork","confidence_effect":0.1},{"after":"Kombi","field":"bodywork_registry_label_sv","before":{"variant":"E5C","version":"A01","body_code":"03","eu_category":"M1","vehicle_type":"PB"},"target":"normalized","rule_ids":["BDY-103"],"sequence":15,"transformer_id":"ts.bodywork","confidence_effect":0.1},{"after":["petrol"],"field":"energy_sources","before":{"fuel1":"1","fuel2":"0","fuel3":"0","variant":"E5C","version":"A01"},"target":"normalized","rule_ids":["FUEL-001"],"sequence":16,"transformer_id":"ts.fuel","confidence_effect":0.0}],"pipeline_version":"normalization-pipeline-v4","candidate_rule_ids":["MFR-BRAND-PREFIX-FALLBACK","MFE-CC8089323A8D5F"]}</x:v>
      </x:c>
      <x:c r="Z157" s="36" t="n">
        <x:v>46239.78067015046</x:v>
      </x:c>
      <x:c r="AA157" s="36" t="n">
        <x:v>46239.78067015046</x:v>
      </x:c>
    </x:row>
    <x:row r="158" ht="18" customHeight="1">
      <x:c r="A158" s="36" t="n">
        <x:v>2760</x:v>
      </x:c>
      <x:c r="B158" s="36" t="str">
        <x:v>d1e9978a-adfc-56eb-a672-80752be5cc0f</x:v>
      </x:c>
      <x:c r="C158" s="36" t="str">
        <x:v>Transportstyrelsen</x:v>
      </x:c>
      <x:c r="D158" s="36" t="str">
        <x:v>normalization-review-passenger-250-v1-rules-20260805T184409855703Z</x:v>
      </x:c>
      <x:c r="E158" s="36" t="str">
        <x:v>staging.transportstyrelsen_raw</x:v>
      </x:c>
      <x:c r="F158" s="36" t="n">
        <x:v>2878</x:v>
      </x:c>
      <x:c r="G158" s="36" t="str">
        <x:v>ts-mapping-v1</x:v>
      </x:c>
      <x:c r="H158" s="36" t="str">
        <x:v>ts-review-20260805T184254528647Z</x:v>
      </x:c>
      <x:c r="I158" s="36" t="str">
        <x:v>normalization-pipeline-v4</x:v>
      </x:c>
      <x:c r="J158" s="36" t="str">
        <x:v>provisional</x:v>
      </x:c>
      <x:c r="K158" s="39" t="n">
        <x:v>0.8</x:v>
      </x:c>
      <x:c r="L158" s="36" t="str">
        <x:v>Volvo</x:v>
      </x:c>
      <x:c r="M158" s="36" t="str">
        <x:v>XC40</x:v>
      </x:c>
      <x:c r="N158" s="36" t="str">
        <x:v>estate</x:v>
      </x:c>
      <x:c r="O158" s="38" t="str">
        <x:v>["diesel"]</x:v>
      </x:c>
      <x:c r="P158" s="36" t="str">
        <x:v>automatic</x:v>
      </x:c>
      <x:c r="Q158" s="36" t="n">
        <x:v>2017</x:v>
      </x:c>
      <x:c r="R158" s="38" t="str">
        <x:v>["MFR-BRAND-CONFIRMED","MFR-BRAND-VIN-WMI","DATE-REGISTRATION-V1","DATE-PRODUCTION-MONTH-V1","UNIT-POWER-KW-V1","UNIT-DISPLACEMENT-CCM-V1","TRN-002","BDY-110","FUEL-002"]</x:v>
      </x:c>
      <x:c r="S158" s="38" t="str">
        <x:v>["DRV-008"]</x:v>
      </x:c>
      <x:c r="T158" s="38" t="str">
        <x:v>[]</x:v>
      </x:c>
      <x:c r="U158" s="38" t="str">
        <x:v>{"market":["SE"],"power_kw":140,"manufacturer":"Volvo","bodywork_form":"estate","energy_sources":["diesel"],"displacement_cc":1969,"production_date":"2017-12","production_year":2017,"manufacturer_role":"vehicle_manufacturer","power_source_unit":"kw","registration_date":"2018-09-19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58" s="38" t="str">
        <x:v>{"drive_type":"awd","model_family":"XC40"}</x:v>
      </x:c>
      <x:c r="W1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2017-12","field":"production_date","before":{"build_month":"201712","vehicle_year":2017,"registration_date":"20180919"},"target":"normalized","rule_ids":["DATE-REGISTRATION-V1","DATE-PRODUCTION-MONTH-V1"],"sequence":8,"transformer_id":"ts.dates","confidence_effect":0.1},{"after":"month","field":"production_date_precision","before":{"build_month":"201712","vehicle_year":2017,"registration_date":"20180919"},"target":"normalized","rule_ids":["DATE-REGISTRATION-V1","DATE-PRODUCTION-MONTH-V1"],"sequence":9,"transformer_id":"ts.dates","confidence_effect":0.1},{"after":2017,"field":"production_year","before":{"build_month":"201712","vehicle_year":2017,"registration_date":"20180919"},"target":"normalized","rule_ids":["DATE-REGISTRATION-V1","DATE-PRODUCTION-MONTH-V1"],"sequence":10,"transformer_id":"ts.dates","confidence_effect":0.1},{"after":"2018-09-19","field":"registration_date","before":{"build_month":"201712","vehicle_year":2017,"registration_date":"20180919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6","version":"XZA6BC??"},"target":"normalized","rule_ids":["TRN-002"],"sequence":16,"transformer_id":"ts.transmission","confidence_effect":0.1},{"after":"estate","field":"bodywork_form","before":{"model":"XC40","variant":"XZA6","version":"XZA6BC?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6","version":"XZA6B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A6","version":"XZA6BC??"},"target":"normalized","rule_ids":["FUEL-002"],"sequence":20,"transformer_id":"ts.fuel","confidence_effect":0.0}]</x:v>
      </x:c>
      <x:c r="X15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8" s="38" t="str">
        <x:v>{"candidates":{"drive_type":"awd","model_family":"XC40"},"confidence":0.8,"normalized":{"market":["SE"],"power_kw":140,"manufacturer":"Volvo","bodywork_form":"estate","energy_sources":["diesel"],"displacement_cc":1969,"production_date":"2017-12","production_year":2017,"manufacturer_role":"vehicle_manufacturer","power_source_unit":"kw","registration_date":"2018-09-19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2017-12","field":"production_date","before":{"build_month":"201712","vehicle_year":2017,"registration_date":"20180919"},"target":"normalized","rule_ids":["DATE-REGISTRATION-V1","DATE-PRODUCTION-MONTH-V1"],"sequence":8,"transformer_id":"ts.dates","confidence_effect":0.1},{"after":"month","field":"production_date_precision","before":{"build_month":"201712","vehicle_year":2017,"registration_date":"20180919"},"target":"normalized","rule_ids":["DATE-REGISTRATION-V1","DATE-PRODUCTION-MONTH-V1"],"sequence":9,"transformer_id":"ts.dates","confidence_effect":0.1},{"after":2017,"field":"production_year","before":{"build_month":"201712","vehicle_year":2017,"registration_date":"20180919"},"target":"normalized","rule_ids":["DATE-REGISTRATION-V1","DATE-PRODUCTION-MONTH-V1"],"sequence":10,"transformer_id":"ts.dates","confidence_effect":0.1},{"after":"2018-09-19","field":"registration_date","before":{"build_month":"201712","vehicle_year":2017,"registration_date":"20180919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6","version":"XZA6BC??"},"target":"normalized","rule_ids":["TRN-002"],"sequence":16,"transformer_id":"ts.transmission","confidence_effect":0.1},{"after":"estate","field":"bodywork_form","before":{"model":"XC40","variant":"XZA6","version":"XZA6BC?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6","version":"XZA6B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A6","version":"XZA6BC??"},"target":"normalized","rule_ids":["FUEL-002"],"sequence":20,"transformer_id":"ts.fuel","confidence_effect":0.0}],"pipeline_version":"normalization-pipeline-v4","candidate_rule_ids":["DRV-008"]}</x:v>
      </x:c>
      <x:c r="Z158" s="36" t="n">
        <x:v>46239.78067015046</x:v>
      </x:c>
      <x:c r="AA158" s="36" t="n">
        <x:v>46239.78067015046</x:v>
      </x:c>
    </x:row>
    <x:row r="159" ht="18" customHeight="1">
      <x:c r="A159" s="36" t="n">
        <x:v>2761</x:v>
      </x:c>
      <x:c r="B159" s="36" t="str">
        <x:v>a2c9db4b-d42e-5339-873b-126e50789583</x:v>
      </x:c>
      <x:c r="C159" s="36" t="str">
        <x:v>Transportstyrelsen</x:v>
      </x:c>
      <x:c r="D159" s="36" t="str">
        <x:v>normalization-review-passenger-250-v1-rules-20260805T184409855703Z</x:v>
      </x:c>
      <x:c r="E159" s="36" t="str">
        <x:v>staging.transportstyrelsen_raw</x:v>
      </x:c>
      <x:c r="F159" s="36" t="n">
        <x:v>2879</x:v>
      </x:c>
      <x:c r="G159" s="36" t="str">
        <x:v>ts-mapping-v1</x:v>
      </x:c>
      <x:c r="H159" s="36" t="str">
        <x:v>ts-review-20260805T184254528647Z</x:v>
      </x:c>
      <x:c r="I159" s="36" t="str">
        <x:v>normalization-pipeline-v4</x:v>
      </x:c>
      <x:c r="J159" s="36" t="str">
        <x:v>provisional</x:v>
      </x:c>
      <x:c r="K159" s="39" t="n">
        <x:v>0.8</x:v>
      </x:c>
      <x:c r="L159" s="36" t="str">
        <x:v>BMW</x:v>
      </x:c>
      <x:c r="M159" s="36"/>
      <x:c r="N159" s="36" t="str">
        <x:v>covered_body</x:v>
      </x:c>
      <x:c r="O159" s="38" t="str">
        <x:v>["petrol"]</x:v>
      </x:c>
      <x:c r="P159" s="36" t="str">
        <x:v>manual</x:v>
      </x:c>
      <x:c r="Q159" s="36" t="n">
        <x:v>1997</x:v>
      </x:c>
      <x:c r="R159" s="38" t="str">
        <x:v>["DATE-REGISTRATION-V1","DATE-PRODUCTION-YEAR-V1","UNIT-POWER-KW-V1","TRN-001","BDY-102","FUEL-001"]</x:v>
      </x:c>
      <x:c r="S159" s="38" t="str">
        <x:v>["MFR-BRAND-PREFIX-FALLBACK"]</x:v>
      </x:c>
      <x:c r="T159" s="38" t="str">
        <x:v>[]</x:v>
      </x:c>
      <x:c r="U159" s="38" t="str">
        <x:v>{"market":["SE"],"power_kw":236,"manufacturer":"BMW","bodywork_form":"covered_body","energy_sources":["petrol"],"production_year":1997,"manufacturer_role":"vehicle_manufacturer","power_source_unit":"kw","registration_date":"1996-11-20","transmission_type":"manual","alias_types_present":["plate","vin"],"builder_converter_names":[],"production_date_precision":"model_year","bodywork_registry_label_sv":"Täckt"}</x:v>
      </x:c>
      <x:c r="V159" s="38" t="str">
        <x:v>{"manufacturer_confirmation":{"source_fields":["brand"],"canonical_name":"BMW"}}</x:v>
      </x:c>
      <x:c r="W1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M3/4","target":"normalized","rule_ids":["MFR-CLASSIFY-V1"],"sequence":3,"transformer_id":"ts.manufacturer","confidence_effect":0.2},{"after":"BMW","field":"manufacturer","before":"BMW M3/4","target":"normalized","rule_ids":["MFR-CLASSIFY-V1"],"sequence":4,"transformer_id":"ts.manufacturer","confidence_effect":0.2},{"after":"vehicle_manufacturer","field":"manufacturer_role","before":"BMW M3/4","target":"normalized","rule_ids":["MFR-CLASSIFY-V1"],"sequence":5,"transformer_id":"ts.manufacturer","confidence_effect":0.2},{"after":{"source_fields":["brand"],"canonical_name":"BMW"},"field":"manufacturer_confirmation","before":"BMW M3/4","target":"candidate","rule_ids":["MFR-BRAND-PREFIX-FALLBACK"],"sequence":6,"transformer_id":"ts.manufacturer","confidence_effect":0.05},{"after":"model_year","field":"production_date_precision","before":{"model_year":1997,"vehicle_year":1997,"registration_date":"19961120"},"target":"normalized","rule_ids":["DATE-REGISTRATION-V1","DATE-PRODUCTION-YEAR-V1"],"sequence":7,"transformer_id":"ts.dates","confidence_effect":0.1},{"after":1997,"field":"production_year","before":{"model_year":1997,"vehicle_year":1997,"registration_date":"19961120"},"target":"normalized","rule_ids":["DATE-REGISTRATION-V1","DATE-PRODUCTION-YEAR-V1"],"sequence":8,"transformer_id":"ts.dates","confidence_effect":0.1},{"after":"1996-11-20","field":"registration_date","before":{"model_year":1997,"vehicle_year":1997,"registration_date":"19961120"},"target":"normalized","rule_ids":["DATE-REGISTRATION-V1","DATE-PRODUCTION-YEAR-V1"],"sequence":9,"transformer_id":"ts.dates","confidence_effect":0.1},{"after":236,"field":"power_kw","before":236,"target":"normalized","rule_ids":["UNIT-POWER-KW-V1"],"sequence":10,"transformer_id":"ts.engine-measurements","confidence_effect":0.1},{"after":"kw","field":"power_source_unit","before":236,"target":"normalized","rule_ids":["UNIT-POWER-KW-V1"],"sequence":11,"transformer_id":"ts.engine-measurements","confidence_effect":0.1},{"after":"manual","field":"transmission_type","before":{"gearbox":"M","variant":"CD91","version":"-"},"target":"normalized","rule_ids":["TRN-001"],"sequence":12,"transformer_id":"ts.transmission","confidence_effect":0.1},{"after":"covered_body","field":"bodywork_form","before":{"variant":"CD91","version":"-","body_code":"01","eu_category":"M1","vehicle_type":"PB"},"target":"normalized","rule_ids":["BDY-102"],"sequence":13,"transformer_id":"ts.bodywork","confidence_effect":0.1},{"after":"Täckt","field":"bodywork_registry_label_sv","before":{"variant":"CD91","version":"-","body_code":"01","eu_category":"M1","vehicle_type":"PB"},"target":"normalized","rule_ids":["BDY-102"],"sequence":14,"transformer_id":"ts.bodywork","confidence_effect":0.1},{"after":["petrol"],"field":"energy_sources","before":{"fuel1":"1","fuel2":"0","fuel3":"0","variant":"CD91","version":"-"},"target":"normalized","rule_ids":["FUEL-001"],"sequence":15,"transformer_id":"ts.fuel","confidence_effect":0.0}]</x:v>
      </x:c>
      <x:c r="X15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9" s="38" t="str">
        <x:v>{"candidates":{"manufacturer_confirmation":{"source_fields":["brand"],"canonical_name":"BMW"}},"confidence":0.8,"normalized":{"market":["SE"],"power_kw":236,"manufacturer":"BMW","bodywork_form":"covered_body","energy_sources":["petrol"],"production_year":1997,"manufacturer_role":"vehicle_manufacturer","power_source_unit":"kw","registration_date":"1996-11-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M3/4","target":"normalized","rule_ids":["MFR-CLASSIFY-V1"],"sequence":3,"transformer_id":"ts.manufacturer","confidence_effect":0.2},{"after":"BMW","field":"manufacturer","before":"BMW M3/4","target":"normalized","rule_ids":["MFR-CLASSIFY-V1"],"sequence":4,"transformer_id":"ts.manufacturer","confidence_effect":0.2},{"after":"vehicle_manufacturer","field":"manufacturer_role","before":"BMW M3/4","target":"normalized","rule_ids":["MFR-CLASSIFY-V1"],"sequence":5,"transformer_id":"ts.manufacturer","confidence_effect":0.2},{"after":{"source_fields":["brand"],"canonical_name":"BMW"},"field":"manufacturer_confirmation","before":"BMW M3/4","target":"candidate","rule_ids":["MFR-BRAND-PREFIX-FALLBACK"],"sequence":6,"transformer_id":"ts.manufacturer","confidence_effect":0.05},{"after":"model_year","field":"production_date_precision","before":{"model_year":1997,"vehicle_year":1997,"registration_date":"19961120"},"target":"normalized","rule_ids":["DATE-REGISTRATION-V1","DATE-PRODUCTION-YEAR-V1"],"sequence":7,"transformer_id":"ts.dates","confidence_effect":0.1},{"after":1997,"field":"production_year","before":{"model_year":1997,"vehicle_year":1997,"registration_date":"19961120"},"target":"normalized","rule_ids":["DATE-REGISTRATION-V1","DATE-PRODUCTION-YEAR-V1"],"sequence":8,"transformer_id":"ts.dates","confidence_effect":0.1},{"after":"1996-11-20","field":"registration_date","before":{"model_year":1997,"vehicle_year":1997,"registration_date":"19961120"},"target":"normalized","rule_ids":["DATE-REGISTRATION-V1","DATE-PRODUCTION-YEAR-V1"],"sequence":9,"transformer_id":"ts.dates","confidence_effect":0.1},{"after":236,"field":"power_kw","before":236,"target":"normalized","rule_ids":["UNIT-POWER-KW-V1"],"sequence":10,"transformer_id":"ts.engine-measurements","confidence_effect":0.1},{"after":"kw","field":"power_source_unit","before":236,"target":"normalized","rule_ids":["UNIT-POWER-KW-V1"],"sequence":11,"transformer_id":"ts.engine-measurements","confidence_effect":0.1},{"after":"manual","field":"transmission_type","before":{"gearbox":"M","variant":"CD91","version":"-"},"target":"normalized","rule_ids":["TRN-001"],"sequence":12,"transformer_id":"ts.transmission","confidence_effect":0.1},{"after":"covered_body","field":"bodywork_form","before":{"variant":"CD91","version":"-","body_code":"01","eu_category":"M1","vehicle_type":"PB"},"target":"normalized","rule_ids":["BDY-102"],"sequence":13,"transformer_id":"ts.bodywork","confidence_effect":0.1},{"after":"Täckt","field":"bodywork_registry_label_sv","before":{"variant":"CD91","version":"-","body_code":"01","eu_category":"M1","vehicle_type":"PB"},"target":"normalized","rule_ids":["BDY-102"],"sequence":14,"transformer_id":"ts.bodywork","confidence_effect":0.1},{"after":["petrol"],"field":"energy_sources","before":{"fuel1":"1","fuel2":"0","fuel3":"0","variant":"CD91","version":"-"},"target":"normalized","rule_ids":["FUEL-001"],"sequence":15,"transformer_id":"ts.fuel","confidence_effect":0.0}],"pipeline_version":"normalization-pipeline-v4","candidate_rule_ids":["MFR-BRAND-PREFIX-FALLBACK"]}</x:v>
      </x:c>
      <x:c r="Z159" s="36" t="n">
        <x:v>46239.78067015046</x:v>
      </x:c>
      <x:c r="AA159" s="36" t="n">
        <x:v>46239.78067015046</x:v>
      </x:c>
    </x:row>
    <x:row r="160" ht="18" customHeight="1">
      <x:c r="A160" s="36" t="n">
        <x:v>2762</x:v>
      </x:c>
      <x:c r="B160" s="36" t="str">
        <x:v>366ffa13-8190-53ec-ae10-37645a1b830c</x:v>
      </x:c>
      <x:c r="C160" s="36" t="str">
        <x:v>Transportstyrelsen</x:v>
      </x:c>
      <x:c r="D160" s="36" t="str">
        <x:v>normalization-review-passenger-250-v1-rules-20260805T184409855703Z</x:v>
      </x:c>
      <x:c r="E160" s="36" t="str">
        <x:v>staging.transportstyrelsen_raw</x:v>
      </x:c>
      <x:c r="F160" s="36" t="n">
        <x:v>2880</x:v>
      </x:c>
      <x:c r="G160" s="36" t="str">
        <x:v>ts-mapping-v1</x:v>
      </x:c>
      <x:c r="H160" s="36" t="str">
        <x:v>ts-review-20260805T184254528647Z</x:v>
      </x:c>
      <x:c r="I160" s="36" t="str">
        <x:v>normalization-pipeline-v4</x:v>
      </x:c>
      <x:c r="J160" s="36" t="str">
        <x:v>provisional</x:v>
      </x:c>
      <x:c r="K160" s="39" t="n">
        <x:v>0.8</x:v>
      </x:c>
      <x:c r="L160" s="36" t="str">
        <x:v>Kia</x:v>
      </x:c>
      <x:c r="M160" s="36" t="str">
        <x:v>NIRO</x:v>
      </x:c>
      <x:c r="N160" s="36" t="str">
        <x:v>estate</x:v>
      </x:c>
      <x:c r="O160" s="38" t="str">
        <x:v>["petrol","electricity"]</x:v>
      </x:c>
      <x:c r="P160" s="36" t="str">
        <x:v>automatic</x:v>
      </x:c>
      <x:c r="Q160" s="36" t="n">
        <x:v>2023</x:v>
      </x:c>
      <x:c r="R160" s="38" t="str">
        <x:v>["MFR-102","DATE-REGISTRATION-V1","DATE-PRODUCTION-DAY-V1","UNIT-POWER-KW-V1","UNIT-DISPLACEMENT-CCM-V1","TRN-002","BDY-110","FUEL-001","ELEC-002"]</x:v>
      </x:c>
      <x:c r="S160" s="38" t="str">
        <x:v>[]</x:v>
      </x:c>
      <x:c r="T160" s="38" t="str">
        <x:v>[]</x:v>
      </x:c>
      <x:c r="U160" s="38" t="str">
        <x:v>{"market":["SE"],"power_kw":77,"manufacturer":"Kia","bodywork_form":"estate","energy_sources":["petrol","electricity"],"displacement_cc":1580,"production_date":"2023-09-12","production_year":2023,"manufacturer_role":"vehicle_manufacturer","power_source_unit":"kw","registration_date":"2023-11-24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160" s="38" t="str">
        <x:v>{"model_family":"NIRO"}</x:v>
      </x:c>
      <x:c r="W1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2023-09-12","field":"production_date","before":{"build_date":"20230912","build_month":"202309","vehicle_year":2023,"registration_date":"20231124"},"target":"normalized","rule_ids":["DATE-REGISTRATION-V1","DATE-PRODUCTION-DAY-V1"],"sequence":8,"transformer_id":"ts.dates","confidence_effect":0.1},{"after":"day","field":"production_date_precision","before":{"build_date":"20230912","build_month":"202309","vehicle_year":2023,"registration_date":"20231124"},"target":"normalized","rule_ids":["DATE-REGISTRATION-V1","DATE-PRODUCTION-DAY-V1"],"sequence":9,"transformer_id":"ts.dates","confidence_effect":0.1},{"after":2023,"field":"production_year","before":{"build_date":"20230912","build_month":"202309","vehicle_year":2023,"registration_date":"20231124"},"target":"normalized","rule_ids":["DATE-REGISTRATION-V1","DATE-PRODUCTION-DAY-V1"],"sequence":10,"transformer_id":"ts.dates","confidence_effect":0.1},{"after":"2023-11-24","field":"registration_date","before":{"build_date":"20230912","build_month":"202309","vehicle_year":2023,"registration_date":"20231124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AY1"},"target":"normalized","rule_ids":["TRN-002"],"sequence":16,"transformer_id":"ts.transmission","confidence_effect":0.1},{"after":"estate","field":"bodywork_form","before":{"model":"NIRO","variant":"C5P11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AY1","body_code":"AC","eu_category":"M1","vehicle_type":"PB"},"target":"normalized","rule_ids":["BDY-110"],"sequence":18,"transformer_id":"ts.bodywork","confidence_effect":0.1},{"after":"hybrid","field":"electrification_type","before":{"fuel1":"1","fuel2":"0","fuel3":"0","model":"NIRO","variant":"C5P11","version":"D61AY1","ev_config":"ELHYBRID"},"target":"normalized","rule_ids":["FUEL-001","ELEC-002"],"sequence":19,"transformer_id":"ts.fuel","confidence_effect":0.0},{"after":["petrol","electricity"],"field":"energy_sources","before":{"fuel1":"1","fuel2":"0","fuel3":"0","model":"NIRO","variant":"C5P11","version":"D61AY1","ev_config":"ELHYBRID"},"target":"normalized","rule_ids":["FUEL-001","ELEC-002"],"sequence":20,"transformer_id":"ts.fuel","confidence_effect":0.0}]</x:v>
      </x:c>
      <x:c r="X16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60" s="38" t="str">
        <x:v>{"candidates":{"model_family":"NIRO"},"confidence":0.8,"normalized":{"market":["SE"],"power_kw":77,"manufacturer":"Kia","bodywork_form":"estate","energy_sources":["petrol","electricity"],"displacement_cc":1580,"production_date":"2023-09-12","production_year":2023,"manufacturer_role":"vehicle_manufacturer","power_source_unit":"kw","registration_date":"2023-11-24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},"target":"normalized","rule_ids":["MFR-102"],"sequence":3,"transformer_id":"ts.manufacturer","confidence_effect":0.2},{"after":"Kia","field":"manufacturer","before":{"brand":"KIA","manufacturer":"KIACORPORATION"},"target":"normalized","rule_ids":["MFR-102"],"sequence":4,"transformer_id":"ts.manufacturer","confidence_effect":0.2},{"after":"vehicle_manufacturer","field":"manufacturer_role","before":{"brand":"KIA","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2023-09-12","field":"production_date","before":{"build_date":"20230912","build_month":"202309","vehicle_year":2023,"registration_date":"20231124"},"target":"normalized","rule_ids":["DATE-REGISTRATION-V1","DATE-PRODUCTION-DAY-V1"],"sequence":8,"transformer_id":"ts.dates","confidence_effect":0.1},{"after":"day","field":"production_date_precision","before":{"build_date":"20230912","build_month":"202309","vehicle_year":2023,"registration_date":"20231124"},"target":"normalized","rule_ids":["DATE-REGISTRATION-V1","DATE-PRODUCTION-DAY-V1"],"sequence":9,"transformer_id":"ts.dates","confidence_effect":0.1},{"after":2023,"field":"production_year","before":{"build_date":"20230912","build_month":"202309","vehicle_year":2023,"registration_date":"20231124"},"target":"normalized","rule_ids":["DATE-REGISTRATION-V1","DATE-PRODUCTION-DAY-V1"],"sequence":10,"transformer_id":"ts.dates","confidence_effect":0.1},{"after":"2023-11-24","field":"registration_date","before":{"build_date":"20230912","build_month":"202309","vehicle_year":2023,"registration_date":"20231124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AY1"},"target":"normalized","rule_ids":["TRN-002"],"sequence":16,"transformer_id":"ts.transmission","confidence_effect":0.1},{"after":"estate","field":"bodywork_form","before":{"model":"NIRO","variant":"C5P11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AY1","body_code":"AC","eu_category":"M1","vehicle_type":"PB"},"target":"normalized","rule_ids":["BDY-110"],"sequence":18,"transformer_id":"ts.bodywork","confidence_effect":0.1},{"after":"hybrid","field":"electrification_type","before":{"fuel1":"1","fuel2":"0","fuel3":"0","model":"NIRO","variant":"C5P11","version":"D61AY1","ev_config":"ELHYBRID"},"target":"normalized","rule_ids":["FUEL-001","ELEC-002"],"sequence":19,"transformer_id":"ts.fuel","confidence_effect":0.0},{"after":["petrol","electricity"],"field":"energy_sources","before":{"fuel1":"1","fuel2":"0","fuel3":"0","model":"NIRO","variant":"C5P11","version":"D61AY1","ev_config":"ELHYBRID"},"target":"normalized","rule_ids":["FUEL-001","ELEC-002"],"sequence":20,"transformer_id":"ts.fuel","confidence_effect":0.0}],"pipeline_version":"normalization-pipeline-v4","candidate_rule_ids":[]}</x:v>
      </x:c>
      <x:c r="Z160" s="36" t="n">
        <x:v>46239.78067015046</x:v>
      </x:c>
      <x:c r="AA160" s="36" t="n">
        <x:v>46239.78067015046</x:v>
      </x:c>
    </x:row>
    <x:row r="161" ht="18" customHeight="1">
      <x:c r="A161" s="36" t="n">
        <x:v>2763</x:v>
      </x:c>
      <x:c r="B161" s="36" t="str">
        <x:v>0ba70645-f6ef-5351-a18f-04ee667aaace</x:v>
      </x:c>
      <x:c r="C161" s="36" t="str">
        <x:v>Transportstyrelsen</x:v>
      </x:c>
      <x:c r="D161" s="36" t="str">
        <x:v>normalization-review-passenger-250-v1-rules-20260805T184409855703Z</x:v>
      </x:c>
      <x:c r="E161" s="36" t="str">
        <x:v>staging.transportstyrelsen_raw</x:v>
      </x:c>
      <x:c r="F161" s="36" t="n">
        <x:v>2881</x:v>
      </x:c>
      <x:c r="G161" s="36" t="str">
        <x:v>ts-mapping-v1</x:v>
      </x:c>
      <x:c r="H161" s="36" t="str">
        <x:v>ts-review-20260805T184254528647Z</x:v>
      </x:c>
      <x:c r="I161" s="36" t="str">
        <x:v>normalization-pipeline-v4</x:v>
      </x:c>
      <x:c r="J161" s="36" t="str">
        <x:v>provisional</x:v>
      </x:c>
      <x:c r="K161" s="39" t="n">
        <x:v>0.8</x:v>
      </x:c>
      <x:c r="L161" s="36" t="str">
        <x:v>BMW</x:v>
      </x:c>
      <x:c r="M161" s="36"/>
      <x:c r="N161" s="36" t="str">
        <x:v>open_body</x:v>
      </x:c>
      <x:c r="O161" s="38" t="str">
        <x:v>["petrol"]</x:v>
      </x:c>
      <x:c r="P161" s="36" t="str">
        <x:v>manual</x:v>
      </x:c>
      <x:c r="Q161" s="36" t="n">
        <x:v>1999</x:v>
      </x:c>
      <x:c r="R161" s="38" t="str">
        <x:v>["DATE-REGISTRATION-V1","DATE-PRODUCTION-MONTH-V1","UNIT-POWER-KW-V1","TRN-001","BDY-116","FUEL-001"]</x:v>
      </x:c>
      <x:c r="S161" s="38" t="str">
        <x:v>["MFR-BRAND-PREFIX-FALLBACK"]</x:v>
      </x:c>
      <x:c r="T161" s="38" t="str">
        <x:v>[]</x:v>
      </x:c>
      <x:c r="U161" s="38" t="str">
        <x:v>{"market":["SE"],"power_kw":85,"manufacturer":"BMW","bodywork_form":"open_body","energy_sources":["petrol"],"production_date":"1999-02","production_year":1999,"manufacturer_role":"vehicle_manufacturer","power_source_unit":"kw","registration_date":"1999-03-17","transmission_type":"manual","alias_types_present":["plate","vin"],"builder_converter_names":[],"production_date_precision":"month","bodywork_registry_label_sv":"Öppet"}</x:v>
      </x:c>
      <x:c r="V161" s="38" t="str">
        <x:v>{"manufacturer_confirmation":{"source_fields":["brand"],"canonical_name":"BMW"}}</x:v>
      </x:c>
      <x:c r="W1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318I CAB","target":"normalized","rule_ids":["MFR-CLASSIFY-V1"],"sequence":3,"transformer_id":"ts.manufacturer","confidence_effect":0.2},{"after":"BMW","field":"manufacturer","before":"BMW 318I CAB","target":"normalized","rule_ids":["MFR-CLASSIFY-V1"],"sequence":4,"transformer_id":"ts.manufacturer","confidence_effect":0.2},{"after":"vehicle_manufacturer","field":"manufacturer_role","before":"BMW 318I CAB","target":"normalized","rule_ids":["MFR-CLASSIFY-V1"],"sequence":5,"transformer_id":"ts.manufacturer","confidence_effect":0.2},{"after":{"source_fields":["brand"],"canonical_name":"BMW"},"field":"manufacturer_confirmation","before":"BMW 318I CAB","target":"candidate","rule_ids":["MFR-BRAND-PREFIX-FALLBACK"],"sequence":6,"transformer_id":"ts.manufacturer","confidence_effect":0.05},{"after":"1999-02","field":"production_date","before":{"model_year":1999,"build_month":"199902","vehicle_year":1999,"registration_date":"19990317"},"target":"normalized","rule_ids":["DATE-REGISTRATION-V1","DATE-PRODUCTION-MONTH-V1"],"sequence":7,"transformer_id":"ts.dates","confidence_effect":0.1},{"after":"month","field":"production_date_precision","before":{"model_year":1999,"build_month":"199902","vehicle_year":1999,"registration_date":"19990317"},"target":"normalized","rule_ids":["DATE-REGISTRATION-V1","DATE-PRODUCTION-MONTH-V1"],"sequence":8,"transformer_id":"ts.dates","confidence_effect":0.1},{"after":1999,"field":"production_year","before":{"model_year":1999,"build_month":"199902","vehicle_year":1999,"registration_date":"19990317"},"target":"normalized","rule_ids":["DATE-REGISTRATION-V1","DATE-PRODUCTION-MONTH-V1"],"sequence":9,"transformer_id":"ts.dates","confidence_effect":0.1},{"after":"1999-03-17","field":"registration_date","before":{"model_year":1999,"build_month":"199902","vehicle_year":1999,"registration_date":"19990317"},"target":"normalized","rule_ids":["DATE-REGISTRATION-V1","DATE-PRODUCTION-MONTH-V1"],"sequence":10,"transformer_id":"ts.dates","confidence_effect":0.1},{"after":85,"field":"power_kw","before":85,"target":"normalized","rule_ids":["UNIT-POWER-KW-V1"],"sequence":11,"transformer_id":"ts.engine-measurements","confidence_effect":0.1},{"after":"kw","field":"power_source_unit","before":85,"target":"normalized","rule_ids":["UNIT-POWER-KW-V1"],"sequence":12,"transformer_id":"ts.engine-measurements","confidence_effect":0.1},{"after":"manual","field":"transmission_type","before":{"gearbox":"M","variant":"BH31","version":"01"},"target":"normalized","rule_ids":["TRN-001"],"sequence":13,"transformer_id":"ts.transmission","confidence_effect":0.1},{"after":"open_body","field":"bodywork_form","before":{"variant":"BH31","version":"01","body_code":"02","eu_category":"M1","vehicle_type":"PB"},"target":"normalized","rule_ids":["BDY-116"],"sequence":14,"transformer_id":"ts.bodywork","confidence_effect":0.1},{"after":"Öppet","field":"bodywork_registry_label_sv","before":{"variant":"BH31","version":"01","body_code":"02","eu_category":"M1","vehicle_type":"PB"},"target":"normalized","rule_ids":["BDY-116"],"sequence":15,"transformer_id":"ts.bodywork","confidence_effect":0.1},{"after":["petrol"],"field":"energy_sources","before":{"fuel1":"1","fuel2":"0","fuel3":"0","variant":"BH31","version":"01"},"target":"normalized","rule_ids":["FUEL-001"],"sequence":16,"transformer_id":"ts.fuel","confidence_effect":0.0}]</x:v>
      </x:c>
      <x:c r="X161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1" s="38" t="str">
        <x:v>{"candidates":{"manufacturer_confirmation":{"source_fields":["brand"],"canonical_name":"BMW"}},"confidence":0.8,"normalized":{"market":["SE"],"power_kw":85,"manufacturer":"BMW","bodywork_form":"open_body","energy_sources":["petrol"],"production_date":"1999-02","production_year":1999,"manufacturer_role":"vehicle_manufacturer","power_source_unit":"kw","registration_date":"1999-03-17","transmission_type":"manual","alias_types_present":["plate","vin"],"builder_converter_names":[],"production_date_precision":"month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318I CAB","target":"normalized","rule_ids":["MFR-CLASSIFY-V1"],"sequence":3,"transformer_id":"ts.manufacturer","confidence_effect":0.2},{"after":"BMW","field":"manufacturer","before":"BMW 318I CAB","target":"normalized","rule_ids":["MFR-CLASSIFY-V1"],"sequence":4,"transformer_id":"ts.manufacturer","confidence_effect":0.2},{"after":"vehicle_manufacturer","field":"manufacturer_role","before":"BMW 318I CAB","target":"normalized","rule_ids":["MFR-CLASSIFY-V1"],"sequence":5,"transformer_id":"ts.manufacturer","confidence_effect":0.2},{"after":{"source_fields":["brand"],"canonical_name":"BMW"},"field":"manufacturer_confirmation","before":"BMW 318I CAB","target":"candidate","rule_ids":["MFR-BRAND-PREFIX-FALLBACK"],"sequence":6,"transformer_id":"ts.manufacturer","confidence_effect":0.05},{"after":"1999-02","field":"production_date","before":{"model_year":1999,"build_month":"199902","vehicle_year":1999,"registration_date":"19990317"},"target":"normalized","rule_ids":["DATE-REGISTRATION-V1","DATE-PRODUCTION-MONTH-V1"],"sequence":7,"transformer_id":"ts.dates","confidence_effect":0.1},{"after":"month","field":"production_date_precision","before":{"model_year":1999,"build_month":"199902","vehicle_year":1999,"registration_date":"19990317"},"target":"normalized","rule_ids":["DATE-REGISTRATION-V1","DATE-PRODUCTION-MONTH-V1"],"sequence":8,"transformer_id":"ts.dates","confidence_effect":0.1},{"after":1999,"field":"production_year","before":{"model_year":1999,"build_month":"199902","vehicle_year":1999,"registration_date":"19990317"},"target":"normalized","rule_ids":["DATE-REGISTRATION-V1","DATE-PRODUCTION-MONTH-V1"],"sequence":9,"transformer_id":"ts.dates","confidence_effect":0.1},{"after":"1999-03-17","field":"registration_date","before":{"model_year":1999,"build_month":"199902","vehicle_year":1999,"registration_date":"19990317"},"target":"normalized","rule_ids":["DATE-REGISTRATION-V1","DATE-PRODUCTION-MONTH-V1"],"sequence":10,"transformer_id":"ts.dates","confidence_effect":0.1},{"after":85,"field":"power_kw","before":85,"target":"normalized","rule_ids":["UNIT-POWER-KW-V1"],"sequence":11,"transformer_id":"ts.engine-measurements","confidence_effect":0.1},{"after":"kw","field":"power_source_unit","before":85,"target":"normalized","rule_ids":["UNIT-POWER-KW-V1"],"sequence":12,"transformer_id":"ts.engine-measurements","confidence_effect":0.1},{"after":"manual","field":"transmission_type","before":{"gearbox":"M","variant":"BH31","version":"01"},"target":"normalized","rule_ids":["TRN-001"],"sequence":13,"transformer_id":"ts.transmission","confidence_effect":0.1},{"after":"open_body","field":"bodywork_form","before":{"variant":"BH31","version":"01","body_code":"02","eu_category":"M1","vehicle_type":"PB"},"target":"normalized","rule_ids":["BDY-116"],"sequence":14,"transformer_id":"ts.bodywork","confidence_effect":0.1},{"after":"Öppet","field":"bodywork_registry_label_sv","before":{"variant":"BH31","version":"01","body_code":"02","eu_category":"M1","vehicle_type":"PB"},"target":"normalized","rule_ids":["BDY-116"],"sequence":15,"transformer_id":"ts.bodywork","confidence_effect":0.1},{"after":["petrol"],"field":"energy_sources","before":{"fuel1":"1","fuel2":"0","fuel3":"0","variant":"BH31","version":"01"},"target":"normalized","rule_ids":["FUEL-001"],"sequence":16,"transformer_id":"ts.fuel","confidence_effect":0.0}],"pipeline_version":"normalization-pipeline-v4","candidate_rule_ids":["MFR-BRAND-PREFIX-FALLBACK"]}</x:v>
      </x:c>
      <x:c r="Z161" s="36" t="n">
        <x:v>46239.78067015046</x:v>
      </x:c>
      <x:c r="AA161" s="36" t="n">
        <x:v>46239.78067015046</x:v>
      </x:c>
    </x:row>
    <x:row r="162" ht="18" customHeight="1">
      <x:c r="A162" s="36" t="n">
        <x:v>2764</x:v>
      </x:c>
      <x:c r="B162" s="36" t="str">
        <x:v>ce71f785-83d2-55e3-9b24-46ed55fd15ae</x:v>
      </x:c>
      <x:c r="C162" s="36" t="str">
        <x:v>Transportstyrelsen</x:v>
      </x:c>
      <x:c r="D162" s="36" t="str">
        <x:v>normalization-review-passenger-250-v1-rules-20260805T184409855703Z</x:v>
      </x:c>
      <x:c r="E162" s="36" t="str">
        <x:v>staging.transportstyrelsen_raw</x:v>
      </x:c>
      <x:c r="F162" s="36" t="n">
        <x:v>2882</x:v>
      </x:c>
      <x:c r="G162" s="36" t="str">
        <x:v>ts-mapping-v1</x:v>
      </x:c>
      <x:c r="H162" s="36" t="str">
        <x:v>ts-review-20260805T184254528647Z</x:v>
      </x:c>
      <x:c r="I162" s="36" t="str">
        <x:v>normalization-pipeline-v4</x:v>
      </x:c>
      <x:c r="J162" s="36" t="str">
        <x:v>provisional</x:v>
      </x:c>
      <x:c r="K162" s="39" t="n">
        <x:v>0.8</x:v>
      </x:c>
      <x:c r="L162" s="36" t="str">
        <x:v>Citroën</x:v>
      </x:c>
      <x:c r="M162" s="36" t="str">
        <x:v>C5 AIRCROSS</x:v>
      </x:c>
      <x:c r="N162" s="36" t="str">
        <x:v>multi_purpose_vehicle</x:v>
      </x:c>
      <x:c r="O162" s="38" t="str">
        <x:v>["petrol"]</x:v>
      </x:c>
      <x:c r="P162" s="36" t="str">
        <x:v>automatic</x:v>
      </x:c>
      <x:c r="Q162" s="36" t="n">
        <x:v>2023</x:v>
      </x:c>
      <x:c r="R162" s="38" t="str">
        <x:v>["MFE-8DB3252A955C99","MFR-CORPORATE-BRAND-OVERRIDE","DATE-PRODUCTION-DAY-V1","UNIT-POWER-KW-V1","UNIT-DISPLACEMENT-CCM-V1","TRN-002","BDY-113","FUEL-001"]</x:v>
      </x:c>
      <x:c r="S162" s="38" t="str">
        <x:v>[]</x:v>
      </x:c>
      <x:c r="T162" s="38" t="str">
        <x:v>[]</x:v>
      </x:c>
      <x:c r="U162" s="38" t="str">
        <x:v>{"market":["SE"],"power_kw":96,"manufacturer":"Citroën","bodywork_form":"multi_purpose_vehicle","energy_sources":["petrol"],"displacement_cc":1199,"production_date":"2023-10-18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162" s="38" t="str">
        <x:v>{"model_family":"C5 AIRCROSS"}</x:v>
      </x:c>
      <x:c r="W1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SA"},"target":"normalized","rule_ids":["MFE-8DB3252A955C99","MFR-CORPORATE-BRAND-OVERRIDE"],"sequence":5,"transformer_id":"ts.manufacturer","confidence_effect":0.2},{"after":true,"field":"model_family_candidate","before":"C5 AIRCROSS","target":"normalized","rule_ids":["MODEL-CANDIDATE-V1"],"sequence":6,"transformer_id":"ts.model-family","confidence_effect":0.0},{"after":"C5 AIRCROSS","field":"model_family","before":"C5 AIRCROSS","target":"candidate","rule_ids":["MODEL-CANDIDATE-V1"],"sequence":7,"transformer_id":"ts.model-family","confidence_effect":0.05},{"after":"2023-10-18","field":"production_date","before":{"build_date":"20231018","build_month":"202310","vehicle_year":2023},"target":"normalized","rule_ids":["DATE-PRODUCTION-DAY-V1"],"sequence":8,"transformer_id":"ts.dates","confidence_effect":0.1},{"after":"day","field":"production_date_precision","before":{"build_date":"20231018","build_month":"202310","vehicle_year":2023},"target":"normalized","rule_ids":["DATE-PRODUCTION-DAY-V1"],"sequence":9,"transformer_id":"ts.dates","confidence_effect":0.1},{"after":2023,"field":"production_year","before":{"build_date":"20231018","build_month":"202310","vehicle_year":2023},"target":"normalized","rule_ids":["DATE-PRODUCTION-DAY-V1"],"sequence":10,"transformer_id":"ts.dates","confidence_effect":0.1},{"after":1199,"field":"displacement_cc","before":{"kw":96,"ccm":1199},"target":"normalized","rule_ids":["UNIT-POWER-KW-V1","UNIT-DISPLACEMENT-CCM-V1"],"sequence":11,"transformer_id":"ts.engine-measurements","confidence_effect":0.1},{"after":"ccm","field":"displacement_source_unit","before":{"kw":96,"ccm":1199},"target":"normalized","rule_ids":["UNIT-POWER-KW-V1","UNIT-DISPLACEMENT-CCM-V1"],"sequence":12,"transformer_id":"ts.engine-measurements","confidence_effect":0.1},{"after":96,"field":"power_kw","before":{"kw":96,"ccm":1199},"target":"normalized","rule_ids":["UNIT-POWER-KW-V1","UNIT-DISPLACEMENT-CCM-V1"],"sequence":13,"transformer_id":"ts.engine-measurements","confidence_effect":0.1},{"after":"kw","field":"power_source_unit","before":{"kw":96,"ccm":1199},"target":"normalized","rule_ids":["UNIT-POWER-KW-V1","UNIT-DISPLACEMENT-CCM-V1"],"sequence":14,"transformer_id":"ts.engine-measurements","confidence_effect":0.1},{"after":"automatic","field":"transmission_type","before":{"model":"C5 AIRCROSS","gearbox":"A","variant":"R","version":"HNSS-C1NH00"},"target":"normalized","rule_ids":["TRN-002"],"sequence":15,"transformer_id":"ts.transmission","confidence_effect":0.1},{"after":"multi_purpose_vehicle","field":"bodywork_form","before":{"model":"C5 AIRCROSS","variant":"R","version":"HNSS-C1NH00","body_code":"AF","eu_category":"M1","vehicle_type":"PB"},"target":"normalized","rule_ids":["BDY-113"],"sequence":16,"transformer_id":"ts.bodywork","confidence_effect":0.1},{"after":"Fordon avsett för flera ändamål","field":"bodywork_registry_label_sv","before":{"model":"C5 AIRCROSS","variant":"R","version":"HNSS-C1NH00","body_code":"AF","eu_category":"M1","vehicle_type":"PB"},"target":"normalized","rule_ids":["BDY-113"],"sequence":17,"transformer_id":"ts.bodywork","confidence_effect":0.1},{"after":["petrol"],"field":"energy_sources","before":{"fuel1":"1","fuel2":"0","fuel3":"0","model":"C5 AIRCROSS","variant":"R","version":"HNSS-C1NH00"},"target":"normalized","rule_ids":["FUEL-001"],"sequence":18,"transformer_id":"ts.fuel","confidence_effect":0.0}]</x:v>
      </x:c>
      <x:c r="X16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2" s="38" t="str">
        <x:v>{"candidates":{"model_family":"C5 AIRCROSS"},"confidence":0.8,"normalized":{"market":["SE"],"power_kw":96,"manufacturer":"Citroën","bodywork_form":"multi_purpose_vehicle","energy_sources":["petrol"],"displacement_cc":1199,"production_date":"2023-10-18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SA"},"target":"normalized","rule_ids":["MFE-8DB3252A955C99","MFR-CORPORATE-BRAND-OVERRIDE"],"sequence":5,"transformer_id":"ts.manufacturer","confidence_effect":0.2},{"after":true,"field":"model_family_candidate","before":"C5 AIRCROSS","target":"normalized","rule_ids":["MODEL-CANDIDATE-V1"],"sequence":6,"transformer_id":"ts.model-family","confidence_effect":0.0},{"after":"C5 AIRCROSS","field":"model_family","before":"C5 AIRCROSS","target":"candidate","rule_ids":["MODEL-CANDIDATE-V1"],"sequence":7,"transformer_id":"ts.model-family","confidence_effect":0.05},{"after":"2023-10-18","field":"production_date","before":{"build_date":"20231018","build_month":"202310","vehicle_year":2023},"target":"normalized","rule_ids":["DATE-PRODUCTION-DAY-V1"],"sequence":8,"transformer_id":"ts.dates","confidence_effect":0.1},{"after":"day","field":"production_date_precision","before":{"build_date":"20231018","build_month":"202310","vehicle_year":2023},"target":"normalized","rule_ids":["DATE-PRODUCTION-DAY-V1"],"sequence":9,"transformer_id":"ts.dates","confidence_effect":0.1},{"after":2023,"field":"production_year","before":{"build_date":"20231018","build_month":"202310","vehicle_year":2023},"target":"normalized","rule_ids":["DATE-PRODUCTION-DAY-V1"],"sequence":10,"transformer_id":"ts.dates","confidence_effect":0.1},{"after":1199,"field":"displacement_cc","before":{"kw":96,"ccm":1199},"target":"normalized","rule_ids":["UNIT-POWER-KW-V1","UNIT-DISPLACEMENT-CCM-V1"],"sequence":11,"transformer_id":"ts.engine-measurements","confidence_effect":0.1},{"after":"ccm","field":"displacement_source_unit","before":{"kw":96,"ccm":1199},"target":"normalized","rule_ids":["UNIT-POWER-KW-V1","UNIT-DISPLACEMENT-CCM-V1"],"sequence":12,"transformer_id":"ts.engine-measurements","confidence_effect":0.1},{"after":96,"field":"power_kw","before":{"kw":96,"ccm":1199},"target":"normalized","rule_ids":["UNIT-POWER-KW-V1","UNIT-DISPLACEMENT-CCM-V1"],"sequence":13,"transformer_id":"ts.engine-measurements","confidence_effect":0.1},{"after":"kw","field":"power_source_unit","before":{"kw":96,"ccm":1199},"target":"normalized","rule_ids":["UNIT-POWER-KW-V1","UNIT-DISPLACEMENT-CCM-V1"],"sequence":14,"transformer_id":"ts.engine-measurements","confidence_effect":0.1},{"after":"automatic","field":"transmission_type","before":{"model":"C5 AIRCROSS","gearbox":"A","variant":"R","version":"HNSS-C1NH00"},"target":"normalized","rule_ids":["TRN-002"],"sequence":15,"transformer_id":"ts.transmission","confidence_effect":0.1},{"after":"multi_purpose_vehicle","field":"bodywork_form","before":{"model":"C5 AIRCROSS","variant":"R","version":"HNSS-C1NH00","body_code":"AF","eu_category":"M1","vehicle_type":"PB"},"target":"normalized","rule_ids":["BDY-113"],"sequence":16,"transformer_id":"ts.bodywork","confidence_effect":0.1},{"after":"Fordon avsett för flera ändamål","field":"bodywork_registry_label_sv","before":{"model":"C5 AIRCROSS","variant":"R","version":"HNSS-C1NH00","body_code":"AF","eu_category":"M1","vehicle_type":"PB"},"target":"normalized","rule_ids":["BDY-113"],"sequence":17,"transformer_id":"ts.bodywork","confidence_effect":0.1},{"after":["petrol"],"field":"energy_sources","before":{"fuel1":"1","fuel2":"0","fuel3":"0","model":"C5 AIRCROSS","variant":"R","version":"HNSS-C1NH00"},"target":"normalized","rule_ids":["FUEL-001"],"sequence":18,"transformer_id":"ts.fuel","confidence_effect":0.0}],"pipeline_version":"normalization-pipeline-v4","candidate_rule_ids":[]}</x:v>
      </x:c>
      <x:c r="Z162" s="36" t="n">
        <x:v>46239.78067015046</x:v>
      </x:c>
      <x:c r="AA162" s="36" t="n">
        <x:v>46239.78067015046</x:v>
      </x:c>
    </x:row>
    <x:row r="163" ht="18" customHeight="1">
      <x:c r="A163" s="36" t="n">
        <x:v>2765</x:v>
      </x:c>
      <x:c r="B163" s="36" t="str">
        <x:v>2329aa12-159b-5e44-bca7-6e16200e0527</x:v>
      </x:c>
      <x:c r="C163" s="36" t="str">
        <x:v>Transportstyrelsen</x:v>
      </x:c>
      <x:c r="D163" s="36" t="str">
        <x:v>normalization-review-passenger-250-v1-rules-20260805T184409855703Z</x:v>
      </x:c>
      <x:c r="E163" s="36" t="str">
        <x:v>staging.transportstyrelsen_raw</x:v>
      </x:c>
      <x:c r="F163" s="36" t="n">
        <x:v>2883</x:v>
      </x:c>
      <x:c r="G163" s="36" t="str">
        <x:v>ts-mapping-v1</x:v>
      </x:c>
      <x:c r="H163" s="36" t="str">
        <x:v>ts-review-20260805T184254528647Z</x:v>
      </x:c>
      <x:c r="I163" s="36" t="str">
        <x:v>normalization-pipeline-v4</x:v>
      </x:c>
      <x:c r="J163" s="36" t="str">
        <x:v>provisional</x:v>
      </x:c>
      <x:c r="K163" s="39" t="n">
        <x:v>0.8</x:v>
      </x:c>
      <x:c r="L163" s="36" t="str">
        <x:v>Ford</x:v>
      </x:c>
      <x:c r="M163" s="36"/>
      <x:c r="N163" s="36" t="str">
        <x:v>estate</x:v>
      </x:c>
      <x:c r="O163" s="38" t="str">
        <x:v>["petrol"]</x:v>
      </x:c>
      <x:c r="P163" s="36" t="str">
        <x:v>manual</x:v>
      </x:c>
      <x:c r="Q163" s="36" t="n">
        <x:v>1997</x:v>
      </x:c>
      <x:c r="R163" s="38" t="str">
        <x:v>["DATE-REGISTRATION-V1","DATE-PRODUCTION-YEAR-V1","UNIT-POWER-KW-V1","TRN-001","BDY-103","FUEL-001"]</x:v>
      </x:c>
      <x:c r="S163" s="38" t="str">
        <x:v>["MFR-BRAND-PREFIX-FALLBACK"]</x:v>
      </x:c>
      <x:c r="T163" s="38" t="str">
        <x:v>[]</x:v>
      </x:c>
      <x:c r="U163" s="38" t="str">
        <x:v>{"market":["SE"],"power_kw":96,"manufacturer":"Ford","bodywork_form":"estate","energy_sources":["petrol"],"production_year":1997,"manufacturer_role":"vehicle_manufacturer","power_source_unit":"kw","registration_date":"1997-01-15","transmission_type":"manual","alias_types_present":["plate","vin"],"builder_converter_names":[],"production_date_precision":"model_year","bodywork_registry_label_sv":"Kombi"}</x:v>
      </x:c>
      <x:c r="V163" s="38" t="str">
        <x:v>{"manufacturer_confirmation":{"source_fields":["brand"],"canonical_name":"Ford"}}</x:v>
      </x:c>
      <x:c r="W1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MONDEO 2,0I GT","target":"normalized","rule_ids":["MFR-CLASSIFY-V1"],"sequence":3,"transformer_id":"ts.manufacturer","confidence_effect":0.2},{"after":"Ford","field":"manufacturer","before":"FORD MONDEO 2,0I GT","target":"normalized","rule_ids":["MFR-CLASSIFY-V1"],"sequence":4,"transformer_id":"ts.manufacturer","confidence_effect":0.2},{"after":"vehicle_manufacturer","field":"manufacturer_role","before":"FORD MONDEO 2,0I GT","target":"normalized","rule_ids":["MFR-CLASSIFY-V1"],"sequence":5,"transformer_id":"ts.manufacturer","confidence_effect":0.2},{"after":{"source_fields":["brand"],"canonical_name":"Ford"},"field":"manufacturer_confirmation","before":"FORD MONDEO 2,0I GT","target":"candidate","rule_ids":["MFR-BRAND-PREFIX-FALLBACK"],"sequence":6,"transformer_id":"ts.manufacturer","confidence_effect":0.05},{"after":"model_year","field":"production_date_precision","before":{"model_year":1997,"vehicle_year":1997,"registration_date":"19970115"},"target":"normalized","rule_ids":["DATE-REGISTRATION-V1","DATE-PRODUCTION-YEAR-V1"],"sequence":7,"transformer_id":"ts.dates","confidence_effect":0.1},{"after":1997,"field":"production_year","before":{"model_year":1997,"vehicle_year":1997,"registration_date":"19970115"},"target":"normalized","rule_ids":["DATE-REGISTRATION-V1","DATE-PRODUCTION-YEAR-V1"],"sequence":8,"transformer_id":"ts.dates","confidence_effect":0.1},{"after":"1997-01-15","field":"registration_date","before":{"model_year":1997,"vehicle_year":1997,"registration_date":"19970115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3" s="38" t="str">
        <x:v>{"candidates":{"manufacturer_confirmation":{"source_fields":["brand"],"canonical_name":"Ford"}},"confidence":0.8,"normalized":{"market":["SE"],"power_kw":96,"manufacturer":"Ford","bodywork_form":"estate","energy_sources":["petrol"],"production_year":1997,"manufacturer_role":"vehicle_manufacturer","power_source_unit":"kw","registration_date":"1997-01-15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MONDEO 2,0I GT","target":"normalized","rule_ids":["MFR-CLASSIFY-V1"],"sequence":3,"transformer_id":"ts.manufacturer","confidence_effect":0.2},{"after":"Ford","field":"manufacturer","before":"FORD MONDEO 2,0I GT","target":"normalized","rule_ids":["MFR-CLASSIFY-V1"],"sequence":4,"transformer_id":"ts.manufacturer","confidence_effect":0.2},{"after":"vehicle_manufacturer","field":"manufacturer_role","before":"FORD MONDEO 2,0I GT","target":"normalized","rule_ids":["MFR-CLASSIFY-V1"],"sequence":5,"transformer_id":"ts.manufacturer","confidence_effect":0.2},{"after":{"source_fields":["brand"],"canonical_name":"Ford"},"field":"manufacturer_confirmation","before":"FORD MONDEO 2,0I GT","target":"candidate","rule_ids":["MFR-BRAND-PREFIX-FALLBACK"],"sequence":6,"transformer_id":"ts.manufacturer","confidence_effect":0.05},{"after":"model_year","field":"production_date_precision","before":{"model_year":1997,"vehicle_year":1997,"registration_date":"19970115"},"target":"normalized","rule_ids":["DATE-REGISTRATION-V1","DATE-PRODUCTION-YEAR-V1"],"sequence":7,"transformer_id":"ts.dates","confidence_effect":0.1},{"after":1997,"field":"production_year","before":{"model_year":1997,"vehicle_year":1997,"registration_date":"19970115"},"target":"normalized","rule_ids":["DATE-REGISTRATION-V1","DATE-PRODUCTION-YEAR-V1"],"sequence":8,"transformer_id":"ts.dates","confidence_effect":0.1},{"after":"1997-01-15","field":"registration_date","before":{"model_year":1997,"vehicle_year":1997,"registration_date":"19970115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63" s="36" t="n">
        <x:v>46239.78067015046</x:v>
      </x:c>
      <x:c r="AA163" s="36" t="n">
        <x:v>46239.78067015046</x:v>
      </x:c>
    </x:row>
    <x:row r="164" ht="18" customHeight="1">
      <x:c r="A164" s="36" t="n">
        <x:v>2766</x:v>
      </x:c>
      <x:c r="B164" s="36" t="str">
        <x:v>2917148b-f137-5d0d-91ca-159e4184591f</x:v>
      </x:c>
      <x:c r="C164" s="36" t="str">
        <x:v>Transportstyrelsen</x:v>
      </x:c>
      <x:c r="D164" s="36" t="str">
        <x:v>normalization-review-passenger-250-v1-rules-20260805T184409855703Z</x:v>
      </x:c>
      <x:c r="E164" s="36" t="str">
        <x:v>staging.transportstyrelsen_raw</x:v>
      </x:c>
      <x:c r="F164" s="36" t="n">
        <x:v>2884</x:v>
      </x:c>
      <x:c r="G164" s="36" t="str">
        <x:v>ts-mapping-v1</x:v>
      </x:c>
      <x:c r="H164" s="36" t="str">
        <x:v>ts-review-20260805T184254528647Z</x:v>
      </x:c>
      <x:c r="I164" s="36" t="str">
        <x:v>normalization-pipeline-v4</x:v>
      </x:c>
      <x:c r="J164" s="36" t="str">
        <x:v>provisional</x:v>
      </x:c>
      <x:c r="K164" s="39" t="n">
        <x:v>0.8</x:v>
      </x:c>
      <x:c r="L164" s="36" t="str">
        <x:v>Volkswagen</x:v>
      </x:c>
      <x:c r="M164" s="36"/>
      <x:c r="N164" s="36" t="str">
        <x:v>covered_body</x:v>
      </x:c>
      <x:c r="O164" s="38" t="str">
        <x:v>["petrol"]</x:v>
      </x:c>
      <x:c r="P164" s="36" t="str">
        <x:v>manual</x:v>
      </x:c>
      <x:c r="Q164" s="36" t="n">
        <x:v>1967</x:v>
      </x:c>
      <x:c r="R164" s="38" t="str">
        <x:v>["DATE-REGISTRATION-V1","DATE-PRODUCTION-YEAR-V1","UNIT-POWER-KW-V1","TRN-001","BDY-102","FUEL-001"]</x:v>
      </x:c>
      <x:c r="S164" s="38" t="str">
        <x:v>["MFR-BRAND-PREFIX-FALLBACK"]</x:v>
      </x:c>
      <x:c r="T164" s="38" t="str">
        <x:v>[]</x:v>
      </x:c>
      <x:c r="U164" s="38" t="str">
        <x:v>{"market":["SE"],"power_kw":32,"manufacturer":"Volkswagen","bodywork_form":"covered_body","energy_sources":["petrol"],"production_year":1967,"manufacturer_role":"vehicle_manufacturer","power_source_unit":"kw","registration_date":"1967-04-10","transmission_type":"manual","alias_types_present":["plate","vin"],"builder_converter_names":[],"production_date_precision":"model_year","bodywork_registry_label_sv":"Täckt"}</x:v>
      </x:c>
      <x:c r="V164" s="38" t="str">
        <x:v>{"manufacturer_confirmation":{"source_fields":["brand"],"canonical_name":"Volkswagen"}}</x:v>
      </x:c>
      <x:c r="W1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19670410"},"target":"normalized","rule_ids":["DATE-REGISTRATION-V1","DATE-PRODUCTION-YEAR-V1"],"sequence":7,"transformer_id":"ts.dates","confidence_effect":0.1},{"after":1967,"field":"production_year","before":{"model_year":1967,"vehicle_year":1967,"registration_date":"19670410"},"target":"normalized","rule_ids":["DATE-REGISTRATION-V1","DATE-PRODUCTION-YEAR-V1"],"sequence":8,"transformer_id":"ts.dates","confidence_effect":0.1},{"after":"1967-04-10","field":"registration_date","before":{"model_year":1967,"vehicle_year":1967,"registration_date":"19670410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4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1967,"manufacturer_role":"vehicle_manufacturer","power_source_unit":"kw","registration_date":"1967-04-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19670410"},"target":"normalized","rule_ids":["DATE-REGISTRATION-V1","DATE-PRODUCTION-YEAR-V1"],"sequence":7,"transformer_id":"ts.dates","confidence_effect":0.1},{"after":1967,"field":"production_year","before":{"model_year":1967,"vehicle_year":1967,"registration_date":"19670410"},"target":"normalized","rule_ids":["DATE-REGISTRATION-V1","DATE-PRODUCTION-YEAR-V1"],"sequence":8,"transformer_id":"ts.dates","confidence_effect":0.1},{"after":"1967-04-10","field":"registration_date","before":{"model_year":1967,"vehicle_year":1967,"registration_date":"19670410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64" s="36" t="n">
        <x:v>46239.78067015046</x:v>
      </x:c>
      <x:c r="AA164" s="36" t="n">
        <x:v>46239.78067015046</x:v>
      </x:c>
    </x:row>
    <x:row r="165" ht="18" customHeight="1">
      <x:c r="A165" s="36" t="n">
        <x:v>2767</x:v>
      </x:c>
      <x:c r="B165" s="36" t="str">
        <x:v>4b5ae85a-1ff0-51d4-8f11-397a8ec6024d</x:v>
      </x:c>
      <x:c r="C165" s="36" t="str">
        <x:v>Transportstyrelsen</x:v>
      </x:c>
      <x:c r="D165" s="36" t="str">
        <x:v>normalization-review-passenger-250-v1-rules-20260805T184409855703Z</x:v>
      </x:c>
      <x:c r="E165" s="36" t="str">
        <x:v>staging.transportstyrelsen_raw</x:v>
      </x:c>
      <x:c r="F165" s="36" t="n">
        <x:v>2885</x:v>
      </x:c>
      <x:c r="G165" s="36" t="str">
        <x:v>ts-mapping-v1</x:v>
      </x:c>
      <x:c r="H165" s="36" t="str">
        <x:v>ts-review-20260805T184254528647Z</x:v>
      </x:c>
      <x:c r="I165" s="36" t="str">
        <x:v>normalization-pipeline-v4</x:v>
      </x:c>
      <x:c r="J165" s="36" t="str">
        <x:v>provisional</x:v>
      </x:c>
      <x:c r="K165" s="39" t="n">
        <x:v>0.8</x:v>
      </x:c>
      <x:c r="L165" s="36" t="str">
        <x:v>Škoda</x:v>
      </x:c>
      <x:c r="M165" s="36"/>
      <x:c r="N165" s="36" t="str">
        <x:v>covered_body</x:v>
      </x:c>
      <x:c r="O165" s="38" t="str">
        <x:v>["petrol"]</x:v>
      </x:c>
      <x:c r="P165" s="36" t="str">
        <x:v>manual</x:v>
      </x:c>
      <x:c r="Q165" s="36" t="n">
        <x:v>1997</x:v>
      </x:c>
      <x:c r="R165" s="38" t="str">
        <x:v>["DATE-REGISTRATION-V1","DATE-PRODUCTION-YEAR-V1","UNIT-POWER-KW-V1","TRN-001","BDY-102","FUEL-001"]</x:v>
      </x:c>
      <x:c r="S165" s="38" t="str">
        <x:v>["MFR-BRAND-PREFIX-FALLBACK","MFE-241A4A6B11D7C9"]</x:v>
      </x:c>
      <x:c r="T165" s="38" t="str">
        <x:v>[]</x:v>
      </x:c>
      <x:c r="U165" s="38" t="str">
        <x:v>{"market":["SE"],"power_kw":55,"manufacturer":"Škoda","bodywork_form":"covered_body","energy_sources":["petrol"],"production_year":1997,"manufacturer_role":"vehicle_manufacturer","power_source_unit":"kw","registration_date":"1997-04-05","transmission_type":"manual","alias_types_present":["plate","vin"],"builder_converter_names":[],"production_date_precision":"model_year","bodywork_registry_label_sv":"Täckt"}</x:v>
      </x:c>
      <x:c r="V165" s="38" t="str">
        <x:v>{"manufacturer_confirmation":{"source_fields":["brand"],"canonical_name":"Škoda"}}</x:v>
      </x:c>
      <x:c r="W1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COMBI 1,6","target":"normalized","rule_ids":["MFR-CLASSIFY-V1"],"sequence":3,"transformer_id":"ts.manufacturer","confidence_effect":0.2},{"after":"Škoda","field":"manufacturer","before":"SKODA FELICIA COMBI 1,6","target":"normalized","rule_ids":["MFR-CLASSIFY-V1"],"sequence":4,"transformer_id":"ts.manufacturer","confidence_effect":0.2},{"after":"vehicle_manufacturer","field":"manufacturer_role","before":"SKODA FELICIA COMBI 1,6","target":"normalized","rule_ids":["MFR-CLASSIFY-V1"],"sequence":5,"transformer_id":"ts.manufacturer","confidence_effect":0.2},{"after":{"source_fields":["brand"],"canonical_name":"Škoda"},"field":"manufacturer_confirmation","before":"SKODA FELICIA COMBI 1,6","target":"candidate","rule_ids":["MFR-BRAND-PREFIX-FALLBACK","MFE-241A4A6B11D7C9"],"sequence":6,"transformer_id":"ts.manufacturer","confidence_effect":0.05},{"after":"model_year","field":"production_date_precision","before":{"model_year":1997,"vehicle_year":1997,"registration_date":"19970405"},"target":"normalized","rule_ids":["DATE-REGISTRATION-V1","DATE-PRODUCTION-YEAR-V1"],"sequence":7,"transformer_id":"ts.dates","confidence_effect":0.1},{"after":1997,"field":"production_year","before":{"model_year":1997,"vehicle_year":1997,"registration_date":"19970405"},"target":"normalized","rule_ids":["DATE-REGISTRATION-V1","DATE-PRODUCTION-YEAR-V1"],"sequence":8,"transformer_id":"ts.dates","confidence_effect":0.1},{"after":"1997-04-05","field":"registration_date","before":{"model_year":1997,"vehicle_year":1997,"registration_date":"19970405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5" s="38" t="str">
        <x:v>{"candidates":{"manufacturer_confirmation":{"source_fields":["brand"],"canonical_name":"Škoda"}},"confidence":0.8,"normalized":{"market":["SE"],"power_kw":55,"manufacturer":"Škoda","bodywork_form":"covered_body","energy_sources":["petrol"],"production_year":1997,"manufacturer_role":"vehicle_manufacturer","power_source_unit":"kw","registration_date":"1997-04-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COMBI 1,6","target":"normalized","rule_ids":["MFR-CLASSIFY-V1"],"sequence":3,"transformer_id":"ts.manufacturer","confidence_effect":0.2},{"after":"Škoda","field":"manufacturer","before":"SKODA FELICIA COMBI 1,6","target":"normalized","rule_ids":["MFR-CLASSIFY-V1"],"sequence":4,"transformer_id":"ts.manufacturer","confidence_effect":0.2},{"after":"vehicle_manufacturer","field":"manufacturer_role","before":"SKODA FELICIA COMBI 1,6","target":"normalized","rule_ids":["MFR-CLASSIFY-V1"],"sequence":5,"transformer_id":"ts.manufacturer","confidence_effect":0.2},{"after":{"source_fields":["brand"],"canonical_name":"Škoda"},"field":"manufacturer_confirmation","before":"SKODA FELICIA COMBI 1,6","target":"candidate","rule_ids":["MFR-BRAND-PREFIX-FALLBACK","MFE-241A4A6B11D7C9"],"sequence":6,"transformer_id":"ts.manufacturer","confidence_effect":0.05},{"after":"model_year","field":"production_date_precision","before":{"model_year":1997,"vehicle_year":1997,"registration_date":"19970405"},"target":"normalized","rule_ids":["DATE-REGISTRATION-V1","DATE-PRODUCTION-YEAR-V1"],"sequence":7,"transformer_id":"ts.dates","confidence_effect":0.1},{"after":1997,"field":"production_year","before":{"model_year":1997,"vehicle_year":1997,"registration_date":"19970405"},"target":"normalized","rule_ids":["DATE-REGISTRATION-V1","DATE-PRODUCTION-YEAR-V1"],"sequence":8,"transformer_id":"ts.dates","confidence_effect":0.1},{"after":"1997-04-05","field":"registration_date","before":{"model_year":1997,"vehicle_year":1997,"registration_date":"19970405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-241A4A6B11D7C9"]}</x:v>
      </x:c>
      <x:c r="Z165" s="36" t="n">
        <x:v>46239.78067015046</x:v>
      </x:c>
      <x:c r="AA165" s="36" t="n">
        <x:v>46239.78067015046</x:v>
      </x:c>
    </x:row>
    <x:row r="166" ht="18" customHeight="1">
      <x:c r="A166" s="36" t="n">
        <x:v>2768</x:v>
      </x:c>
      <x:c r="B166" s="36" t="str">
        <x:v>47db35fd-54c2-5b5c-9bb0-d04e8c2b96b1</x:v>
      </x:c>
      <x:c r="C166" s="36" t="str">
        <x:v>Transportstyrelsen</x:v>
      </x:c>
      <x:c r="D166" s="36" t="str">
        <x:v>normalization-review-passenger-250-v1-rules-20260805T184409855703Z</x:v>
      </x:c>
      <x:c r="E166" s="36" t="str">
        <x:v>staging.transportstyrelsen_raw</x:v>
      </x:c>
      <x:c r="F166" s="36" t="n">
        <x:v>2886</x:v>
      </x:c>
      <x:c r="G166" s="36" t="str">
        <x:v>ts-mapping-v1</x:v>
      </x:c>
      <x:c r="H166" s="36" t="str">
        <x:v>ts-review-20260805T184254528647Z</x:v>
      </x:c>
      <x:c r="I166" s="36" t="str">
        <x:v>normalization-pipeline-v4</x:v>
      </x:c>
      <x:c r="J166" s="36" t="str">
        <x:v>provisional</x:v>
      </x:c>
      <x:c r="K166" s="39" t="n">
        <x:v>0.8</x:v>
      </x:c>
      <x:c r="L166" s="36" t="str">
        <x:v>Volvo</x:v>
      </x:c>
      <x:c r="M166" s="36" t="str">
        <x:v>V60</x:v>
      </x:c>
      <x:c r="N166" s="36" t="str">
        <x:v>estate</x:v>
      </x:c>
      <x:c r="O166" s="38" t="str">
        <x:v>["diesel"]</x:v>
      </x:c>
      <x:c r="P166" s="36" t="str">
        <x:v>manual</x:v>
      </x:c>
      <x:c r="Q166" s="36" t="n">
        <x:v>2011</x:v>
      </x:c>
      <x:c r="R166" s="38" t="str">
        <x:v>["MFR-BRAND-CONFIRMED","MFR-BRAND-MODEL","MFR-BRAND-VIN-WMI","DATE-REGISTRATION-V1","DATE-PRODUCTION-MONTH-V1","UNIT-POWER-KW-V1","UNIT-DISPLACEMENT-CCM-V1","TRN-001","BDY-110","FUEL-002"]</x:v>
      </x:c>
      <x:c r="S166" s="38" t="str">
        <x:v>[]</x:v>
      </x:c>
      <x:c r="T166" s="38" t="str">
        <x:v>[]</x:v>
      </x:c>
      <x:c r="U166" s="38" t="str">
        <x:v>{"market":["SE"],"power_kw":120,"manufacturer":"Volvo","bodywork_form":"estate","energy_sources":["diesel"],"displacement_cc":1984,"production_date":"2011-02","production_year":2011,"manufacturer_role":"vehicle_manufacturer","power_source_unit":"kw","registration_date":"2011-02-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66" s="38" t="str">
        <x:v>{"model_family":"V60"}</x:v>
      </x:c>
      <x:c r="W1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2011-02","field":"production_date","before":{"build_month":"201102","vehicle_year":2011,"registration_date":"20110225"},"target":"normalized","rule_ids":["DATE-REGISTRATION-V1","DATE-PRODUCTION-MONTH-V1"],"sequence":8,"transformer_id":"ts.dates","confidence_effect":0.1},{"after":"month","field":"production_date_precision","before":{"build_month":"201102","vehicle_year":2011,"registration_date":"20110225"},"target":"normalized","rule_ids":["DATE-REGISTRATION-V1","DATE-PRODUCTION-MONTH-V1"],"sequence":9,"transformer_id":"ts.dates","confidence_effect":0.1},{"after":2011,"field":"production_year","before":{"build_month":"201102","vehicle_year":2011,"registration_date":"20110225"},"target":"normalized","rule_ids":["DATE-REGISTRATION-V1","DATE-PRODUCTION-MONTH-V1"],"sequence":10,"transformer_id":"ts.dates","confidence_effect":0.1},{"after":"2011-02-25","field":"registration_date","before":{"build_month":"201102","vehicle_year":2011,"registration_date":"20110225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52","version":"FW5251??"},"target":"normalized","rule_ids":["TRN-001"],"sequence":16,"transformer_id":"ts.transmission","confidence_effect":0.1},{"after":"estate","field":"bodywork_form","before":{"model":"V60","variant":"FW52","version":"FW5251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52","version":"FW5251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52","version":"FW5251??"},"target":"normalized","rule_ids":["FUEL-002"],"sequence":19,"transformer_id":"ts.fuel","confidence_effect":0.0}]</x:v>
      </x:c>
      <x:c r="X16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6" s="38" t="str">
        <x:v>{"candidates":{"model_family":"V60"},"confidence":0.8,"normalized":{"market":["SE"],"power_kw":120,"manufacturer":"Volvo","bodywork_form":"estate","energy_sources":["diesel"],"displacement_cc":1984,"production_date":"2011-02","production_year":2011,"manufacturer_role":"vehicle_manufacturer","power_source_unit":"kw","registration_date":"2011-02-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2011-02","field":"production_date","before":{"build_month":"201102","vehicle_year":2011,"registration_date":"20110225"},"target":"normalized","rule_ids":["DATE-REGISTRATION-V1","DATE-PRODUCTION-MONTH-V1"],"sequence":8,"transformer_id":"ts.dates","confidence_effect":0.1},{"after":"month","field":"production_date_precision","before":{"build_month":"201102","vehicle_year":2011,"registration_date":"20110225"},"target":"normalized","rule_ids":["DATE-REGISTRATION-V1","DATE-PRODUCTION-MONTH-V1"],"sequence":9,"transformer_id":"ts.dates","confidence_effect":0.1},{"after":2011,"field":"production_year","before":{"build_month":"201102","vehicle_year":2011,"registration_date":"20110225"},"target":"normalized","rule_ids":["DATE-REGISTRATION-V1","DATE-PRODUCTION-MONTH-V1"],"sequence":10,"transformer_id":"ts.dates","confidence_effect":0.1},{"after":"2011-02-25","field":"registration_date","before":{"build_month":"201102","vehicle_year":2011,"registration_date":"20110225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52","version":"FW5251??"},"target":"normalized","rule_ids":["TRN-001"],"sequence":16,"transformer_id":"ts.transmission","confidence_effect":0.1},{"after":"estate","field":"bodywork_form","before":{"model":"V60","variant":"FW52","version":"FW5251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52","version":"FW5251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52","version":"FW5251??"},"target":"normalized","rule_ids":["FUEL-002"],"sequence":19,"transformer_id":"ts.fuel","confidence_effect":0.0}],"pipeline_version":"normalization-pipeline-v4","candidate_rule_ids":[]}</x:v>
      </x:c>
      <x:c r="Z166" s="36" t="n">
        <x:v>46239.78067015046</x:v>
      </x:c>
      <x:c r="AA166" s="36" t="n">
        <x:v>46239.78067015046</x:v>
      </x:c>
    </x:row>
    <x:row r="167" ht="18" customHeight="1">
      <x:c r="A167" s="36" t="n">
        <x:v>2769</x:v>
      </x:c>
      <x:c r="B167" s="36" t="str">
        <x:v>c126cbec-e4fd-5c51-9281-6a5d0a7ea822</x:v>
      </x:c>
      <x:c r="C167" s="36" t="str">
        <x:v>Transportstyrelsen</x:v>
      </x:c>
      <x:c r="D167" s="36" t="str">
        <x:v>normalization-review-passenger-250-v1-rules-20260805T184409855703Z</x:v>
      </x:c>
      <x:c r="E167" s="36" t="str">
        <x:v>staging.transportstyrelsen_raw</x:v>
      </x:c>
      <x:c r="F167" s="36" t="n">
        <x:v>2887</x:v>
      </x:c>
      <x:c r="G167" s="36" t="str">
        <x:v>ts-mapping-v1</x:v>
      </x:c>
      <x:c r="H167" s="36" t="str">
        <x:v>ts-review-20260805T184254528647Z</x:v>
      </x:c>
      <x:c r="I167" s="36" t="str">
        <x:v>normalization-pipeline-v4</x:v>
      </x:c>
      <x:c r="J167" s="36" t="str">
        <x:v>provisional</x:v>
      </x:c>
      <x:c r="K167" s="39" t="n">
        <x:v>0.8</x:v>
      </x:c>
      <x:c r="L167" s="36" t="str">
        <x:v>Volvo</x:v>
      </x:c>
      <x:c r="M167" s="36" t="str">
        <x:v>V40 CROSS COUNTRY</x:v>
      </x:c>
      <x:c r="N167" s="36" t="str">
        <x:v>multi_purpose_vehicle</x:v>
      </x:c>
      <x:c r="O167" s="38" t="str">
        <x:v>["diesel"]</x:v>
      </x:c>
      <x:c r="P167" s="36" t="str">
        <x:v>manual</x:v>
      </x:c>
      <x:c r="Q167" s="36" t="n">
        <x:v>2018</x:v>
      </x:c>
      <x:c r="R167" s="38" t="str">
        <x:v>["MFR-BRAND-CONFIRMED","MFR-BRAND-VIN-WMI","DATE-REGISTRATION-V1","DATE-PRODUCTION-MONTH-V1","UNIT-POWER-KW-V1","UNIT-DISPLACEMENT-CCM-V1","TRN-001","BDY-113","FUEL-002"]</x:v>
      </x:c>
      <x:c r="S167" s="38" t="str">
        <x:v>[]</x:v>
      </x:c>
      <x:c r="T167" s="38" t="str">
        <x:v>[]</x:v>
      </x:c>
      <x:c r="U167" s="38" t="str">
        <x:v>{"market":["SE"],"power_kw":88,"manufacturer":"Volvo","bodywork_form":"multi_purpose_vehicle","energy_sources":["diesel"],"displacement_cc":1969,"production_date":"2018-01","production_year":2018,"manufacturer_role":"vehicle_manufacturer","power_source_unit":"kw","registration_date":"2018-06-27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67" s="38" t="str">
        <x:v>{"model_family":"V40 CROSS COUNTRY"}</x:v>
      </x:c>
      <x:c r="W1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 CROSS COUNTRY","target":"normalized","rule_ids":["MODEL-CANDIDATE-V1"],"sequence":6,"transformer_id":"ts.model-family","confidence_effect":0.0},{"after":"V40 CROSS COUNTRY","field":"model_family","before":"V40 CROSS COUNTRY","target":"candidate","rule_ids":["MODEL-CANDIDATE-V1"],"sequence":7,"transformer_id":"ts.model-family","confidence_effect":0.05},{"after":"2018-01","field":"production_date","before":{"build_month":"201801","vehicle_year":2018,"registration_date":"20180627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20180627"},"target":"normalized","rule_ids":["DATE-REGISTRATION-V1","DATE-PRODUCTION-MONTH-V1"],"sequence":9,"transformer_id":"ts.dates","confidence_effect":0.1},{"after":2018,"field":"production_year","before":{"build_month":"201801","vehicle_year":2018,"registration_date":"20180627"},"target":"normalized","rule_ids":["DATE-REGISTRATION-V1","DATE-PRODUCTION-MONTH-V1"],"sequence":10,"transformer_id":"ts.dates","confidence_effect":0.1},{"after":"2018-06-27","field":"registration_date","before":{"build_month":"201801","vehicle_year":2018,"registration_date":"20180627"},"target":"normalized","rule_ids":["DATE-REGISTRATION-V1","DATE-PRODUCTION-MONTH-V1"],"sequence":11,"transformer_id":"ts.dates","confidence_effect":0.1},{"after":1969,"field":"displacement_cc","before":{"kw":88,"ccm":1969},"target":"normalized","rule_ids":["UNIT-POWER-KW-V1","UNIT-DISPLACEMENT-CCM-V1"],"sequence":12,"transformer_id":"ts.engine-measurements","confidence_effect":0.1},{"after":"ccm","field":"displacement_source_unit","before":{"kw":88,"ccm":1969},"target":"normalized","rule_ids":["UNIT-POWER-KW-V1","UNIT-DISPLACEMENT-CCM-V1"],"sequence":13,"transformer_id":"ts.engine-measurements","confidence_effect":0.1},{"after":88,"field":"power_kw","before":{"kw":88,"ccm":1969},"target":"normalized","rule_ids":["UNIT-POWER-KW-V1","UNIT-DISPLACEMENT-CCM-V1"],"sequence":14,"transformer_id":"ts.engine-measurements","confidence_effect":0.1},{"after":"kw","field":"power_source_unit","before":{"kw":88,"ccm":1969},"target":"normalized","rule_ids":["UNIT-POWER-KW-V1","UNIT-DISPLACEMENT-CCM-V1"],"sequence":15,"transformer_id":"ts.engine-measurements","confidence_effect":0.1},{"after":"manual","field":"transmission_type","before":{"model":"V40 CROSS COUNTRY","gearbox":"M","variant":"MZ74","version":"MZ74L1??"},"target":"normalized","rule_ids":["TRN-001"],"sequence":16,"transformer_id":"ts.transmission","confidence_effect":0.1},{"after":"multi_purpose_vehicle","field":"bodywork_form","before":{"model":"V40 CROSS COUNTRY","variant":"MZ74","version":"MZ74L1??","body_code":"AF","eu_category":"M1","vehicle_type":"PB"},"target":"normalized","rule_ids":["BDY-113"],"sequence":17,"transformer_id":"ts.bodywork","confidence_effect":0.1},{"after":"Fordon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 CROSS COUNTRY","variant":"MZ74","version":"MZ74L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 CROSS COUNTRY","variant":"MZ74","version":"MZ74L1??"},"target":"normalized","rule_ids":["FUEL-002"],"sequence":19,"transformer_id":"ts.fuel","confidence_effect":0.0}]</x:v>
      </x:c>
      <x:c r="X16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7" s="38" t="str">
        <x:v>{"candidates":{"model_family":"V40 CROSS COUNTRY"},"confidence":0.8,"normalized":{"market":["SE"],"power_kw":88,"manufacturer":"Volvo","bodywork_form":"multi_purpose_vehicle","energy_sources":["diesel"],"displacement_cc":1969,"production_date":"2018-01","production_year":2018,"manufacturer_role":"vehicle_manufacturer","power_source_unit":"kw","registration_date":"2018-06-27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 CROSS COUNTRY","target":"normalized","rule_ids":["MODEL-CANDIDATE-V1"],"sequence":6,"transformer_id":"ts.model-family","confidence_effect":0.0},{"after":"V40 CROSS COUNTRY","field":"model_family","before":"V40 CROSS COUNTRY","target":"candidate","rule_ids":["MODEL-CANDIDATE-V1"],"sequence":7,"transformer_id":"ts.model-family","confidence_effect":0.05},{"after":"2018-01","field":"production_date","before":{"build_month":"201801","vehicle_year":2018,"registration_date":"20180627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20180627"},"target":"normalized","rule_ids":["DATE-REGISTRATION-V1","DATE-PRODUCTION-MONTH-V1"],"sequence":9,"transformer_id":"ts.dates","confidence_effect":0.1},{"after":2018,"field":"production_year","before":{"build_month":"201801","vehicle_year":2018,"registration_date":"20180627"},"target":"normalized","rule_ids":["DATE-REGISTRATION-V1","DATE-PRODUCTION-MONTH-V1"],"sequence":10,"transformer_id":"ts.dates","confidence_effect":0.1},{"after":"2018-06-27","field":"registration_date","before":{"build_month":"201801","vehicle_year":2018,"registration_date":"20180627"},"target":"normalized","rule_ids":["DATE-REGISTRATION-V1","DATE-PRODUCTION-MONTH-V1"],"sequence":11,"transformer_id":"ts.dates","confidence_effect":0.1},{"after":1969,"field":"displacement_cc","before":{"kw":88,"ccm":1969},"target":"normalized","rule_ids":["UNIT-POWER-KW-V1","UNIT-DISPLACEMENT-CCM-V1"],"sequence":12,"transformer_id":"ts.engine-measurements","confidence_effect":0.1},{"after":"ccm","field":"displacement_source_unit","before":{"kw":88,"ccm":1969},"target":"normalized","rule_ids":["UNIT-POWER-KW-V1","UNIT-DISPLACEMENT-CCM-V1"],"sequence":13,"transformer_id":"ts.engine-measurements","confidence_effect":0.1},{"after":88,"field":"power_kw","before":{"kw":88,"ccm":1969},"target":"normalized","rule_ids":["UNIT-POWER-KW-V1","UNIT-DISPLACEMENT-CCM-V1"],"sequence":14,"transformer_id":"ts.engine-measurements","confidence_effect":0.1},{"after":"kw","field":"power_source_unit","before":{"kw":88,"ccm":1969},"target":"normalized","rule_ids":["UNIT-POWER-KW-V1","UNIT-DISPLACEMENT-CCM-V1"],"sequence":15,"transformer_id":"ts.engine-measurements","confidence_effect":0.1},{"after":"manual","field":"transmission_type","before":{"model":"V40 CROSS COUNTRY","gearbox":"M","variant":"MZ74","version":"MZ74L1??"},"target":"normalized","rule_ids":["TRN-001"],"sequence":16,"transformer_id":"ts.transmission","confidence_effect":0.1},{"after":"multi_purpose_vehicle","field":"bodywork_form","before":{"model":"V40 CROSS COUNTRY","variant":"MZ74","version":"MZ74L1??","body_code":"AF","eu_category":"M1","vehicle_type":"PB"},"target":"normalized","rule_ids":["BDY-113"],"sequence":17,"transformer_id":"ts.bodywork","confidence_effect":0.1},{"after":"Fordon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 CROSS COUNTRY","variant":"MZ74","version":"MZ74L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 CROSS COUNTRY","variant":"MZ74","version":"MZ74L1??"},"target":"normalized","rule_ids":["FUEL-002"],"sequence":19,"transformer_id":"ts.fuel","confidence_effect":0.0}],"pipeline_version":"normalization-pipeline-v4","candidate_rule_ids":[]}</x:v>
      </x:c>
      <x:c r="Z167" s="36" t="n">
        <x:v>46239.78067015046</x:v>
      </x:c>
      <x:c r="AA167" s="36" t="n">
        <x:v>46239.78067015046</x:v>
      </x:c>
    </x:row>
    <x:row r="168" ht="18" customHeight="1">
      <x:c r="A168" s="36" t="n">
        <x:v>2770</x:v>
      </x:c>
      <x:c r="B168" s="36" t="str">
        <x:v>56f56125-4f94-57b9-8908-86e3f14439f7</x:v>
      </x:c>
      <x:c r="C168" s="36" t="str">
        <x:v>Transportstyrelsen</x:v>
      </x:c>
      <x:c r="D168" s="36" t="str">
        <x:v>normalization-review-passenger-250-v1-rules-20260805T184409855703Z</x:v>
      </x:c>
      <x:c r="E168" s="36" t="str">
        <x:v>staging.transportstyrelsen_raw</x:v>
      </x:c>
      <x:c r="F168" s="36" t="n">
        <x:v>2888</x:v>
      </x:c>
      <x:c r="G168" s="36" t="str">
        <x:v>ts-mapping-v1</x:v>
      </x:c>
      <x:c r="H168" s="36" t="str">
        <x:v>ts-review-20260805T184254528647Z</x:v>
      </x:c>
      <x:c r="I168" s="36" t="str">
        <x:v>normalization-pipeline-v4</x:v>
      </x:c>
      <x:c r="J168" s="36" t="str">
        <x:v>provisional</x:v>
      </x:c>
      <x:c r="K168" s="39" t="n">
        <x:v>0.8</x:v>
      </x:c>
      <x:c r="L168" s="36" t="str">
        <x:v>Mercedes-Benz</x:v>
      </x:c>
      <x:c r="M168" s="36" t="str">
        <x:v>B 180</x:v>
      </x:c>
      <x:c r="N168" s="36" t="str">
        <x:v>estate</x:v>
      </x:c>
      <x:c r="O168" s="38" t="str">
        <x:v>["petrol"]</x:v>
      </x:c>
      <x:c r="P168" s="36"/>
      <x:c r="Q168" s="36" t="n">
        <x:v>2013</x:v>
      </x:c>
      <x:c r="R168" s="38" t="str">
        <x:v>["DATE-REGISTRATION-V1","DATE-PRODUCTION-MONTH-V1","UNIT-POWER-KW-V1","UNIT-DISPLACEMENT-CCM-V1","BDY-110","FUEL-001"]</x:v>
      </x:c>
      <x:c r="S168" s="38" t="str">
        <x:v>["MFR-BRAND-PREFIX-FALLBACK"]</x:v>
      </x:c>
      <x:c r="T168" s="38" t="str">
        <x:v>[]</x:v>
      </x:c>
      <x:c r="U168" s="38" t="str">
        <x:v>{"market":["SE"],"power_kw":90,"manufacturer":"Mercedes-Benz","bodywork_form":"estate","energy_sources":["petrol"],"displacement_cc":1595,"production_date":"2013-06","production_year":2013,"manufacturer_role":"vehicle_manufacturer","power_source_unit":"kw","registration_date":"2014-06-26","alias_types_present":["plate","vin","model_name"],"model_family_candidate":true,"builder_converter_names":[],"displacement_source_unit":"ccm","production_date_precision":"month","bodywork_registry_label_sv":"Stationsvagn (kombivagn)"}</x:v>
      </x:c>
      <x:c r="V168" s="38" t="str">
        <x:v>{"model_family":"B 180","manufacturer_confirmation":{"source_fields":["brand"],"canonical_name":"Mercedes-Benz"}}</x:v>
      </x:c>
      <x:c r="W1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246","target":"normalized","rule_ids":["MFR-CLASSIFY-V1"],"sequence":3,"transformer_id":"ts.manufacturer","confidence_effect":0.2},{"after":"Mercedes-Benz","field":"manufacturer","before":"MERCEDES-BENZ 246","target":"normalized","rule_ids":["MFR-CLASSIFY-V1"],"sequence":4,"transformer_id":"ts.manufacturer","confidence_effect":0.2},{"after":"vehicle_manufacturer","field":"manufacturer_role","before":"MERCEDES-BENZ 246","target":"normalized","rule_ids":["MFR-CLASSIFY-V1"],"sequence":5,"transformer_id":"ts.manufacturer","confidence_effect":0.2},{"after":{"source_fields":["brand"],"canonical_name":"Mercedes-Benz"},"field":"manufacturer_confirmation","before":"MERCEDES-BENZ 246","target":"candidate","rule_ids":["MFR-BRAND-PREFIX-FALLBACK"],"sequence":6,"transformer_id":"ts.manufacturer","confidence_effect":0.05},{"after":true,"field":"model_family_candidate","before":"B 180","target":"normalized","rule_ids":["MODEL-CANDIDATE-V1"],"sequence":7,"transformer_id":"ts.model-family","confidence_effect":0.0},{"after":"B 180","field":"model_family","before":"B 180","target":"candidate","rule_ids":["MODEL-CANDIDATE-V1"],"sequence":8,"transformer_id":"ts.model-family","confidence_effect":0.05},{"after":"2013-06","field":"production_date","before":{"build_month":"201306","vehicle_year":2013,"registration_date":"20140626"},"target":"normalized","rule_ids":["DATE-REGISTRATION-V1","DATE-PRODUCTION-MONTH-V1"],"sequence":9,"transformer_id":"ts.dates","confidence_effect":0.1},{"after":"month","field":"production_date_precision","before":{"build_month":"201306","vehicle_year":2013,"registration_date":"20140626"},"target":"normalized","rule_ids":["DATE-REGISTRATION-V1","DATE-PRODUCTION-MONTH-V1"],"sequence":10,"transformer_id":"ts.dates","confidence_effect":0.1},{"after":2013,"field":"production_year","before":{"build_month":"201306","vehicle_year":2013,"registration_date":"20140626"},"target":"normalized","rule_ids":["DATE-REGISTRATION-V1","DATE-PRODUCTION-MONTH-V1"],"sequence":11,"transformer_id":"ts.dates","confidence_effect":0.1},{"after":"2014-06-26","field":"registration_date","before":{"build_month":"201306","vehicle_year":2013,"registration_date":"20140626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B 180","variant":"M24GP2","version":"HZAAB500","body_code":"AC","eu_category":"M1","vehicle_type":"PB"},"target":"normalized","rule_ids":["BDY-110"],"sequence":17,"transformer_id":"ts.bodywork","confidence_effect":0.1},{"after":"Stationsvagn (kombivagn)","field":"bodywork_registry_label_sv","before":{"model":"B 180","variant":"M24GP2","version":"HZAAB500","body_code":"AC","eu_category":"M1","vehicle_type":"PB"},"target":"normalized","rule_ids":["BDY-110"],"sequence":18,"transformer_id":"ts.bodywork","confidence_effect":0.1},{"after":["petrol"],"field":"energy_sources","before":{"fuel1":"1","fuel2":"0","fuel3":"0","model":"B 180","variant":"M24GP2","version":"HZAAB500"},"target":"normalized","rule_ids":["FUEL-001"],"sequence":19,"transformer_id":"ts.fuel","confidence_effect":0.0}]</x:v>
      </x:c>
      <x:c r="X168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8" s="38" t="str">
        <x:v>{"candidates":{"model_family":"B 180","manufacturer_confirmation":{"source_fields":["brand"],"canonical_name":"Mercedes-Benz"}},"confidence":0.8,"normalized":{"market":["SE"],"power_kw":90,"manufacturer":"Mercedes-Benz","bodywork_form":"estate","energy_sources":["petrol"],"displacement_cc":1595,"production_date":"2013-06","production_year":2013,"manufacturer_role":"vehicle_manufacturer","power_source_unit":"kw","registration_date":"2014-06-26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246","target":"normalized","rule_ids":["MFR-CLASSIFY-V1"],"sequence":3,"transformer_id":"ts.manufacturer","confidence_effect":0.2},{"after":"Mercedes-Benz","field":"manufacturer","before":"MERCEDES-BENZ 246","target":"normalized","rule_ids":["MFR-CLASSIFY-V1"],"sequence":4,"transformer_id":"ts.manufacturer","confidence_effect":0.2},{"after":"vehicle_manufacturer","field":"manufacturer_role","before":"MERCEDES-BENZ 246","target":"normalized","rule_ids":["MFR-CLASSIFY-V1"],"sequence":5,"transformer_id":"ts.manufacturer","confidence_effect":0.2},{"after":{"source_fields":["brand"],"canonical_name":"Mercedes-Benz"},"field":"manufacturer_confirmation","before":"MERCEDES-BENZ 246","target":"candidate","rule_ids":["MFR-BRAND-PREFIX-FALLBACK"],"sequence":6,"transformer_id":"ts.manufacturer","confidence_effect":0.05},{"after":true,"field":"model_family_candidate","before":"B 180","target":"normalized","rule_ids":["MODEL-CANDIDATE-V1"],"sequence":7,"transformer_id":"ts.model-family","confidence_effect":0.0},{"after":"B 180","field":"model_family","before":"B 180","target":"candidate","rule_ids":["MODEL-CANDIDATE-V1"],"sequence":8,"transformer_id":"ts.model-family","confidence_effect":0.05},{"after":"2013-06","field":"production_date","before":{"build_month":"201306","vehicle_year":2013,"registration_date":"20140626"},"target":"normalized","rule_ids":["DATE-REGISTRATION-V1","DATE-PRODUCTION-MONTH-V1"],"sequence":9,"transformer_id":"ts.dates","confidence_effect":0.1},{"after":"month","field":"production_date_precision","before":{"build_month":"201306","vehicle_year":2013,"registration_date":"20140626"},"target":"normalized","rule_ids":["DATE-REGISTRATION-V1","DATE-PRODUCTION-MONTH-V1"],"sequence":10,"transformer_id":"ts.dates","confidence_effect":0.1},{"after":2013,"field":"production_year","before":{"build_month":"201306","vehicle_year":2013,"registration_date":"20140626"},"target":"normalized","rule_ids":["DATE-REGISTRATION-V1","DATE-PRODUCTION-MONTH-V1"],"sequence":11,"transformer_id":"ts.dates","confidence_effect":0.1},{"after":"2014-06-26","field":"registration_date","before":{"build_month":"201306","vehicle_year":2013,"registration_date":"20140626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B 180","variant":"M24GP2","version":"HZAAB500","body_code":"AC","eu_category":"M1","vehicle_type":"PB"},"target":"normalized","rule_ids":["BDY-110"],"sequence":17,"transformer_id":"ts.bodywork","confidence_effect":0.1},{"after":"Stationsvagn (kombivagn)","field":"bodywork_registry_label_sv","before":{"model":"B 180","variant":"M24GP2","version":"HZAAB500","body_code":"AC","eu_category":"M1","vehicle_type":"PB"},"target":"normalized","rule_ids":["BDY-110"],"sequence":18,"transformer_id":"ts.bodywork","confidence_effect":0.1},{"after":["petrol"],"field":"energy_sources","before":{"fuel1":"1","fuel2":"0","fuel3":"0","model":"B 180","variant":"M24GP2","version":"HZAAB500"},"target":"normalized","rule_ids":["FUEL-001"],"sequence":19,"transformer_id":"ts.fuel","confidence_effect":0.0}],"pipeline_version":"normalization-pipeline-v4","candidate_rule_ids":["MFR-BRAND-PREFIX-FALLBACK"]}</x:v>
      </x:c>
      <x:c r="Z168" s="36" t="n">
        <x:v>46239.78067015046</x:v>
      </x:c>
      <x:c r="AA168" s="36" t="n">
        <x:v>46239.78067015046</x:v>
      </x:c>
    </x:row>
    <x:row r="169" ht="18" customHeight="1">
      <x:c r="A169" s="36" t="n">
        <x:v>2771</x:v>
      </x:c>
      <x:c r="B169" s="36" t="str">
        <x:v>cbda25a9-8fa1-5cc9-855c-361eb6d19a6d</x:v>
      </x:c>
      <x:c r="C169" s="36" t="str">
        <x:v>Transportstyrelsen</x:v>
      </x:c>
      <x:c r="D169" s="36" t="str">
        <x:v>normalization-review-passenger-250-v1-rules-20260805T184409855703Z</x:v>
      </x:c>
      <x:c r="E169" s="36" t="str">
        <x:v>staging.transportstyrelsen_raw</x:v>
      </x:c>
      <x:c r="F169" s="36" t="n">
        <x:v>2889</x:v>
      </x:c>
      <x:c r="G169" s="36" t="str">
        <x:v>ts-mapping-v1</x:v>
      </x:c>
      <x:c r="H169" s="36" t="str">
        <x:v>ts-review-20260805T184254528647Z</x:v>
      </x:c>
      <x:c r="I169" s="36" t="str">
        <x:v>normalization-pipeline-v4</x:v>
      </x:c>
      <x:c r="J169" s="36" t="str">
        <x:v>resolved</x:v>
      </x:c>
      <x:c r="K169" s="39" t="n">
        <x:v>0.95</x:v>
      </x:c>
      <x:c r="L169" s="36" t="str">
        <x:v>Mercedes-Benz</x:v>
      </x:c>
      <x:c r="M169" s="36"/>
      <x:c r="N169" s="36" t="str">
        <x:v>open_body</x:v>
      </x:c>
      <x:c r="O169" s="38" t="str">
        <x:v>["petrol"]</x:v>
      </x:c>
      <x:c r="P169" s="36" t="str">
        <x:v>automatic</x:v>
      </x:c>
      <x:c r="Q169" s="36" t="n">
        <x:v>2003</x:v>
      </x:c>
      <x:c r="R169" s="38" t="str">
        <x:v>["MFR-BRAND-CONFIRMED","MFR-BRAND-VIN-WMI","DATE-REGISTRATION-V1","DATE-PRODUCTION-YEAR-V1","UNIT-POWER-KW-V1","TRN-002","BDY-116","FUEL-001"]</x:v>
      </x:c>
      <x:c r="S169" s="38" t="str">
        <x:v>[]</x:v>
      </x:c>
      <x:c r="T169" s="38" t="str">
        <x:v>[]</x:v>
      </x:c>
      <x:c r="U169" s="38" t="str">
        <x:v>{"market":["SE"],"power_kw":125,"manufacturer":"Mercedes-Benz","bodywork_form":"open_body","energy_sources":["petrol"],"production_year":2003,"manufacturer_role":"vehicle_manufacturer","power_source_unit":"kw","registration_date":"2007-07-13","transmission_type":"automatic","alias_types_present":["plate","vin"],"builder_converter_names":[],"production_date_precision":"vehicle_year","bodywork_registry_label_sv":"Öppet"}</x:v>
      </x:c>
      <x:c r="V169" s="38" t="str">
        <x:v>{}</x:v>
      </x:c>
      <x:c r="W1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CLK 240","target":"normalized","rule_ids":["MFR-BRAND-CONFIRMED","MFR-BRAND-VIN-WMI"],"sequence":3,"transformer_id":"ts.manufacturer","confidence_effect":0.2},{"after":"Mercedes-Benz","field":"manufacturer","before":"MERCEDES-BENZ CLK 240","target":"normalized","rule_ids":["MFR-BRAND-CONFIRMED","MFR-BRAND-VIN-WMI"],"sequence":4,"transformer_id":"ts.manufacturer","confidence_effect":0.2},{"after":"vehicle_manufacturer","field":"manufacturer_role","before":"MERCEDES-BENZ CLK 240","target":"normalized","rule_ids":["MFR-BRAND-CONFIRMED","MFR-BRAND-VIN-WMI"],"sequence":5,"transformer_id":"ts.manufacturer","confidence_effect":0.2},{"after":"vehicle_year","field":"production_date_precision","before":{"vehicle_year":2003,"registration_date":"20070713"},"target":"normalized","rule_ids":["DATE-REGISTRATION-V1","DATE-PRODUCTION-YEAR-V1"],"sequence":6,"transformer_id":"ts.dates","confidence_effect":0.1},{"after":2003,"field":"production_year","before":{"vehicle_year":2003,"registration_date":"20070713"},"target":"normalized","rule_ids":["DATE-REGISTRATION-V1","DATE-PRODUCTION-YEAR-V1"],"sequence":7,"transformer_id":"ts.dates","confidence_effect":0.1},{"after":"2007-07-13","field":"registration_date","before":{"vehicle_year":2003,"registration_date":"20070713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69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9" s="38" t="str">
        <x:v>{"candidates":{},"confidence":0.95,"normalized":{"market":["SE"],"power_kw":125,"manufacturer":"Mercedes-Benz","bodywork_form":"open_body","energy_sources":["petrol"],"production_year":2003,"manufacturer_role":"vehicle_manufacturer","power_source_unit":"kw","registration_date":"2007-07-13","transmission_type":"automatic","alias_types_present":["plate","vin"],"builder_converter_names":[],"production_date_precision":"vehicle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CLK 240","target":"normalized","rule_ids":["MFR-BRAND-CONFIRMED","MFR-BRAND-VIN-WMI"],"sequence":3,"transformer_id":"ts.manufacturer","confidence_effect":0.2},{"after":"Mercedes-Benz","field":"manufacturer","before":"MERCEDES-BENZ CLK 240","target":"normalized","rule_ids":["MFR-BRAND-CONFIRMED","MFR-BRAND-VIN-WMI"],"sequence":4,"transformer_id":"ts.manufacturer","confidence_effect":0.2},{"after":"vehicle_manufacturer","field":"manufacturer_role","before":"MERCEDES-BENZ CLK 240","target":"normalized","rule_ids":["MFR-BRAND-CONFIRMED","MFR-BRAND-VIN-WMI"],"sequence":5,"transformer_id":"ts.manufacturer","confidence_effect":0.2},{"after":"vehicle_year","field":"production_date_precision","before":{"vehicle_year":2003,"registration_date":"20070713"},"target":"normalized","rule_ids":["DATE-REGISTRATION-V1","DATE-PRODUCTION-YEAR-V1"],"sequence":6,"transformer_id":"ts.dates","confidence_effect":0.1},{"after":2003,"field":"production_year","before":{"vehicle_year":2003,"registration_date":"20070713"},"target":"normalized","rule_ids":["DATE-REGISTRATION-V1","DATE-PRODUCTION-YEAR-V1"],"sequence":7,"transformer_id":"ts.dates","confidence_effect":0.1},{"after":"2007-07-13","field":"registration_date","before":{"vehicle_year":2003,"registration_date":"20070713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69" s="36" t="n">
        <x:v>46239.78067015046</x:v>
      </x:c>
      <x:c r="AA169" s="36" t="n">
        <x:v>46239.78067015046</x:v>
      </x:c>
    </x:row>
    <x:row r="170" ht="18" customHeight="1">
      <x:c r="A170" s="36" t="n">
        <x:v>2772</x:v>
      </x:c>
      <x:c r="B170" s="36" t="str">
        <x:v>d1823c37-5740-541f-a7f4-46a6f4dbd326</x:v>
      </x:c>
      <x:c r="C170" s="36" t="str">
        <x:v>Transportstyrelsen</x:v>
      </x:c>
      <x:c r="D170" s="36" t="str">
        <x:v>normalization-review-passenger-250-v1-rules-20260805T184409855703Z</x:v>
      </x:c>
      <x:c r="E170" s="36" t="str">
        <x:v>staging.transportstyrelsen_raw</x:v>
      </x:c>
      <x:c r="F170" s="36" t="n">
        <x:v>2890</x:v>
      </x:c>
      <x:c r="G170" s="36" t="str">
        <x:v>ts-mapping-v1</x:v>
      </x:c>
      <x:c r="H170" s="36" t="str">
        <x:v>ts-review-20260805T184254528647Z</x:v>
      </x:c>
      <x:c r="I170" s="36" t="str">
        <x:v>normalization-pipeline-v4</x:v>
      </x:c>
      <x:c r="J170" s="36" t="str">
        <x:v>provisional</x:v>
      </x:c>
      <x:c r="K170" s="39" t="n">
        <x:v>0.8</x:v>
      </x:c>
      <x:c r="L170" s="36" t="str">
        <x:v>Volkswagen</x:v>
      </x:c>
      <x:c r="M170" s="36"/>
      <x:c r="N170" s="36" t="str">
        <x:v>covered_body</x:v>
      </x:c>
      <x:c r="O170" s="38" t="str">
        <x:v>["petrol"]</x:v>
      </x:c>
      <x:c r="P170" s="36" t="str">
        <x:v>manual</x:v>
      </x:c>
      <x:c r="Q170" s="36" t="n">
        <x:v>1965</x:v>
      </x:c>
      <x:c r="R170" s="38" t="str">
        <x:v>["DATE-REGISTRATION-V1","DATE-PRODUCTION-YEAR-V1","UNIT-POWER-KW-V1","TRN-001","BDY-102","FUEL-001"]</x:v>
      </x:c>
      <x:c r="S170" s="38" t="str">
        <x:v>["MFR-BRAND-PREFIX-FALLBACK"]</x:v>
      </x:c>
      <x:c r="T170" s="38" t="str">
        <x:v>[]</x:v>
      </x:c>
      <x:c r="U170" s="38" t="str">
        <x:v>{"market":["SE"],"power_kw":25,"manufacturer":"Volkswagen","bodywork_form":"covered_body","energy_sources":["petrol"],"production_year":1965,"manufacturer_role":"vehicle_manufacturer","power_source_unit":"kw","registration_date":"1965-06-23","transmission_type":"manual","alias_types_present":["plate","vin"],"builder_converter_names":[],"production_date_precision":"model_year","bodywork_registry_label_sv":"Täckt"}</x:v>
      </x:c>
      <x:c r="V170" s="38" t="str">
        <x:v>{"manufacturer_confirmation":{"source_fields":["brand"],"canonical_name":"Volkswagen"}}</x:v>
      </x:c>
      <x:c r="W1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19650623"},"target":"normalized","rule_ids":["DATE-REGISTRATION-V1","DATE-PRODUCTION-YEAR-V1"],"sequence":7,"transformer_id":"ts.dates","confidence_effect":0.1},{"after":1965,"field":"production_year","before":{"model_year":1965,"vehicle_year":1965,"registration_date":"19650623"},"target":"normalized","rule_ids":["DATE-REGISTRATION-V1","DATE-PRODUCTION-YEAR-V1"],"sequence":8,"transformer_id":"ts.dates","confidence_effect":0.1},{"after":"1965-06-23","field":"registration_date","before":{"model_year":1965,"vehicle_year":1965,"registration_date":"19650623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0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1965,"manufacturer_role":"vehicle_manufacturer","power_source_unit":"kw","registration_date":"1965-06-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19650623"},"target":"normalized","rule_ids":["DATE-REGISTRATION-V1","DATE-PRODUCTION-YEAR-V1"],"sequence":7,"transformer_id":"ts.dates","confidence_effect":0.1},{"after":1965,"field":"production_year","before":{"model_year":1965,"vehicle_year":1965,"registration_date":"19650623"},"target":"normalized","rule_ids":["DATE-REGISTRATION-V1","DATE-PRODUCTION-YEAR-V1"],"sequence":8,"transformer_id":"ts.dates","confidence_effect":0.1},{"after":"1965-06-23","field":"registration_date","before":{"model_year":1965,"vehicle_year":1965,"registration_date":"19650623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70" s="36" t="n">
        <x:v>46239.78067015046</x:v>
      </x:c>
      <x:c r="AA170" s="36" t="n">
        <x:v>46239.78067015046</x:v>
      </x:c>
    </x:row>
    <x:row r="171" ht="18" customHeight="1">
      <x:c r="A171" s="36" t="n">
        <x:v>2773</x:v>
      </x:c>
      <x:c r="B171" s="36" t="str">
        <x:v>280aed51-244c-51bb-a249-2a041cc00a31</x:v>
      </x:c>
      <x:c r="C171" s="36" t="str">
        <x:v>Transportstyrelsen</x:v>
      </x:c>
      <x:c r="D171" s="36" t="str">
        <x:v>normalization-review-passenger-250-v1-rules-20260805T184409855703Z</x:v>
      </x:c>
      <x:c r="E171" s="36" t="str">
        <x:v>staging.transportstyrelsen_raw</x:v>
      </x:c>
      <x:c r="F171" s="36" t="n">
        <x:v>2891</x:v>
      </x:c>
      <x:c r="G171" s="36" t="str">
        <x:v>ts-mapping-v1</x:v>
      </x:c>
      <x:c r="H171" s="36" t="str">
        <x:v>ts-review-20260805T184254528647Z</x:v>
      </x:c>
      <x:c r="I171" s="36" t="str">
        <x:v>normalization-pipeline-v4</x:v>
      </x:c>
      <x:c r="J171" s="36" t="str">
        <x:v>provisional</x:v>
      </x:c>
      <x:c r="K171" s="39" t="n">
        <x:v>0.8</x:v>
      </x:c>
      <x:c r="L171" s="36" t="str">
        <x:v>Toyota</x:v>
      </x:c>
      <x:c r="M171" s="36" t="str">
        <x:v>TOYOTA AVENSIS</x:v>
      </x:c>
      <x:c r="N171" s="36" t="str">
        <x:v>multi_purpose_vehicle</x:v>
      </x:c>
      <x:c r="O171" s="38" t="str">
        <x:v>["diesel"]</x:v>
      </x:c>
      <x:c r="P171" s="36" t="str">
        <x:v>manual</x:v>
      </x:c>
      <x:c r="Q171" s="36" t="n">
        <x:v>2011</x:v>
      </x:c>
      <x:c r="R171" s="38" t="str">
        <x:v>["DATE-REGISTRATION-V1","DATE-PRODUCTION-MONTH-V1","UNIT-POWER-KW-V1","UNIT-DISPLACEMENT-CCM-V1","TRN-001","BDY-113","FUEL-002"]</x:v>
      </x:c>
      <x:c r="S171" s="38" t="str">
        <x:v>["MFR-BRAND-PREFIX-FALLBACK"]</x:v>
      </x:c>
      <x:c r="T171" s="38" t="str">
        <x:v>[]</x:v>
      </x:c>
      <x:c r="U171" s="38" t="str">
        <x:v>{"market":["SE"],"power_kw":93,"manufacturer":"Toyota","bodywork_form":"multi_purpose_vehicle","energy_sources":["diesel"],"displacement_cc":1998,"production_date":"2011-01","production_year":2011,"manufacturer_role":"vehicle_manufacturer","power_source_unit":"kw","registration_date":"2011-04-15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71" s="38" t="str">
        <x:v>{"model_family":"TOYOTA AVENSIS","manufacturer_confirmation":{"source_fields":["brand"],"canonical_name":"Toyota"}}</x:v>
      </x:c>
      <x:c r="W1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2011-01","field":"production_date","before":{"build_month":"201101","vehicle_year":2011,"registration_date":"20110415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20110415"},"target":"normalized","rule_ids":["DATE-REGISTRATION-V1","DATE-PRODUCTION-MONTH-V1"],"sequence":10,"transformer_id":"ts.dates","confidence_effect":0.1},{"after":2011,"field":"production_year","before":{"build_month":"201101","vehicle_year":2011,"registration_date":"20110415"},"target":"normalized","rule_ids":["DATE-REGISTRATION-V1","DATE-PRODUCTION-MONTH-V1"],"sequence":11,"transformer_id":"ts.dates","confidence_effect":0.1},{"after":"2011-04-15","field":"registration_date","before":{"build_month":"201101","vehicle_year":2011,"registration_date":"20110415"},"target":"normalized","rule_ids":["DATE-REGISTRATION-V1","DATE-PRODUCTION-MONTH-V1"],"sequence":12,"transformer_id":"ts.dates","confidence_effect":0.1},{"after":1998,"field":"displacement_cc","before":{"kw":93,"ccm":1998},"target":"normalized","rule_ids":["UNIT-POWER-KW-V1","UNIT-DISPLACEMENT-CCM-V1"],"sequence":13,"transformer_id":"ts.engine-measurements","confidence_effect":0.1},{"after":"ccm","field":"displacement_source_unit","before":{"kw":93,"ccm":1998},"target":"normalized","rule_ids":["UNIT-POWER-KW-V1","UNIT-DISPLACEMENT-CCM-V1"],"sequence":14,"transformer_id":"ts.engine-measurements","confidence_effect":0.1},{"after":93,"field":"power_kw","before":{"kw":93,"ccm":1998},"target":"normalized","rule_ids":["UNIT-POWER-KW-V1","UNIT-DISPLACEMENT-CCM-V1"],"sequence":15,"transformer_id":"ts.engine-measurements","confidence_effect":0.1},{"after":"kw","field":"power_source_unit","before":{"kw":93,"ccm":1998},"target":"normalized","rule_ids":["UNIT-POWER-KW-V1","UNIT-DISPLACEMENT-CCM-V1"],"sequence":16,"transformer_id":"ts.engine-measurements","confidence_effect":0.1},{"after":"manual","field":"transmission_type","before":{"model":"TOYOTA AVENSIS","gearbox":"M","variant":"ADT270(W)","version":"ADT270L-AWFEYW(1E)"},"target":"normalized","rule_ids":["TRN-001"],"sequence":17,"transformer_id":"ts.transmission","confidence_effect":0.1},{"after":"multi_purpose_vehicle","field":"bodywork_form","before":{"model":"TOYOTA AVENSIS","variant":"ADT270(W)","version":"ADT270L-AWFEYW(1E)","body_code":"AF","eu_category":"M1","vehicle_type":"PB"},"target":"normalized","rule_ids":["BDY-113"],"sequence":18,"transformer_id":"ts.bodywork","confidence_effect":0.1},{"after":"Fordon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ADT270(W)","version":"ADT270L-AWFEYW(1E)","body_code":"AF","eu_category":"M1","vehicle_type":"PB"},"target":"normalized","rule_ids":["BDY-113"],"sequence":19,"transformer_id":"ts.bodywork","confidence_effect":0.1},{"after":["diesel"],"field":"energy_sources","before":{"fuel1":"2","fuel2":"0","fuel3":"0","model":"TOYOTA AVENSIS","variant":"ADT270(W)","version":"ADT270L-AWFEYW(1E)"},"target":"normalized","rule_ids":["FUEL-002"],"sequence":20,"transformer_id":"ts.fuel","confidence_effect":0.0}]</x:v>
      </x:c>
      <x:c r="X17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1" s="38" t="str">
        <x:v>{"candidates":{"model_family":"TOYOTA AVENSIS","manufacturer_confirmation":{"source_fields":["brand"],"canonical_name":"Toyota"}},"confidence":0.8,"normalized":{"market":["SE"],"power_kw":93,"manufacturer":"Toyota","bodywork_form":"multi_purpose_vehicle","energy_sources":["diesel"],"displacement_cc":1998,"production_date":"2011-01","production_year":2011,"manufacturer_role":"vehicle_manufacturer","power_source_unit":"kw","registration_date":"2011-04-15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2011-01","field":"production_date","before":{"build_month":"201101","vehicle_year":2011,"registration_date":"20110415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20110415"},"target":"normalized","rule_ids":["DATE-REGISTRATION-V1","DATE-PRODUCTION-MONTH-V1"],"sequence":10,"transformer_id":"ts.dates","confidence_effect":0.1},{"after":2011,"field":"production_year","before":{"build_month":"201101","vehicle_year":2011,"registration_date":"20110415"},"target":"normalized","rule_ids":["DATE-REGISTRATION-V1","DATE-PRODUCTION-MONTH-V1"],"sequence":11,"transformer_id":"ts.dates","confidence_effect":0.1},{"after":"2011-04-15","field":"registration_date","before":{"build_month":"201101","vehicle_year":2011,"registration_date":"20110415"},"target":"normalized","rule_ids":["DATE-REGISTRATION-V1","DATE-PRODUCTION-MONTH-V1"],"sequence":12,"transformer_id":"ts.dates","confidence_effect":0.1},{"after":1998,"field":"displacement_cc","before":{"kw":93,"ccm":1998},"target":"normalized","rule_ids":["UNIT-POWER-KW-V1","UNIT-DISPLACEMENT-CCM-V1"],"sequence":13,"transformer_id":"ts.engine-measurements","confidence_effect":0.1},{"after":"ccm","field":"displacement_source_unit","before":{"kw":93,"ccm":1998},"target":"normalized","rule_ids":["UNIT-POWER-KW-V1","UNIT-DISPLACEMENT-CCM-V1"],"sequence":14,"transformer_id":"ts.engine-measurements","confidence_effect":0.1},{"after":93,"field":"power_kw","before":{"kw":93,"ccm":1998},"target":"normalized","rule_ids":["UNIT-POWER-KW-V1","UNIT-DISPLACEMENT-CCM-V1"],"sequence":15,"transformer_id":"ts.engine-measurements","confidence_effect":0.1},{"after":"kw","field":"power_source_unit","before":{"kw":93,"ccm":1998},"target":"normalized","rule_ids":["UNIT-POWER-KW-V1","UNIT-DISPLACEMENT-CCM-V1"],"sequence":16,"transformer_id":"ts.engine-measurements","confidence_effect":0.1},{"after":"manual","field":"transmission_type","before":{"model":"TOYOTA AVENSIS","gearbox":"M","variant":"ADT270(W)","version":"ADT270L-AWFEYW(1E)"},"target":"normalized","rule_ids":["TRN-001"],"sequence":17,"transformer_id":"ts.transmission","confidence_effect":0.1},{"after":"multi_purpose_vehicle","field":"bodywork_form","before":{"model":"TOYOTA AVENSIS","variant":"ADT270(W)","version":"ADT270L-AWFEYW(1E)","body_code":"AF","eu_category":"M1","vehicle_type":"PB"},"target":"normalized","rule_ids":["BDY-113"],"sequence":18,"transformer_id":"ts.bodywork","confidence_effect":0.1},{"after":"Fordon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ADT270(W)","version":"ADT270L-AWFEYW(1E)","body_code":"AF","eu_category":"M1","vehicle_type":"PB"},"target":"normalized","rule_ids":["BDY-113"],"sequence":19,"transformer_id":"ts.bodywork","confidence_effect":0.1},{"after":["diesel"],"field":"energy_sources","before":{"fuel1":"2","fuel2":"0","fuel3":"0","model":"TOYOTA AVENSIS","variant":"ADT270(W)","version":"ADT270L-AWFEYW(1E)"},"target":"normalized","rule_ids":["FUEL-002"],"sequence":20,"transformer_id":"ts.fuel","confidence_effect":0.0}],"pipeline_version":"normalization-pipeline-v4","candidate_rule_ids":["MFR-BRAND-PREFIX-FALLBACK"]}</x:v>
      </x:c>
      <x:c r="Z171" s="36" t="n">
        <x:v>46239.78067015046</x:v>
      </x:c>
      <x:c r="AA171" s="36" t="n">
        <x:v>46239.78067015046</x:v>
      </x:c>
    </x:row>
    <x:row r="172" ht="18" customHeight="1">
      <x:c r="A172" s="36" t="n">
        <x:v>2774</x:v>
      </x:c>
      <x:c r="B172" s="36" t="str">
        <x:v>06660b52-ff53-5498-92e8-ca7e4989c5cf</x:v>
      </x:c>
      <x:c r="C172" s="36" t="str">
        <x:v>Transportstyrelsen</x:v>
      </x:c>
      <x:c r="D172" s="36" t="str">
        <x:v>normalization-review-passenger-250-v1-rules-20260805T184409855703Z</x:v>
      </x:c>
      <x:c r="E172" s="36" t="str">
        <x:v>staging.transportstyrelsen_raw</x:v>
      </x:c>
      <x:c r="F172" s="36" t="n">
        <x:v>2892</x:v>
      </x:c>
      <x:c r="G172" s="36" t="str">
        <x:v>ts-mapping-v1</x:v>
      </x:c>
      <x:c r="H172" s="36" t="str">
        <x:v>ts-review-20260805T184254528647Z</x:v>
      </x:c>
      <x:c r="I172" s="36" t="str">
        <x:v>normalization-pipeline-v4</x:v>
      </x:c>
      <x:c r="J172" s="36" t="str">
        <x:v>provisional</x:v>
      </x:c>
      <x:c r="K172" s="39" t="n">
        <x:v>0.8</x:v>
      </x:c>
      <x:c r="L172" s="36" t="str">
        <x:v>BMW</x:v>
      </x:c>
      <x:c r="M172" s="36" t="str">
        <x:v>I3S</x:v>
      </x:c>
      <x:c r="N172" s="36" t="str">
        <x:v>sedan</x:v>
      </x:c>
      <x:c r="O172" s="38" t="str">
        <x:v>["electricity"]</x:v>
      </x:c>
      <x:c r="P172" s="36"/>
      <x:c r="Q172" s="36" t="n">
        <x:v>2019</x:v>
      </x:c>
      <x:c r="R172" s="38" t="str">
        <x:v>["MFR-102","DATE-REGISTRATION-V1","DATE-PRODUCTION-MONTH-V1","BDY-101","FUEL-003","ELEC-001"]</x:v>
      </x:c>
      <x:c r="S172" s="38" t="str">
        <x:v>[]</x:v>
      </x:c>
      <x:c r="T172" s="38" t="str">
        <x:v>[]</x:v>
      </x:c>
      <x:c r="U172" s="38" t="str">
        <x:v>{"market":["SE"],"manufacturer":"BMW","bodywork_form":"sedan","energy_sources":["electricity"],"production_date":"2019-07","production_year":2019,"manufacturer_role":"vehicle_manufacturer","registration_date":"2019-08-22","alias_types_present":["plate","vin","model_name"],"electrification_type":"battery_electric","model_family_candidate":true,"builder_converter_names":[],"production_date_precision":"month","bodywork_registry_label_sv":"Sedan"}</x:v>
      </x:c>
      <x:c r="V172" s="38" t="str">
        <x:v>{"model_family":"I3S"}</x:v>
      </x:c>
      <x:c r="W1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3S","target":"normalized","rule_ids":["MODEL-CANDIDATE-V1"],"sequence":6,"transformer_id":"ts.model-family","confidence_effect":0.0},{"after":"I3S","field":"model_family","before":"I3S","target":"candidate","rule_ids":["MODEL-CANDIDATE-V1"],"sequence":7,"transformer_id":"ts.model-family","confidence_effect":0.05},{"after":"2019-07","field":"production_date","before":{"build_month":"201907","vehicle_year":2019,"registration_date":"20190822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20190822"},"target":"normalized","rule_ids":["DATE-REGISTRATION-V1","DATE-PRODUCTION-MONTH-V1"],"sequence":9,"transformer_id":"ts.dates","confidence_effect":0.1},{"after":2019,"field":"production_year","before":{"build_month":"201907","vehicle_year":2019,"registration_date":"20190822"},"target":"normalized","rule_ids":["DATE-REGISTRATION-V1","DATE-PRODUCTION-MONTH-V1"],"sequence":10,"transformer_id":"ts.dates","confidence_effect":0.1},{"after":"2019-08-22","field":"registration_date","before":{"build_month":"201907","vehicle_year":2019,"registration_date":"20190822"},"target":"normalized","rule_ids":["DATE-REGISTRATION-V1","DATE-PRODUCTION-MONTH-V1"],"sequence":11,"transformer_id":"ts.dates","confidence_effect":0.1},{"after":"sedan","field":"bodywork_form","before":{"model":"I3S","variant":"8P61","version":"0AW40000","body_code":"AA","eu_category":"M1","vehicle_type":"PB"},"target":"normalized","rule_ids":["BDY-101"],"sequence":12,"transformer_id":"ts.bodywork","confidence_effect":0.1},{"after":"Sedan","field":"bodywork_registry_label_sv","before":{"model":"I3S","variant":"8P61","version":"0AW40000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I3S","variant":"8P61","version":"0AW40000","ev_config":"EL"},"target":"normalized","rule_ids":["FUEL-003","ELEC-001"],"sequence":14,"transformer_id":"ts.fuel","confidence_effect":0.0},{"after":["electricity"],"field":"energy_sources","before":{"fuel1":"3","fuel2":"0","fuel3":"0","model":"I3S","variant":"8P61","version":"0AW40000","ev_config":"EL"},"target":"normalized","rule_ids":["FUEL-003","ELEC-001"],"sequence":15,"transformer_id":"ts.fuel","confidence_effect":0.0}]</x:v>
      </x:c>
      <x:c r="X172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72" s="38" t="str">
        <x:v>{"candidates":{"model_family":"I3S"},"confidence":0.8,"normalized":{"market":["SE"],"manufacturer":"BMW","bodywork_form":"sedan","energy_sources":["electricity"],"production_date":"2019-07","production_year":2019,"manufacturer_role":"vehicle_manufacturer","registration_date":"2019-08-22","alias_types_present":["plate","vin","model_name"],"electrification_type":"battery_electric","model_family_candidate":true,"builder_converter_names":[]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3S","target":"normalized","rule_ids":["MODEL-CANDIDATE-V1"],"sequence":6,"transformer_id":"ts.model-family","confidence_effect":0.0},{"after":"I3S","field":"model_family","before":"I3S","target":"candidate","rule_ids":["MODEL-CANDIDATE-V1"],"sequence":7,"transformer_id":"ts.model-family","confidence_effect":0.05},{"after":"2019-07","field":"production_date","before":{"build_month":"201907","vehicle_year":2019,"registration_date":"20190822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20190822"},"target":"normalized","rule_ids":["DATE-REGISTRATION-V1","DATE-PRODUCTION-MONTH-V1"],"sequence":9,"transformer_id":"ts.dates","confidence_effect":0.1},{"after":2019,"field":"production_year","before":{"build_month":"201907","vehicle_year":2019,"registration_date":"20190822"},"target":"normalized","rule_ids":["DATE-REGISTRATION-V1","DATE-PRODUCTION-MONTH-V1"],"sequence":10,"transformer_id":"ts.dates","confidence_effect":0.1},{"after":"2019-08-22","field":"registration_date","before":{"build_month":"201907","vehicle_year":2019,"registration_date":"20190822"},"target":"normalized","rule_ids":["DATE-REGISTRATION-V1","DATE-PRODUCTION-MONTH-V1"],"sequence":11,"transformer_id":"ts.dates","confidence_effect":0.1},{"after":"sedan","field":"bodywork_form","before":{"model":"I3S","variant":"8P61","version":"0AW40000","body_code":"AA","eu_category":"M1","vehicle_type":"PB"},"target":"normalized","rule_ids":["BDY-101"],"sequence":12,"transformer_id":"ts.bodywork","confidence_effect":0.1},{"after":"Sedan","field":"bodywork_registry_label_sv","before":{"model":"I3S","variant":"8P61","version":"0AW40000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I3S","variant":"8P61","version":"0AW40000","ev_config":"EL"},"target":"normalized","rule_ids":["FUEL-003","ELEC-001"],"sequence":14,"transformer_id":"ts.fuel","confidence_effect":0.0},{"after":["electricity"],"field":"energy_sources","before":{"fuel1":"3","fuel2":"0","fuel3":"0","model":"I3S","variant":"8P61","version":"0AW40000","ev_config":"EL"},"target":"normalized","rule_ids":["FUEL-003","ELEC-001"],"sequence":15,"transformer_id":"ts.fuel","confidence_effect":0.0}],"pipeline_version":"normalization-pipeline-v4","candidate_rule_ids":[]}</x:v>
      </x:c>
      <x:c r="Z172" s="36" t="n">
        <x:v>46239.78067015046</x:v>
      </x:c>
      <x:c r="AA172" s="36" t="n">
        <x:v>46239.78067015046</x:v>
      </x:c>
    </x:row>
    <x:row r="173" ht="18" customHeight="1">
      <x:c r="A173" s="36" t="n">
        <x:v>2775</x:v>
      </x:c>
      <x:c r="B173" s="36" t="str">
        <x:v>79295681-77be-501c-b87c-bd377cfdc608</x:v>
      </x:c>
      <x:c r="C173" s="36" t="str">
        <x:v>Transportstyrelsen</x:v>
      </x:c>
      <x:c r="D173" s="36" t="str">
        <x:v>normalization-review-passenger-250-v1-rules-20260805T184409855703Z</x:v>
      </x:c>
      <x:c r="E173" s="36" t="str">
        <x:v>staging.transportstyrelsen_raw</x:v>
      </x:c>
      <x:c r="F173" s="36" t="n">
        <x:v>2893</x:v>
      </x:c>
      <x:c r="G173" s="36" t="str">
        <x:v>ts-mapping-v1</x:v>
      </x:c>
      <x:c r="H173" s="36" t="str">
        <x:v>ts-review-20260805T184254528647Z</x:v>
      </x:c>
      <x:c r="I173" s="36" t="str">
        <x:v>normalization-pipeline-v4</x:v>
      </x:c>
      <x:c r="J173" s="36" t="str">
        <x:v>provisional</x:v>
      </x:c>
      <x:c r="K173" s="39" t="n">
        <x:v>0.8</x:v>
      </x:c>
      <x:c r="L173" s="36" t="str">
        <x:v>Mercedes-Benz</x:v>
      </x:c>
      <x:c r="M173" s="36"/>
      <x:c r="N173" s="36" t="str">
        <x:v>open_body</x:v>
      </x:c>
      <x:c r="O173" s="38" t="str">
        <x:v>["petrol"]</x:v>
      </x:c>
      <x:c r="P173" s="36" t="str">
        <x:v>automatic</x:v>
      </x:c>
      <x:c r="Q173" s="36" t="n">
        <x:v>1968</x:v>
      </x:c>
      <x:c r="R173" s="38" t="str">
        <x:v>["DATE-REGISTRATION-V1","DATE-PRODUCTION-YEAR-V1","UNIT-POWER-KW-V1","TRN-002","BDY-116","FUEL-001"]</x:v>
      </x:c>
      <x:c r="S173" s="38" t="str">
        <x:v>["MFR-BRAND-PREFIX-FALLBACK"]</x:v>
      </x:c>
      <x:c r="T173" s="38" t="str">
        <x:v>[]</x:v>
      </x:c>
      <x:c r="U173" s="38" t="str">
        <x:v>{"market":["SE"],"power_kw":103,"manufacturer":"Mercedes-Benz","bodywork_form":"open_body","energy_sources":["petrol"],"production_year":1968,"manufacturer_role":"vehicle_manufacturer","power_source_unit":"kw","registration_date":"1968-06-11","transmission_type":"automatic","alias_types_present":["plate","vin"],"builder_converter_names":[],"production_date_precision":"model_year","bodywork_registry_label_sv":"Öppet"}</x:v>
      </x:c>
      <x:c r="V173" s="38" t="str">
        <x:v>{"manufacturer_confirmation":{"source_fields":["brand"],"canonical_name":"Mercedes-Benz"}}</x:v>
      </x:c>
      <x:c r="W1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280 S 8","target":"normalized","rule_ids":["MFR-CLASSIFY-V1"],"sequence":3,"transformer_id":"ts.manufacturer","confidence_effect":0.2},{"after":"Mercedes-Benz","field":"manufacturer","before":"MERCEDES BENZ 280 S 8","target":"normalized","rule_ids":["MFR-CLASSIFY-V1"],"sequence":4,"transformer_id":"ts.manufacturer","confidence_effect":0.2},{"after":"vehicle_manufacturer","field":"manufacturer_role","before":"MERCEDES BENZ 280 S 8","target":"normalized","rule_ids":["MFR-CLASSIFY-V1"],"sequence":5,"transformer_id":"ts.manufacturer","confidence_effect":0.2},{"after":{"source_fields":["brand"],"canonical_name":"Mercedes-Benz"},"field":"manufacturer_confirmation","before":"MERCEDES BENZ 280 S 8","target":"candidate","rule_ids":["MFR-BRAND-PREFIX-FALLBACK"],"sequence":6,"transformer_id":"ts.manufacturer","confidence_effect":0.05},{"after":"model_year","field":"production_date_precision","before":{"model_year":1968,"vehicle_year":1968,"registration_date":"19680611"},"target":"normalized","rule_ids":["DATE-REGISTRATION-V1","DATE-PRODUCTION-YEAR-V1"],"sequence":7,"transformer_id":"ts.dates","confidence_effect":0.1},{"after":1968,"field":"production_year","before":{"model_year":1968,"vehicle_year":1968,"registration_date":"19680611"},"target":"normalized","rule_ids":["DATE-REGISTRATION-V1","DATE-PRODUCTION-YEAR-V1"],"sequence":8,"transformer_id":"ts.dates","confidence_effect":0.1},{"after":"1968-06-11","field":"registration_date","before":{"model_year":1968,"vehicle_year":1968,"registration_date":"19680611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3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3" s="38" t="str">
        <x:v>{"candidates":{"manufacturer_confirmation":{"source_fields":["brand"],"canonical_name":"Mercedes-Benz"}},"confidence":0.8,"normalized":{"market":["SE"],"power_kw":103,"manufacturer":"Mercedes-Benz","bodywork_form":"open_body","energy_sources":["petrol"],"production_year":1968,"manufacturer_role":"vehicle_manufacturer","power_source_unit":"kw","registration_date":"1968-06-11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280 S 8","target":"normalized","rule_ids":["MFR-CLASSIFY-V1"],"sequence":3,"transformer_id":"ts.manufacturer","confidence_effect":0.2},{"after":"Mercedes-Benz","field":"manufacturer","before":"MERCEDES BENZ 280 S 8","target":"normalized","rule_ids":["MFR-CLASSIFY-V1"],"sequence":4,"transformer_id":"ts.manufacturer","confidence_effect":0.2},{"after":"vehicle_manufacturer","field":"manufacturer_role","before":"MERCEDES BENZ 280 S 8","target":"normalized","rule_ids":["MFR-CLASSIFY-V1"],"sequence":5,"transformer_id":"ts.manufacturer","confidence_effect":0.2},{"after":{"source_fields":["brand"],"canonical_name":"Mercedes-Benz"},"field":"manufacturer_confirmation","before":"MERCEDES BENZ 280 S 8","target":"candidate","rule_ids":["MFR-BRAND-PREFIX-FALLBACK"],"sequence":6,"transformer_id":"ts.manufacturer","confidence_effect":0.05},{"after":"model_year","field":"production_date_precision","before":{"model_year":1968,"vehicle_year":1968,"registration_date":"19680611"},"target":"normalized","rule_ids":["DATE-REGISTRATION-V1","DATE-PRODUCTION-YEAR-V1"],"sequence":7,"transformer_id":"ts.dates","confidence_effect":0.1},{"after":1968,"field":"production_year","before":{"model_year":1968,"vehicle_year":1968,"registration_date":"19680611"},"target":"normalized","rule_ids":["DATE-REGISTRATION-V1","DATE-PRODUCTION-YEAR-V1"],"sequence":8,"transformer_id":"ts.dates","confidence_effect":0.1},{"after":"1968-06-11","field":"registration_date","before":{"model_year":1968,"vehicle_year":1968,"registration_date":"19680611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73" s="36" t="n">
        <x:v>46239.78067015046</x:v>
      </x:c>
      <x:c r="AA173" s="36" t="n">
        <x:v>46239.78067015046</x:v>
      </x:c>
    </x:row>
    <x:row r="174" ht="18" customHeight="1">
      <x:c r="A174" s="36" t="n">
        <x:v>2776</x:v>
      </x:c>
      <x:c r="B174" s="36" t="str">
        <x:v>feb74cb2-3432-5599-8003-c5c8b373e590</x:v>
      </x:c>
      <x:c r="C174" s="36" t="str">
        <x:v>Transportstyrelsen</x:v>
      </x:c>
      <x:c r="D174" s="36" t="str">
        <x:v>normalization-review-passenger-250-v1-rules-20260805T184409855703Z</x:v>
      </x:c>
      <x:c r="E174" s="36" t="str">
        <x:v>staging.transportstyrelsen_raw</x:v>
      </x:c>
      <x:c r="F174" s="36" t="n">
        <x:v>2894</x:v>
      </x:c>
      <x:c r="G174" s="36" t="str">
        <x:v>ts-mapping-v1</x:v>
      </x:c>
      <x:c r="H174" s="36" t="str">
        <x:v>ts-review-20260805T184254528647Z</x:v>
      </x:c>
      <x:c r="I174" s="36" t="str">
        <x:v>normalization-pipeline-v4</x:v>
      </x:c>
      <x:c r="J174" s="36" t="str">
        <x:v>provisional</x:v>
      </x:c>
      <x:c r="K174" s="39" t="n">
        <x:v>0.8</x:v>
      </x:c>
      <x:c r="L174" s="36" t="str">
        <x:v>Audi</x:v>
      </x:c>
      <x:c r="M174" s="36"/>
      <x:c r="N174" s="36" t="str">
        <x:v>covered_body</x:v>
      </x:c>
      <x:c r="O174" s="38" t="str">
        <x:v>["petrol"]</x:v>
      </x:c>
      <x:c r="P174" s="36" t="str">
        <x:v>manual</x:v>
      </x:c>
      <x:c r="Q174" s="36" t="n">
        <x:v>1995</x:v>
      </x:c>
      <x:c r="R174" s="38" t="str">
        <x:v>["DATE-REGISTRATION-V1","DATE-PRODUCTION-YEAR-V1","UNIT-POWER-KW-V1","TRN-001","BDY-102","FUEL-001"]</x:v>
      </x:c>
      <x:c r="S174" s="38" t="str">
        <x:v>["MFR-BRAND-PREFIX-FALLBACK"]</x:v>
      </x:c>
      <x:c r="T174" s="38" t="str">
        <x:v>[]</x:v>
      </x:c>
      <x:c r="U174" s="38" t="str">
        <x:v>{"market":["SE"],"power_kw":92,"manufacturer":"Audi","bodywork_form":"covered_body","energy_sources":["petrol"],"production_year":1995,"manufacturer_role":"vehicle_manufacturer","power_source_unit":"kw","registration_date":"1995-03-30","transmission_type":"manual","alias_types_present":["plate","vin"],"builder_converter_names":[],"production_date_precision":"model_year","bodywork_registry_label_sv":"Täckt"}</x:v>
      </x:c>
      <x:c r="V174" s="38" t="str">
        <x:v>{"manufacturer_confirmation":{"source_fields":["brand"],"canonical_name":"Audi"}}</x:v>
      </x:c>
      <x:c r="W1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1,8","target":"normalized","rule_ids":["MFR-CLASSIFY-V1"],"sequence":3,"transformer_id":"ts.manufacturer","confidence_effect":0.2},{"after":"Audi","field":"manufacturer","before":"AUDI A4 1,8","target":"normalized","rule_ids":["MFR-CLASSIFY-V1"],"sequence":4,"transformer_id":"ts.manufacturer","confidence_effect":0.2},{"after":"vehicle_manufacturer","field":"manufacturer_role","before":"AUDI A4 1,8","target":"normalized","rule_ids":["MFR-CLASSIFY-V1"],"sequence":5,"transformer_id":"ts.manufacturer","confidence_effect":0.2},{"after":{"source_fields":["brand"],"canonical_name":"Audi"},"field":"manufacturer_confirmation","before":"AUDI A4 1,8","target":"candidate","rule_ids":["MFR-BRAND-PREFIX-FALLBACK"],"sequence":6,"transformer_id":"ts.manufacturer","confidence_effect":0.05},{"after":"model_year","field":"production_date_precision","before":{"model_year":1995,"vehicle_year":1995,"registration_date":"19950330"},"target":"normalized","rule_ids":["DATE-REGISTRATION-V1","DATE-PRODUCTION-YEAR-V1"],"sequence":7,"transformer_id":"ts.dates","confidence_effect":0.1},{"after":1995,"field":"production_year","before":{"model_year":1995,"vehicle_year":1995,"registration_date":"19950330"},"target":"normalized","rule_ids":["DATE-REGISTRATION-V1","DATE-PRODUCTION-YEAR-V1"],"sequence":8,"transformer_id":"ts.dates","confidence_effect":0.1},{"after":"1995-03-30","field":"registration_date","before":{"model_year":1995,"vehicle_year":1995,"registration_date":"19950330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4" s="38" t="str">
        <x:v>{"candidates":{"manufacturer_confirmation":{"source_fields":["brand"],"canonical_name":"Audi"}},"confidence":0.8,"normalized":{"market":["SE"],"power_kw":92,"manufacturer":"Audi","bodywork_form":"covered_body","energy_sources":["petrol"],"production_year":1995,"manufacturer_role":"vehicle_manufacturer","power_source_unit":"kw","registration_date":"1995-03-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1,8","target":"normalized","rule_ids":["MFR-CLASSIFY-V1"],"sequence":3,"transformer_id":"ts.manufacturer","confidence_effect":0.2},{"after":"Audi","field":"manufacturer","before":"AUDI A4 1,8","target":"normalized","rule_ids":["MFR-CLASSIFY-V1"],"sequence":4,"transformer_id":"ts.manufacturer","confidence_effect":0.2},{"after":"vehicle_manufacturer","field":"manufacturer_role","before":"AUDI A4 1,8","target":"normalized","rule_ids":["MFR-CLASSIFY-V1"],"sequence":5,"transformer_id":"ts.manufacturer","confidence_effect":0.2},{"after":{"source_fields":["brand"],"canonical_name":"Audi"},"field":"manufacturer_confirmation","before":"AUDI A4 1,8","target":"candidate","rule_ids":["MFR-BRAND-PREFIX-FALLBACK"],"sequence":6,"transformer_id":"ts.manufacturer","confidence_effect":0.05},{"after":"model_year","field":"production_date_precision","before":{"model_year":1995,"vehicle_year":1995,"registration_date":"19950330"},"target":"normalized","rule_ids":["DATE-REGISTRATION-V1","DATE-PRODUCTION-YEAR-V1"],"sequence":7,"transformer_id":"ts.dates","confidence_effect":0.1},{"after":1995,"field":"production_year","before":{"model_year":1995,"vehicle_year":1995,"registration_date":"19950330"},"target":"normalized","rule_ids":["DATE-REGISTRATION-V1","DATE-PRODUCTION-YEAR-V1"],"sequence":8,"transformer_id":"ts.dates","confidence_effect":0.1},{"after":"1995-03-30","field":"registration_date","before":{"model_year":1995,"vehicle_year":1995,"registration_date":"19950330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74" s="36" t="n">
        <x:v>46239.78067015046</x:v>
      </x:c>
      <x:c r="AA174" s="36" t="n">
        <x:v>46239.78067015046</x:v>
      </x:c>
    </x:row>
    <x:row r="175" ht="18" customHeight="1">
      <x:c r="A175" s="36" t="n">
        <x:v>2777</x:v>
      </x:c>
      <x:c r="B175" s="36" t="str">
        <x:v>f827f200-7ea9-591a-94ab-d5182fef6a24</x:v>
      </x:c>
      <x:c r="C175" s="36" t="str">
        <x:v>Transportstyrelsen</x:v>
      </x:c>
      <x:c r="D175" s="36" t="str">
        <x:v>normalization-review-passenger-250-v1-rules-20260805T184409855703Z</x:v>
      </x:c>
      <x:c r="E175" s="36" t="str">
        <x:v>staging.transportstyrelsen_raw</x:v>
      </x:c>
      <x:c r="F175" s="36" t="n">
        <x:v>2895</x:v>
      </x:c>
      <x:c r="G175" s="36" t="str">
        <x:v>ts-mapping-v1</x:v>
      </x:c>
      <x:c r="H175" s="36" t="str">
        <x:v>ts-review-20260805T184254528647Z</x:v>
      </x:c>
      <x:c r="I175" s="36" t="str">
        <x:v>normalization-pipeline-v4</x:v>
      </x:c>
      <x:c r="J175" s="36" t="str">
        <x:v>resolved</x:v>
      </x:c>
      <x:c r="K175" s="39" t="n">
        <x:v>0.95</x:v>
      </x:c>
      <x:c r="L175" s="36" t="str">
        <x:v>Volvo</x:v>
      </x:c>
      <x:c r="M175" s="36"/>
      <x:c r="N175" s="36" t="str">
        <x:v>estate</x:v>
      </x:c>
      <x:c r="O175" s="38" t="str">
        <x:v>["petrol"]</x:v>
      </x:c>
      <x:c r="P175" s="36" t="str">
        <x:v>automatic</x:v>
      </x:c>
      <x:c r="Q175" s="36" t="n">
        <x:v>2006</x:v>
      </x:c>
      <x:c r="R175" s="38" t="str">
        <x:v>["MFR-BRAND-CONFIRMED","MFR-BRAND-VIN-WMI","DATE-REGISTRATION-V1","DATE-PRODUCTION-MONTH-V1","UNIT-POWER-KW-V1","UNIT-DISPLACEMENT-CCM-V1","TRN-002","BDY-110","FUEL-001"]</x:v>
      </x:c>
      <x:c r="S175" s="38" t="str">
        <x:v>[]</x:v>
      </x:c>
      <x:c r="T175" s="38" t="str">
        <x:v>[]</x:v>
      </x:c>
      <x:c r="U175" s="38" t="str">
        <x:v>{"market":["SE"],"power_kw":125,"manufacturer":"Volvo","bodywork_form":"estate","energy_sources":["petrol"],"displacement_cc":2435,"production_date":"2006-10","production_year":2006,"manufacturer_role":"vehicle_manufacturer","power_source_unit":"kw","registration_date":"2006-11-02","transmission_type":"automatic","alias_types_present":["plate","vin"],"builder_converter_names":[],"displacement_source_unit":"ccm","production_date_precision":"month","bodywork_registry_label_sv":"Stationsvagn (kombivagn)"}</x:v>
      </x:c>
      <x:c r="V175" s="38" t="str">
        <x:v>{}</x:v>
      </x:c>
      <x:c r="W1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-10","field":"production_date","before":{"build_month":"200610","vehicle_year":2006,"registration_date":"20061102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20061102"},"target":"normalized","rule_ids":["DATE-REGISTRATION-V1","DATE-PRODUCTION-MONTH-V1"],"sequence":7,"transformer_id":"ts.dates","confidence_effect":0.1},{"after":2006,"field":"production_year","before":{"build_month":"200610","vehicle_year":2006,"registration_date":"20061102"},"target":"normalized","rule_ids":["DATE-REGISTRATION-V1","DATE-PRODUCTION-MONTH-V1"],"sequence":8,"transformer_id":"ts.dates","confidence_effect":0.1},{"after":"2006-11-02","field":"registration_date","before":{"build_month":"200610","vehicle_year":2006,"registration_date":"20061102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automatic","field":"transmission_type","before":{"gearbox":"A","variant":"MW38","version":"MW3859??"},"target":"normalized","rule_ids":["TRN-002"],"sequence":14,"transformer_id":"ts.transmission","confidence_effect":0.1},{"after":"estate","field":"bodywork_form","before":{"variant":"MW38","version":"MW3859??","body_code":"AC","eu_category":"M1","vehicle_type":"PB"},"target":"normalized","rule_ids":["BDY-110"],"sequence":15,"transformer_id":"ts.bodywork","confidence_effect":0.1},{"after":"Stationsvagn (kombivagn)","field":"bodywork_registry_label_sv","before":{"variant":"MW38","version":"MW3859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38","version":"MW3859??"},"target":"normalized","rule_ids":["FUEL-001"],"sequence":17,"transformer_id":"ts.fuel","confidence_effect":0.0}]</x:v>
      </x:c>
      <x:c r="X17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5" s="38" t="str">
        <x:v>{"candidates":{},"confidence":0.95,"normalized":{"market":["SE"],"power_kw":125,"manufacturer":"Volvo","bodywork_form":"estate","energy_sources":["petrol"],"displacement_cc":2435,"production_date":"2006-10","production_year":2006,"manufacturer_role":"vehicle_manufacturer","power_source_unit":"kw","registration_date":"2006-11-02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-10","field":"production_date","before":{"build_month":"200610","vehicle_year":2006,"registration_date":"20061102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20061102"},"target":"normalized","rule_ids":["DATE-REGISTRATION-V1","DATE-PRODUCTION-MONTH-V1"],"sequence":7,"transformer_id":"ts.dates","confidence_effect":0.1},{"after":2006,"field":"production_year","before":{"build_month":"200610","vehicle_year":2006,"registration_date":"20061102"},"target":"normalized","rule_ids":["DATE-REGISTRATION-V1","DATE-PRODUCTION-MONTH-V1"],"sequence":8,"transformer_id":"ts.dates","confidence_effect":0.1},{"after":"2006-11-02","field":"registration_date","before":{"build_month":"200610","vehicle_year":2006,"registration_date":"20061102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automatic","field":"transmission_type","before":{"gearbox":"A","variant":"MW38","version":"MW3859??"},"target":"normalized","rule_ids":["TRN-002"],"sequence":14,"transformer_id":"ts.transmission","confidence_effect":0.1},{"after":"estate","field":"bodywork_form","before":{"variant":"MW38","version":"MW3859??","body_code":"AC","eu_category":"M1","vehicle_type":"PB"},"target":"normalized","rule_ids":["BDY-110"],"sequence":15,"transformer_id":"ts.bodywork","confidence_effect":0.1},{"after":"Stationsvagn (kombivagn)","field":"bodywork_registry_label_sv","before":{"variant":"MW38","version":"MW3859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38","version":"MW3859??"},"target":"normalized","rule_ids":["FUEL-001"],"sequence":17,"transformer_id":"ts.fuel","confidence_effect":0.0}],"pipeline_version":"normalization-pipeline-v4","candidate_rule_ids":[]}</x:v>
      </x:c>
      <x:c r="Z175" s="36" t="n">
        <x:v>46239.78067015046</x:v>
      </x:c>
      <x:c r="AA175" s="36" t="n">
        <x:v>46239.78067015046</x:v>
      </x:c>
    </x:row>
    <x:row r="176" ht="18" customHeight="1">
      <x:c r="A176" s="36" t="n">
        <x:v>2778</x:v>
      </x:c>
      <x:c r="B176" s="36" t="str">
        <x:v>75e802fa-87fb-5a96-93c3-85b519064ef0</x:v>
      </x:c>
      <x:c r="C176" s="36" t="str">
        <x:v>Transportstyrelsen</x:v>
      </x:c>
      <x:c r="D176" s="36" t="str">
        <x:v>normalization-review-passenger-250-v1-rules-20260805T184409855703Z</x:v>
      </x:c>
      <x:c r="E176" s="36" t="str">
        <x:v>staging.transportstyrelsen_raw</x:v>
      </x:c>
      <x:c r="F176" s="36" t="n">
        <x:v>2896</x:v>
      </x:c>
      <x:c r="G176" s="36" t="str">
        <x:v>ts-mapping-v1</x:v>
      </x:c>
      <x:c r="H176" s="36" t="str">
        <x:v>ts-review-20260805T184254528647Z</x:v>
      </x:c>
      <x:c r="I176" s="36" t="str">
        <x:v>normalization-pipeline-v4</x:v>
      </x:c>
      <x:c r="J176" s="36" t="str">
        <x:v>provisional</x:v>
      </x:c>
      <x:c r="K176" s="39" t="n">
        <x:v>0.8</x:v>
      </x:c>
      <x:c r="L176" s="36" t="str">
        <x:v>Toyota</x:v>
      </x:c>
      <x:c r="M176" s="36" t="str">
        <x:v>TOYOTA LAND CRUISER (150</x:v>
      </x:c>
      <x:c r="N176" s="36" t="str">
        <x:v>multi_purpose_vehicle</x:v>
      </x:c>
      <x:c r="O176" s="38" t="str">
        <x:v>["diesel"]</x:v>
      </x:c>
      <x:c r="P176" s="36" t="str">
        <x:v>automatic</x:v>
      </x:c>
      <x:c r="Q176" s="36" t="n">
        <x:v>2021</x:v>
      </x:c>
      <x:c r="R176" s="38" t="str">
        <x:v>["MFR-102","DATE-REGISTRATION-V1","DATE-PRODUCTION-DAY-V1","UNIT-POWER-KW-V1","UNIT-DISPLACEMENT-CCM-V1","TRN-002","BDY-113","FUEL-002"]</x:v>
      </x:c>
      <x:c r="S176" s="38" t="str">
        <x:v>["DRV-008"]</x:v>
      </x:c>
      <x:c r="T176" s="38" t="str">
        <x:v>[]</x:v>
      </x:c>
      <x:c r="U176" s="38" t="str">
        <x:v>{"market":["SE"],"power_kw":150,"manufacturer":"Toyota","bodywork_form":"multi_purpose_vehicle","energy_sources":["diesel"],"displacement_cc":2755,"production_date":"2021-01-26","production_year":2021,"manufacturer_role":"vehicle_manufacturer","power_source_unit":"kw","registration_date":"2021-03-19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176" s="38" t="str">
        <x:v>{"drive_type":"awd","model_family":"TOYOTA LAND CRUISER (150"}</x:v>
      </x:c>
      <x:c r="W1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LAND CRUISER (150","target":"normalized","rule_ids":["MODEL-CANDIDATE-V1"],"sequence":6,"transformer_id":"ts.model-family","confidence_effect":0.0},{"after":"TOYOTA LAND CRUISER (150","field":"model_family","before":"TOYOTA LAND CRUISER (150","target":"candidate","rule_ids":["MODEL-CANDIDATE-V1"],"sequence":7,"transformer_id":"ts.model-family","confidence_effect":0.05},{"after":"2021-01-26","field":"production_date","before":{"build_date":"20210126","build_month":"202101","vehicle_year":2021,"registration_date":"20210319"},"target":"normalized","rule_ids":["DATE-REGISTRATION-V1","DATE-PRODUCTION-DAY-V1"],"sequence":8,"transformer_id":"ts.dates","confidence_effect":0.1},{"after":"day","field":"production_date_precision","before":{"build_date":"20210126","build_month":"202101","vehicle_year":2021,"registration_date":"20210319"},"target":"normalized","rule_ids":["DATE-REGISTRATION-V1","DATE-PRODUCTION-DAY-V1"],"sequence":9,"transformer_id":"ts.dates","confidence_effect":0.1},{"after":2021,"field":"production_year","before":{"build_date":"20210126","build_month":"202101","vehicle_year":2021,"registration_date":"20210319"},"target":"normalized","rule_ids":["DATE-REGISTRATION-V1","DATE-PRODUCTION-DAY-V1"],"sequence":10,"transformer_id":"ts.dates","confidence_effect":0.1},{"after":"2021-03-19","field":"registration_date","before":{"build_date":"20210126","build_month":"202101","vehicle_year":2021,"registration_date":"20210319"},"target":"normalized","rule_ids":["DATE-REGISTRATION-V1","DATE-PRODUCTION-DAY-V1"],"sequence":11,"transformer_id":"ts.dates","confidence_effect":0.1},{"after":2755,"field":"displacement_cc","before":{"kw":150,"ccm":2755},"target":"normalized","rule_ids":["UNIT-POWER-KW-V1","UNIT-DISPLACEMENT-CCM-V1"],"sequence":12,"transformer_id":"ts.engine-measurements","confidence_effect":0.1},{"after":"ccm","field":"displacement_source_unit","before":{"kw":150,"ccm":2755},"target":"normalized","rule_ids":["UNIT-POWER-KW-V1","UNIT-DISPLACEMENT-CCM-V1"],"sequence":13,"transformer_id":"ts.engine-measurements","confidence_effect":0.1},{"after":150,"field":"power_kw","before":{"kw":150,"ccm":2755},"target":"normalized","rule_ids":["UNIT-POWER-KW-V1","UNIT-DISPLACEMENT-CCM-V1"],"sequence":14,"transformer_id":"ts.engine-measurements","confidence_effect":0.1},{"after":"kw","field":"power_source_unit","before":{"kw":150,"ccm":2755},"target":"normalized","rule_ids":["UNIT-POWER-KW-V1","UNIT-DISPLACEMENT-CCM-V1"],"sequence":15,"transformer_id":"ts.engine-measurements","confidence_effect":0.1},{"after":"automatic","field":"transmission_type","before":{"model":"TOYOTA LAND CRUISER (150","gearbox":"A","variant":"GDJ150(MF)","version":"GDJ150L-GKTEYW(FN)"},"target":"normalized","rule_ids":["TRN-002"],"sequence":16,"transformer_id":"ts.transmission","confidence_effect":0.1},{"after":"multi_purpose_vehicle","field":"bodywork_form","before":{"model":"TOYOTA LAND CRUISER (150","variant":"GDJ150(MF)","version":"GDJ150L-GKTEYW(FN)","body_code":"AF","eu_category":"M1G","vehicle_type":"PB"},"target":"normalized","rule_ids":["BDY-113"],"sequence":17,"transformer_id":"ts.bodywork","confidence_effect":0.1},{"after":"Fordon avsett för flera ändamål","field":"bodywork_registry_label_sv","before":{"model":"TOYOTA LAND CRUISER (150","variant":"GDJ150(MF)","version":"GDJ150L-GKTEYW(FN)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OYOTA LAND CRUISER (150","variant":"GDJ150(MF)","version":"GDJ150L-GKTEYW(FN)"},"target":"normalized","rule_ids":["FUEL-002"],"sequence":20,"transformer_id":"ts.fuel","confidence_effect":0.0}]</x:v>
      </x:c>
      <x:c r="X17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6" s="38" t="str">
        <x:v>{"candidates":{"drive_type":"awd","model_family":"TOYOTA LAND CRUISER (150"},"confidence":0.8,"normalized":{"market":["SE"],"power_kw":150,"manufacturer":"Toyota","bodywork_form":"multi_purpose_vehicle","energy_sources":["diesel"],"displacement_cc":2755,"production_date":"2021-01-26","production_year":2021,"manufacturer_role":"vehicle_manufacturer","power_source_unit":"kw","registration_date":"2021-03-19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LAND CRUISER (150","target":"normalized","rule_ids":["MODEL-CANDIDATE-V1"],"sequence":6,"transformer_id":"ts.model-family","confidence_effect":0.0},{"after":"TOYOTA LAND CRUISER (150","field":"model_family","before":"TOYOTA LAND CRUISER (150","target":"candidate","rule_ids":["MODEL-CANDIDATE-V1"],"sequence":7,"transformer_id":"ts.model-family","confidence_effect":0.05},{"after":"2021-01-26","field":"production_date","before":{"build_date":"20210126","build_month":"202101","vehicle_year":2021,"registration_date":"20210319"},"target":"normalized","rule_ids":["DATE-REGISTRATION-V1","DATE-PRODUCTION-DAY-V1"],"sequence":8,"transformer_id":"ts.dates","confidence_effect":0.1},{"after":"day","field":"production_date_precision","before":{"build_date":"20210126","build_month":"202101","vehicle_year":2021,"registration_date":"20210319"},"target":"normalized","rule_ids":["DATE-REGISTRATION-V1","DATE-PRODUCTION-DAY-V1"],"sequence":9,"transformer_id":"ts.dates","confidence_effect":0.1},{"after":2021,"field":"production_year","before":{"build_date":"20210126","build_month":"202101","vehicle_year":2021,"registration_date":"20210319"},"target":"normalized","rule_ids":["DATE-REGISTRATION-V1","DATE-PRODUCTION-DAY-V1"],"sequence":10,"transformer_id":"ts.dates","confidence_effect":0.1},{"after":"2021-03-19","field":"registration_date","before":{"build_date":"20210126","build_month":"202101","vehicle_year":2021,"registration_date":"20210319"},"target":"normalized","rule_ids":["DATE-REGISTRATION-V1","DATE-PRODUCTION-DAY-V1"],"sequence":11,"transformer_id":"ts.dates","confidence_effect":0.1},{"after":2755,"field":"displacement_cc","before":{"kw":150,"ccm":2755},"target":"normalized","rule_ids":["UNIT-POWER-KW-V1","UNIT-DISPLACEMENT-CCM-V1"],"sequence":12,"transformer_id":"ts.engine-measurements","confidence_effect":0.1},{"after":"ccm","field":"displacement_source_unit","before":{"kw":150,"ccm":2755},"target":"normalized","rule_ids":["UNIT-POWER-KW-V1","UNIT-DISPLACEMENT-CCM-V1"],"sequence":13,"transformer_id":"ts.engine-measurements","confidence_effect":0.1},{"after":150,"field":"power_kw","before":{"kw":150,"ccm":2755},"target":"normalized","rule_ids":["UNIT-POWER-KW-V1","UNIT-DISPLACEMENT-CCM-V1"],"sequence":14,"transformer_id":"ts.engine-measurements","confidence_effect":0.1},{"after":"kw","field":"power_source_unit","before":{"kw":150,"ccm":2755},"target":"normalized","rule_ids":["UNIT-POWER-KW-V1","UNIT-DISPLACEMENT-CCM-V1"],"sequence":15,"transformer_id":"ts.engine-measurements","confidence_effect":0.1},{"after":"automatic","field":"transmission_type","before":{"model":"TOYOTA LAND CRUISER (150","gearbox":"A","variant":"GDJ150(MF)","version":"GDJ150L-GKTEYW(FN)"},"target":"normalized","rule_ids":["TRN-002"],"sequence":16,"transformer_id":"ts.transmission","confidence_effect":0.1},{"after":"multi_purpose_vehicle","field":"bodywork_form","before":{"model":"TOYOTA LAND CRUISER (150","variant":"GDJ150(MF)","version":"GDJ150L-GKTEYW(FN)","body_code":"AF","eu_category":"M1G","vehicle_type":"PB"},"target":"normalized","rule_ids":["BDY-113"],"sequence":17,"transformer_id":"ts.bodywork","confidence_effect":0.1},{"after":"Fordon avsett för flera ändamål","field":"bodywork_registry_label_sv","before":{"model":"TOYOTA LAND CRUISER (150","variant":"GDJ150(MF)","version":"GDJ150L-GKTEYW(FN)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OYOTA LAND CRUISER (150","variant":"GDJ150(MF)","version":"GDJ150L-GKTEYW(FN)"},"target":"normalized","rule_ids":["FUEL-002"],"sequence":20,"transformer_id":"ts.fuel","confidence_effect":0.0}],"pipeline_version":"normalization-pipeline-v4","candidate_rule_ids":["DRV-008"]}</x:v>
      </x:c>
      <x:c r="Z176" s="36" t="n">
        <x:v>46239.78067015046</x:v>
      </x:c>
      <x:c r="AA176" s="36" t="n">
        <x:v>46239.78067015046</x:v>
      </x:c>
    </x:row>
    <x:row r="177" ht="18" customHeight="1">
      <x:c r="A177" s="36" t="n">
        <x:v>2779</x:v>
      </x:c>
      <x:c r="B177" s="36" t="str">
        <x:v>fd0ac28a-1e65-5735-9239-b81970eba0b1</x:v>
      </x:c>
      <x:c r="C177" s="36" t="str">
        <x:v>Transportstyrelsen</x:v>
      </x:c>
      <x:c r="D177" s="36" t="str">
        <x:v>normalization-review-passenger-250-v1-rules-20260805T184409855703Z</x:v>
      </x:c>
      <x:c r="E177" s="36" t="str">
        <x:v>staging.transportstyrelsen_raw</x:v>
      </x:c>
      <x:c r="F177" s="36" t="n">
        <x:v>2897</x:v>
      </x:c>
      <x:c r="G177" s="36" t="str">
        <x:v>ts-mapping-v1</x:v>
      </x:c>
      <x:c r="H177" s="36" t="str">
        <x:v>ts-review-20260805T184254528647Z</x:v>
      </x:c>
      <x:c r="I177" s="36" t="str">
        <x:v>normalization-pipeline-v4</x:v>
      </x:c>
      <x:c r="J177" s="36" t="str">
        <x:v>provisional</x:v>
      </x:c>
      <x:c r="K177" s="39" t="n">
        <x:v>0.8</x:v>
      </x:c>
      <x:c r="L177" s="36" t="str">
        <x:v>Škoda</x:v>
      </x:c>
      <x:c r="M177" s="36" t="str">
        <x:v>OCTAVIA</x:v>
      </x:c>
      <x:c r="N177" s="36" t="str">
        <x:v>estate</x:v>
      </x:c>
      <x:c r="O177" s="38" t="str">
        <x:v>["petrol"]</x:v>
      </x:c>
      <x:c r="P177" s="36" t="str">
        <x:v>manual</x:v>
      </x:c>
      <x:c r="Q177" s="36" t="n">
        <x:v>2019</x:v>
      </x:c>
      <x:c r="R177" s="38" t="str">
        <x:v>["MFE-241A4A6B11D7C9","DATE-REGISTRATION-V1","DATE-PRODUCTION-MONTH-V1","UNIT-POWER-KW-V1","UNIT-DISPLACEMENT-CCM-V1","TRN-001","BDY-110","FUEL-001"]</x:v>
      </x:c>
      <x:c r="S177" s="38" t="str">
        <x:v>[]</x:v>
      </x:c>
      <x:c r="T177" s="38" t="str">
        <x:v>[]</x:v>
      </x:c>
      <x:c r="U177" s="38" t="str">
        <x:v>{"market":["SE"],"power_kw":85,"manufacturer":"Škoda","bodywork_form":"estate","energy_sources":["petrol"],"displacement_cc":999,"production_date":"2019-04","production_year":2019,"manufacturer_role":"vehicle_manufacturer","power_source_unit":"kw","registration_date":"2019-06-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77" s="38" t="str">
        <x:v>{"model_family":"OCTAVIA"}</x:v>
      </x:c>
      <x:c r="W1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2019-04","field":"production_date","before":{"build_month":"201904","vehicle_year":2019,"registration_date":"20190619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20190619"},"target":"normalized","rule_ids":["DATE-REGISTRATION-V1","DATE-PRODUCTION-MONTH-V1"],"sequence":9,"transformer_id":"ts.dates","confidence_effect":0.1},{"after":2019,"field":"production_year","before":{"build_month":"201904","vehicle_year":2019,"registration_date":"20190619"},"target":"normalized","rule_ids":["DATE-REGISTRATION-V1","DATE-PRODUCTION-MONTH-V1"],"sequence":10,"transformer_id":"ts.dates","confidence_effect":0.1},{"after":"2019-06-19","field":"registration_date","before":{"build_month":"201904","vehicle_year":2019,"registration_date":"20190619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OCTAVIA","gearbox":"M","variant":"ACDKRFX0","version":"NFM6FM6AJ0167CPSTVLN1C7B"},"target":"normalized","rule_ids":["TRN-001"],"sequence":16,"transformer_id":"ts.transmission","confidence_effect":0.1},{"after":"estate","field":"bodywork_form","before":{"model":"OCTAVIA","variant":"ACDKRFX0","version":"NFM6FM6AJ0167CPSTVLN1C7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KRFX0","version":"NFM6FM6AJ0167CPSTVLN1C7B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DKRFX0","version":"NFM6FM6AJ0167CPSTVLN1C7B"},"target":"normalized","rule_ids":["FUEL-001"],"sequence":19,"transformer_id":"ts.fuel","confidence_effect":0.0}]</x:v>
      </x:c>
      <x:c r="X17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7" s="38" t="str">
        <x:v>{"candidates":{"model_family":"OCTAVIA"},"confidence":0.8,"normalized":{"market":["SE"],"power_kw":85,"manufacturer":"Škoda","bodywork_form":"estate","energy_sources":["petrol"],"displacement_cc":999,"production_date":"2019-04","production_year":2019,"manufacturer_role":"vehicle_manufacturer","power_source_unit":"kw","registration_date":"2019-06-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2019-04","field":"production_date","before":{"build_month":"201904","vehicle_year":2019,"registration_date":"20190619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20190619"},"target":"normalized","rule_ids":["DATE-REGISTRATION-V1","DATE-PRODUCTION-MONTH-V1"],"sequence":9,"transformer_id":"ts.dates","confidence_effect":0.1},{"after":2019,"field":"production_year","before":{"build_month":"201904","vehicle_year":2019,"registration_date":"20190619"},"target":"normalized","rule_ids":["DATE-REGISTRATION-V1","DATE-PRODUCTION-MONTH-V1"],"sequence":10,"transformer_id":"ts.dates","confidence_effect":0.1},{"after":"2019-06-19","field":"registration_date","before":{"build_month":"201904","vehicle_year":2019,"registration_date":"20190619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OCTAVIA","gearbox":"M","variant":"ACDKRFX0","version":"NFM6FM6AJ0167CPSTVLN1C7B"},"target":"normalized","rule_ids":["TRN-001"],"sequence":16,"transformer_id":"ts.transmission","confidence_effect":0.1},{"after":"estate","field":"bodywork_form","before":{"model":"OCTAVIA","variant":"ACDKRFX0","version":"NFM6FM6AJ0167CPSTVLN1C7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KRFX0","version":"NFM6FM6AJ0167CPSTVLN1C7B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DKRFX0","version":"NFM6FM6AJ0167CPSTVLN1C7B"},"target":"normalized","rule_ids":["FUEL-001"],"sequence":19,"transformer_id":"ts.fuel","confidence_effect":0.0}],"pipeline_version":"normalization-pipeline-v4","candidate_rule_ids":[]}</x:v>
      </x:c>
      <x:c r="Z177" s="36" t="n">
        <x:v>46239.78067015046</x:v>
      </x:c>
      <x:c r="AA177" s="36" t="n">
        <x:v>46239.78067015046</x:v>
      </x:c>
    </x:row>
    <x:row r="178" ht="18" customHeight="1">
      <x:c r="A178" s="36" t="n">
        <x:v>2780</x:v>
      </x:c>
      <x:c r="B178" s="36" t="str">
        <x:v>3669c9ae-79dc-52a4-81ad-62f4c70eba7d</x:v>
      </x:c>
      <x:c r="C178" s="36" t="str">
        <x:v>Transportstyrelsen</x:v>
      </x:c>
      <x:c r="D178" s="36" t="str">
        <x:v>normalization-review-passenger-250-v1-rules-20260805T184409855703Z</x:v>
      </x:c>
      <x:c r="E178" s="36" t="str">
        <x:v>staging.transportstyrelsen_raw</x:v>
      </x:c>
      <x:c r="F178" s="36" t="n">
        <x:v>2898</x:v>
      </x:c>
      <x:c r="G178" s="36" t="str">
        <x:v>ts-mapping-v1</x:v>
      </x:c>
      <x:c r="H178" s="36" t="str">
        <x:v>ts-review-20260805T184254528647Z</x:v>
      </x:c>
      <x:c r="I178" s="36" t="str">
        <x:v>normalization-pipeline-v4</x:v>
      </x:c>
      <x:c r="J178" s="36" t="str">
        <x:v>provisional</x:v>
      </x:c>
      <x:c r="K178" s="39" t="n">
        <x:v>0.8</x:v>
      </x:c>
      <x:c r="L178" s="36" t="str">
        <x:v>Renault</x:v>
      </x:c>
      <x:c r="M178" s="36"/>
      <x:c r="N178" s="36" t="str">
        <x:v>hatchback</x:v>
      </x:c>
      <x:c r="O178" s="38" t="str">
        <x:v>["petrol","ethanol"]</x:v>
      </x:c>
      <x:c r="P178" s="36" t="str">
        <x:v>manual</x:v>
      </x:c>
      <x:c r="Q178" s="36" t="n">
        <x:v>2007</x:v>
      </x:c>
      <x:c r="R178" s="38" t="str">
        <x:v>["DATE-REGISTRATION-V1","DATE-PRODUCTION-MONTH-V1","UNIT-POWER-KW-V1","UNIT-DISPLACEMENT-CCM-V1","TRN-001","BDY-109","FUEL-001","FUEL-007"]</x:v>
      </x:c>
      <x:c r="S178" s="38" t="str">
        <x:v>["MFR-BRAND-PREFIX-FALLBACK"]</x:v>
      </x:c>
      <x:c r="T178" s="38" t="str">
        <x:v>[]</x:v>
      </x:c>
      <x:c r="U178" s="38" t="str">
        <x:v>{"market":["SE"],"power_kw":77,"manufacturer":"Renault","bodywork_form":"hatchback","energy_sources":["petrol","ethanol"],"displacement_cc":1598,"production_date":"2007-09","production_year":2007,"manufacturer_role":"vehicle_manufacturer","power_source_unit":"kw","registration_date":"2008-03-03","transmission_type":"manual","alias_types_present":["plate","vin"],"builder_converter_names":[],"displacement_source_unit":"ccm","production_date_precision":"month","bodywork_registry_label_sv":"Halvkombi"}</x:v>
      </x:c>
      <x:c r="V178" s="38" t="str">
        <x:v>{"manufacturer_confirmation":{"source_fields":["brand"],"canonical_name":"Renault"}}</x:v>
      </x:c>
      <x:c r="W1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-09","field":"production_date","before":{"build_month":"200709","vehicle_year":2007,"registration_date":"20080303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20080303"},"target":"normalized","rule_ids":["DATE-REGISTRATION-V1","DATE-PRODUCTION-MONTH-V1"],"sequence":8,"transformer_id":"ts.dates","confidence_effect":0.1},{"after":2007,"field":"production_year","before":{"build_month":"200709","vehicle_year":2007,"registration_date":"20080303"},"target":"normalized","rule_ids":["DATE-REGISTRATION-V1","DATE-PRODUCTION-MONTH-V1"],"sequence":9,"transformer_id":"ts.dates","confidence_effect":0.1},{"after":"2008-03-03","field":"registration_date","before":{"build_month":"200709","vehicle_year":2007,"registration_date":"20080303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BM2K","version":"BM2K0H"},"target":"normalized","rule_ids":["TRN-001"],"sequence":15,"transformer_id":"ts.transmission","confidence_effect":0.1},{"after":"hatchback","field":"bodywork_form","before":{"variant":"BM2K","version":"BM2K0H","body_code":"AB","eu_category":"M1","vehicle_type":"PB"},"target":"normalized","rule_ids":["BDY-109"],"sequence":16,"transformer_id":"ts.bodywork","confidence_effect":0.1},{"after":"Halvkombi","field":"bodywork_registry_label_sv","before":{"variant":"BM2K","version":"BM2K0H","body_code":"AB","eu_category":"M1","vehicle_type":"PB"},"target":"normalized","rule_ids":["BDY-109"],"sequence":17,"transformer_id":"ts.bodywork","confidence_effect":0.1},{"after":["petrol","ethanol"],"field":"energy_sources","before":{"fuel1":"1","fuel2":"7","fuel3":"0","variant":"BM2K","version":"BM2K0H"},"target":"normalized","rule_ids":["FUEL-001","FUEL-007"],"sequence":18,"transformer_id":"ts.fuel","confidence_effect":0.0}]</x:v>
      </x:c>
      <x:c r="X17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78" s="38" t="str">
        <x:v>{"candidates":{"manufacturer_confirmation":{"source_fields":["brand"],"canonical_name":"Renault"}},"confidence":0.8,"normalized":{"market":["SE"],"power_kw":77,"manufacturer":"Renault","bodywork_form":"hatchback","energy_sources":["petrol","ethanol"],"displacement_cc":1598,"production_date":"2007-09","production_year":2007,"manufacturer_role":"vehicle_manufacturer","power_source_unit":"kw","registration_date":"2008-03-03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-09","field":"production_date","before":{"build_month":"200709","vehicle_year":2007,"registration_date":"20080303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20080303"},"target":"normalized","rule_ids":["DATE-REGISTRATION-V1","DATE-PRODUCTION-MONTH-V1"],"sequence":8,"transformer_id":"ts.dates","confidence_effect":0.1},{"after":2007,"field":"production_year","before":{"build_month":"200709","vehicle_year":2007,"registration_date":"20080303"},"target":"normalized","rule_ids":["DATE-REGISTRATION-V1","DATE-PRODUCTION-MONTH-V1"],"sequence":9,"transformer_id":"ts.dates","confidence_effect":0.1},{"after":"2008-03-03","field":"registration_date","before":{"build_month":"200709","vehicle_year":2007,"registration_date":"20080303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BM2K","version":"BM2K0H"},"target":"normalized","rule_ids":["TRN-001"],"sequence":15,"transformer_id":"ts.transmission","confidence_effect":0.1},{"after":"hatchback","field":"bodywork_form","before":{"variant":"BM2K","version":"BM2K0H","body_code":"AB","eu_category":"M1","vehicle_type":"PB"},"target":"normalized","rule_ids":["BDY-109"],"sequence":16,"transformer_id":"ts.bodywork","confidence_effect":0.1},{"after":"Halvkombi","field":"bodywork_registry_label_sv","before":{"variant":"BM2K","version":"BM2K0H","body_code":"AB","eu_category":"M1","vehicle_type":"PB"},"target":"normalized","rule_ids":["BDY-109"],"sequence":17,"transformer_id":"ts.bodywork","confidence_effect":0.1},{"after":["petrol","ethanol"],"field":"energy_sources","before":{"fuel1":"1","fuel2":"7","fuel3":"0","variant":"BM2K","version":"BM2K0H"},"target":"normalized","rule_ids":["FUEL-001","FUEL-007"],"sequence":18,"transformer_id":"ts.fuel","confidence_effect":0.0}],"pipeline_version":"normalization-pipeline-v4","candidate_rule_ids":["MFR-BRAND-PREFIX-FALLBACK"]}</x:v>
      </x:c>
      <x:c r="Z178" s="36" t="n">
        <x:v>46239.78067015046</x:v>
      </x:c>
      <x:c r="AA178" s="36" t="n">
        <x:v>46239.78067015046</x:v>
      </x:c>
    </x:row>
    <x:row r="179" ht="18" customHeight="1">
      <x:c r="A179" s="36" t="n">
        <x:v>2781</x:v>
      </x:c>
      <x:c r="B179" s="36" t="str">
        <x:v>d9dc158f-76e3-5fc4-9d6b-ff98842e1b52</x:v>
      </x:c>
      <x:c r="C179" s="36" t="str">
        <x:v>Transportstyrelsen</x:v>
      </x:c>
      <x:c r="D179" s="36" t="str">
        <x:v>normalization-review-passenger-250-v1-rules-20260805T184409855703Z</x:v>
      </x:c>
      <x:c r="E179" s="36" t="str">
        <x:v>staging.transportstyrelsen_raw</x:v>
      </x:c>
      <x:c r="F179" s="36" t="n">
        <x:v>2899</x:v>
      </x:c>
      <x:c r="G179" s="36" t="str">
        <x:v>ts-mapping-v1</x:v>
      </x:c>
      <x:c r="H179" s="36" t="str">
        <x:v>ts-review-20260805T184254528647Z</x:v>
      </x:c>
      <x:c r="I179" s="36" t="str">
        <x:v>normalization-pipeline-v4</x:v>
      </x:c>
      <x:c r="J179" s="36" t="str">
        <x:v>provisional</x:v>
      </x:c>
      <x:c r="K179" s="39" t="n">
        <x:v>0.8</x:v>
      </x:c>
      <x:c r="L179" s="36" t="str">
        <x:v>Chrysler</x:v>
      </x:c>
      <x:c r="M179" s="36"/>
      <x:c r="N179" s="36" t="str">
        <x:v>multi_purpose_vehicle</x:v>
      </x:c>
      <x:c r="O179" s="38" t="str">
        <x:v>["petrol"]</x:v>
      </x:c>
      <x:c r="P179" s="36" t="str">
        <x:v>automatic</x:v>
      </x:c>
      <x:c r="Q179" s="36" t="n">
        <x:v>2010</x:v>
      </x:c>
      <x:c r="R179" s="38" t="str">
        <x:v>["DATE-REGISTRATION-V1","DATE-PRODUCTION-YEAR-V1","UNIT-POWER-KW-V1","TRN-002","BDY-113","FUEL-001"]</x:v>
      </x:c>
      <x:c r="S179" s="38" t="str">
        <x:v>["MFR-BRAND-PREFIX-FALLBACK","MFE-ED4F87B49282AD"]</x:v>
      </x:c>
      <x:c r="T179" s="38" t="str">
        <x:v>[]</x:v>
      </x:c>
      <x:c r="U179" s="38" t="str">
        <x:v>{"market":["SE"],"power_kw":145,"manufacturer":"Chrysler","bodywork_form":"multi_purpose_vehicle","energy_sources":["petrol"],"production_year":2010,"manufacturer_role":"vehicle_manufacturer","power_source_unit":"kw","registration_date":"2012-03-05","transmission_type":"automatic","alias_types_present":["plate","vin"],"builder_converter_names":[],"production_date_precision":"model_year","bodywork_registry_label_sv":"Fordon avsett för flera ändamål"}</x:v>
      </x:c>
      <x:c r="V179" s="38" t="str">
        <x:v>{"manufacturer_confirmation":{"source_fields":["brand"],"canonical_name":"Chrysler"}}</x:v>
      </x:c>
      <x:c r="W1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TOWN &amp;COUNTRY","target":"normalized","rule_ids":["MFR-CLASSIFY-V1"],"sequence":3,"transformer_id":"ts.manufacturer","confidence_effect":0.2},{"after":"Chrysler","field":"manufacturer","before":"CHRYSLER TOWN &amp;COUNTRY","target":"normalized","rule_ids":["MFR-CLASSIFY-V1"],"sequence":4,"transformer_id":"ts.manufacturer","confidence_effect":0.2},{"after":"vehicle_manufacturer","field":"manufacturer_role","before":"CHRYSLER TOWN &amp;COUNTRY","target":"normalized","rule_ids":["MFR-CLASSIFY-V1"],"sequence":5,"transformer_id":"ts.manufacturer","confidence_effect":0.2},{"after":{"source_fields":["brand"],"canonical_name":"Chrysler"},"field":"manufacturer_confirmation","before":"CHRYSLER TOWN &amp;COUNTRY","target":"candidate","rule_ids":["MFR-BRAND-PREFIX-FALLBACK","MFE-ED4F87B49282AD"],"sequence":6,"transformer_id":"ts.manufacturer","confidence_effect":0.05},{"after":"model_year","field":"production_date_precision","before":{"model_year":2010,"vehicle_year":2010,"registration_date":"20120305"},"target":"normalized","rule_ids":["DATE-REGISTRATION-V1","DATE-PRODUCTION-YEAR-V1"],"sequence":7,"transformer_id":"ts.dates","confidence_effect":0.1},{"after":2010,"field":"production_year","before":{"model_year":2010,"vehicle_year":2010,"registration_date":"20120305"},"target":"normalized","rule_ids":["DATE-REGISTRATION-V1","DATE-PRODUCTION-YEAR-V1"],"sequence":8,"transformer_id":"ts.dates","confidence_effect":0.1},{"after":"2012-03-05","field":"registration_date","before":{"model_year":2010,"vehicle_year":2010,"registration_date":"20120305"},"target":"normalized","rule_ids":["DATE-REGISTRATION-V1","DATE-PRODUCTION-YEAR-V1"],"sequence":9,"transformer_id":"ts.dates","confidence_effect":0.1},{"after":145,"field":"power_kw","before":145,"target":"normalized","rule_ids":["UNIT-POWER-KW-V1"],"sequence":10,"transformer_id":"ts.engine-measurements","confidence_effect":0.1},{"after":"kw","field":"power_source_unit","before":145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multi_purpose_vehicle","field":"bodywork_form","before":{"body_code":"AF","eu_category":"M1","vehicle_type":"PB"},"target":"normalized","rule_ids":["BDY-113"],"sequence":13,"transformer_id":"ts.bodywork","confidence_effect":0.1},{"after":"Fordon avsett för flera ändamål","field":"bodywork_registry_label_sv","before":{"body_code":"AF","eu_category":"M1","vehicle_type":"PB"},"target":"normalized","rule_ids":["BDY-113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9" s="38" t="str">
        <x:v>{"candidates":{"manufacturer_confirmation":{"source_fields":["brand"],"canonical_name":"Chrysler"}},"confidence":0.8,"normalized":{"market":["SE"],"power_kw":145,"manufacturer":"Chrysler","bodywork_form":"multi_purpose_vehicle","energy_sources":["petrol"],"production_year":2010,"manufacturer_role":"vehicle_manufacturer","power_source_unit":"kw","registration_date":"2012-03-05","transmission_type":"automatic","alias_types_present":["plate","vin"],"builder_converter_names":[]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TOWN &amp;COUNTRY","target":"normalized","rule_ids":["MFR-CLASSIFY-V1"],"sequence":3,"transformer_id":"ts.manufacturer","confidence_effect":0.2},{"after":"Chrysler","field":"manufacturer","before":"CHRYSLER TOWN &amp;COUNTRY","target":"normalized","rule_ids":["MFR-CLASSIFY-V1"],"sequence":4,"transformer_id":"ts.manufacturer","confidence_effect":0.2},{"after":"vehicle_manufacturer","field":"manufacturer_role","before":"CHRYSLER TOWN &amp;COUNTRY","target":"normalized","rule_ids":["MFR-CLASSIFY-V1"],"sequence":5,"transformer_id":"ts.manufacturer","confidence_effect":0.2},{"after":{"source_fields":["brand"],"canonical_name":"Chrysler"},"field":"manufacturer_confirmation","before":"CHRYSLER TOWN &amp;COUNTRY","target":"candidate","rule_ids":["MFR-BRAND-PREFIX-FALLBACK","MFE-ED4F87B49282AD"],"sequence":6,"transformer_id":"ts.manufacturer","confidence_effect":0.05},{"after":"model_year","field":"production_date_precision","before":{"model_year":2010,"vehicle_year":2010,"registration_date":"20120305"},"target":"normalized","rule_ids":["DATE-REGISTRATION-V1","DATE-PRODUCTION-YEAR-V1"],"sequence":7,"transformer_id":"ts.dates","confidence_effect":0.1},{"after":2010,"field":"production_year","before":{"model_year":2010,"vehicle_year":2010,"registration_date":"20120305"},"target":"normalized","rule_ids":["DATE-REGISTRATION-V1","DATE-PRODUCTION-YEAR-V1"],"sequence":8,"transformer_id":"ts.dates","confidence_effect":0.1},{"after":"2012-03-05","field":"registration_date","before":{"model_year":2010,"vehicle_year":2010,"registration_date":"20120305"},"target":"normalized","rule_ids":["DATE-REGISTRATION-V1","DATE-PRODUCTION-YEAR-V1"],"sequence":9,"transformer_id":"ts.dates","confidence_effect":0.1},{"after":145,"field":"power_kw","before":145,"target":"normalized","rule_ids":["UNIT-POWER-KW-V1"],"sequence":10,"transformer_id":"ts.engine-measurements","confidence_effect":0.1},{"after":"kw","field":"power_source_unit","before":145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multi_purpose_vehicle","field":"bodywork_form","before":{"body_code":"AF","eu_category":"M1","vehicle_type":"PB"},"target":"normalized","rule_ids":["BDY-113"],"sequence":13,"transformer_id":"ts.bodywork","confidence_effect":0.1},{"after":"Fordon avsett för flera ändamål","field":"bodywork_registry_label_sv","before":{"body_code":"AF","eu_category":"M1","vehicle_type":"PB"},"target":"normalized","rule_ids":["BDY-113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D4F87B49282AD"]}</x:v>
      </x:c>
      <x:c r="Z179" s="36" t="n">
        <x:v>46239.78067015046</x:v>
      </x:c>
      <x:c r="AA179" s="36" t="n">
        <x:v>46239.78067015046</x:v>
      </x:c>
    </x:row>
    <x:row r="180" ht="18" customHeight="1">
      <x:c r="A180" s="36" t="n">
        <x:v>2782</x:v>
      </x:c>
      <x:c r="B180" s="36" t="str">
        <x:v>df65874e-b101-5398-aa72-29c043125170</x:v>
      </x:c>
      <x:c r="C180" s="36" t="str">
        <x:v>Transportstyrelsen</x:v>
      </x:c>
      <x:c r="D180" s="36" t="str">
        <x:v>normalization-review-passenger-250-v1-rules-20260805T184409855703Z</x:v>
      </x:c>
      <x:c r="E180" s="36" t="str">
        <x:v>staging.transportstyrelsen_raw</x:v>
      </x:c>
      <x:c r="F180" s="36" t="n">
        <x:v>2900</x:v>
      </x:c>
      <x:c r="G180" s="36" t="str">
        <x:v>ts-mapping-v1</x:v>
      </x:c>
      <x:c r="H180" s="36" t="str">
        <x:v>ts-review-20260805T184254528647Z</x:v>
      </x:c>
      <x:c r="I180" s="36" t="str">
        <x:v>normalization-pipeline-v4</x:v>
      </x:c>
      <x:c r="J180" s="36" t="str">
        <x:v>provisional</x:v>
      </x:c>
      <x:c r="K180" s="39" t="n">
        <x:v>0.8</x:v>
      </x:c>
      <x:c r="L180" s="36" t="str">
        <x:v>Volkswagen</x:v>
      </x:c>
      <x:c r="M180" s="36" t="str">
        <x:v>UP!</x:v>
      </x:c>
      <x:c r="N180" s="36" t="str">
        <x:v>hatchback</x:v>
      </x:c>
      <x:c r="O180" s="38" t="str">
        <x:v>["petrol"]</x:v>
      </x:c>
      <x:c r="P180" s="36" t="str">
        <x:v>manual</x:v>
      </x:c>
      <x:c r="Q180" s="36" t="n">
        <x:v>2015</x:v>
      </x:c>
      <x:c r="R180" s="38" t="str">
        <x:v>["MFR-BRAND-CONFIRMED","MFR-BRAND-MODEL","MFR-BRAND-VIN-WMI","DATE-REGISTRATION-V1","DATE-PRODUCTION-MONTH-V1","UNIT-POWER-KW-V1","UNIT-DISPLACEMENT-CCM-V1","TRN-001","BDY-109","FUEL-001"]</x:v>
      </x:c>
      <x:c r="S180" s="38" t="str">
        <x:v>[]</x:v>
      </x:c>
      <x:c r="T180" s="38" t="str">
        <x:v>[]</x:v>
      </x:c>
      <x:c r="U180" s="38" t="str">
        <x:v>{"market":["SE"],"power_kw":55,"manufacturer":"Volkswagen","bodywork_form":"hatchback","energy_sources":["petrol"],"displacement_cc":999,"production_date":"2015-10","production_year":2015,"manufacturer_role":"vehicle_manufacturer","power_source_unit":"kw","registration_date":"2015-11-27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80" s="38" t="str">
        <x:v>{"model_family":"UP!"}</x:v>
      </x:c>
      <x:c r="W1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UP!","target":"normalized","rule_ids":["MODEL-CANDIDATE-V1"],"sequence":6,"transformer_id":"ts.model-family","confidence_effect":0.0},{"after":"UP!","field":"model_family","before":"UP!","target":"candidate","rule_ids":["MODEL-CANDIDATE-V1"],"sequence":7,"transformer_id":"ts.model-family","confidence_effect":0.05},{"after":"2015-10","field":"production_date","before":{"build_month":"201510","vehicle_year":2015,"registration_date":"20151127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20151127"},"target":"normalized","rule_ids":["DATE-REGISTRATION-V1","DATE-PRODUCTION-MONTH-V1"],"sequence":9,"transformer_id":"ts.dates","confidence_effect":0.1},{"after":2015,"field":"production_year","before":{"build_month":"201510","vehicle_year":2015,"registration_date":"20151127"},"target":"normalized","rule_ids":["DATE-REGISTRATION-V1","DATE-PRODUCTION-MONTH-V1"],"sequence":10,"transformer_id":"ts.dates","confidence_effect":0.1},{"after":"2015-11-27","field":"registration_date","before":{"build_month":"201510","vehicle_year":2015,"registration_date":"20151127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UP!","gearbox":"M","variant":"ABCHYB","version":"FM5FM5CF0107MMVR0N1SVW61"},"target":"normalized","rule_ids":["TRN-001"],"sequence":16,"transformer_id":"ts.transmission","confidence_effect":0.1},{"after":"hatchback","field":"bodywork_form","before":{"model":"UP!","variant":"ABCHYB","version":"FM5FM5CF0107MMVR0N1SVW61","body_code":"AB","eu_category":"M1","vehicle_type":"PB"},"target":"normalized","rule_ids":["BDY-109"],"sequence":17,"transformer_id":"ts.bodywork","confidence_effect":0.1},{"after":"Halvkombi","field":"bodywork_registry_label_sv","before":{"model":"UP!","variant":"ABCHYB","version":"FM5FM5CF0107MMVR0N1SVW61","body_code":"AB","eu_category":"M1","vehicle_type":"PB"},"target":"normalized","rule_ids":["BDY-109"],"sequence":18,"transformer_id":"ts.bodywork","confidence_effect":0.1},{"after":["petrol"],"field":"energy_sources","before":{"fuel1":"1","fuel2":"0","fuel3":"0","model":"UP!","variant":"ABCHYB","version":"FM5FM5CF0107MMVR0N1SVW61"},"target":"normalized","rule_ids":["FUEL-001"],"sequence":19,"transformer_id":"ts.fuel","confidence_effect":0.0}]</x:v>
      </x:c>
      <x:c r="X18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0" s="38" t="str">
        <x:v>{"candidates":{"model_family":"UP!"},"confidence":0.8,"normalized":{"market":["SE"],"power_kw":55,"manufacturer":"Volkswagen","bodywork_form":"hatchback","energy_sources":["petrol"],"displacement_cc":999,"production_date":"2015-10","production_year":2015,"manufacturer_role":"vehicle_manufacturer","power_source_unit":"kw","registration_date":"2015-11-27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UP!","target":"normalized","rule_ids":["MODEL-CANDIDATE-V1"],"sequence":6,"transformer_id":"ts.model-family","confidence_effect":0.0},{"after":"UP!","field":"model_family","before":"UP!","target":"candidate","rule_ids":["MODEL-CANDIDATE-V1"],"sequence":7,"transformer_id":"ts.model-family","confidence_effect":0.05},{"after":"2015-10","field":"production_date","before":{"build_month":"201510","vehicle_year":2015,"registration_date":"20151127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20151127"},"target":"normalized","rule_ids":["DATE-REGISTRATION-V1","DATE-PRODUCTION-MONTH-V1"],"sequence":9,"transformer_id":"ts.dates","confidence_effect":0.1},{"after":2015,"field":"production_year","before":{"build_month":"201510","vehicle_year":2015,"registration_date":"20151127"},"target":"normalized","rule_ids":["DATE-REGISTRATION-V1","DATE-PRODUCTION-MONTH-V1"],"sequence":10,"transformer_id":"ts.dates","confidence_effect":0.1},{"after":"2015-11-27","field":"registration_date","before":{"build_month":"201510","vehicle_year":2015,"registration_date":"20151127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UP!","gearbox":"M","variant":"ABCHYB","version":"FM5FM5CF0107MMVR0N1SVW61"},"target":"normalized","rule_ids":["TRN-001"],"sequence":16,"transformer_id":"ts.transmission","confidence_effect":0.1},{"after":"hatchback","field":"bodywork_form","before":{"model":"UP!","variant":"ABCHYB","version":"FM5FM5CF0107MMVR0N1SVW61","body_code":"AB","eu_category":"M1","vehicle_type":"PB"},"target":"normalized","rule_ids":["BDY-109"],"sequence":17,"transformer_id":"ts.bodywork","confidence_effect":0.1},{"after":"Halvkombi","field":"bodywork_registry_label_sv","before":{"model":"UP!","variant":"ABCHYB","version":"FM5FM5CF0107MMVR0N1SVW61","body_code":"AB","eu_category":"M1","vehicle_type":"PB"},"target":"normalized","rule_ids":["BDY-109"],"sequence":18,"transformer_id":"ts.bodywork","confidence_effect":0.1},{"after":["petrol"],"field":"energy_sources","before":{"fuel1":"1","fuel2":"0","fuel3":"0","model":"UP!","variant":"ABCHYB","version":"FM5FM5CF0107MMVR0N1SVW61"},"target":"normalized","rule_ids":["FUEL-001"],"sequence":19,"transformer_id":"ts.fuel","confidence_effect":0.0}],"pipeline_version":"normalization-pipeline-v4","candidate_rule_ids":[]}</x:v>
      </x:c>
      <x:c r="Z180" s="36" t="n">
        <x:v>46239.78067015046</x:v>
      </x:c>
      <x:c r="AA180" s="36" t="n">
        <x:v>46239.78067015046</x:v>
      </x:c>
    </x:row>
    <x:row r="181" ht="18" customHeight="1">
      <x:c r="A181" s="36" t="n">
        <x:v>2783</x:v>
      </x:c>
      <x:c r="B181" s="36" t="str">
        <x:v>1ff070f5-15a6-5fe8-971b-d533c7cd4b87</x:v>
      </x:c>
      <x:c r="C181" s="36" t="str">
        <x:v>Transportstyrelsen</x:v>
      </x:c>
      <x:c r="D181" s="36" t="str">
        <x:v>normalization-review-passenger-250-v1-rules-20260805T184409855703Z</x:v>
      </x:c>
      <x:c r="E181" s="36" t="str">
        <x:v>staging.transportstyrelsen_raw</x:v>
      </x:c>
      <x:c r="F181" s="36" t="n">
        <x:v>2901</x:v>
      </x:c>
      <x:c r="G181" s="36" t="str">
        <x:v>ts-mapping-v1</x:v>
      </x:c>
      <x:c r="H181" s="36" t="str">
        <x:v>ts-review-20260805T184254528647Z</x:v>
      </x:c>
      <x:c r="I181" s="36" t="str">
        <x:v>normalization-pipeline-v4</x:v>
      </x:c>
      <x:c r="J181" s="36" t="str">
        <x:v>provisional</x:v>
      </x:c>
      <x:c r="K181" s="39" t="n">
        <x:v>0.8</x:v>
      </x:c>
      <x:c r="L181" s="36" t="str">
        <x:v>Renault</x:v>
      </x:c>
      <x:c r="M181" s="36"/>
      <x:c r="N181" s="36" t="str">
        <x:v>estate</x:v>
      </x:c>
      <x:c r="O181" s="38" t="str">
        <x:v>["petrol","ethanol"]</x:v>
      </x:c>
      <x:c r="P181" s="36" t="str">
        <x:v>manual</x:v>
      </x:c>
      <x:c r="Q181" s="36" t="n">
        <x:v>2007</x:v>
      </x:c>
      <x:c r="R181" s="38" t="str">
        <x:v>["DATE-REGISTRATION-V1","DATE-PRODUCTION-MONTH-V1","UNIT-POWER-KW-V1","UNIT-DISPLACEMENT-CCM-V1","TRN-001","BDY-110","FUEL-001","FUEL-007"]</x:v>
      </x:c>
      <x:c r="S181" s="38" t="str">
        <x:v>["MFR-BRAND-PREFIX-FALLBACK"]</x:v>
      </x:c>
      <x:c r="T181" s="38" t="str">
        <x:v>[]</x:v>
      </x:c>
      <x:c r="U181" s="38" t="str">
        <x:v>{"market":["SE"],"power_kw":77,"manufacturer":"Renault","bodywork_form":"estate","energy_sources":["petrol","ethanol"],"displacement_cc":1598,"production_date":"2007-10","production_year":2007,"manufacturer_role":"vehicle_manufacturer","power_source_unit":"kw","registration_date":"2007-11-12","transmission_type":"manual","alias_types_present":["plate","vin"],"builder_converter_names":[],"displacement_source_unit":"ccm","production_date_precision":"month","bodywork_registry_label_sv":"Stationsvagn (kombivagn)"}</x:v>
      </x:c>
      <x:c r="V181" s="38" t="str">
        <x:v>{"manufacturer_confirmation":{"source_fields":["brand"],"canonical_name":"Renault"}}</x:v>
      </x:c>
      <x:c r="W1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-10","field":"production_date","before":{"build_month":"200710","vehicle_year":2007,"registration_date":"20071112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20071112"},"target":"normalized","rule_ids":["DATE-REGISTRATION-V1","DATE-PRODUCTION-MONTH-V1"],"sequence":8,"transformer_id":"ts.dates","confidence_effect":0.1},{"after":2007,"field":"production_year","before":{"build_month":"200710","vehicle_year":2007,"registration_date":"20071112"},"target":"normalized","rule_ids":["DATE-REGISTRATION-V1","DATE-PRODUCTION-MONTH-V1"],"sequence":9,"transformer_id":"ts.dates","confidence_effect":0.1},{"after":"2007-11-12","field":"registration_date","before":{"build_month":"200710","vehicle_year":2007,"registration_date":"20071112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KM2K","version":"KM2K0H"},"target":"normalized","rule_ids":["TRN-001"],"sequence":15,"transformer_id":"ts.transmission","confidence_effect":0.1},{"after":"estate","field":"bodywork_form","before":{"variant":"KM2K","version":"KM2K0H","body_code":"AC","eu_category":"M1","vehicle_type":"PB"},"target":"normalized","rule_ids":["BDY-110"],"sequence":16,"transformer_id":"ts.bodywork","confidence_effect":0.1},{"after":"Stationsvagn (kombivagn)","field":"bodywork_registry_label_sv","before":{"variant":"KM2K","version":"KM2K0H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KM2K","version":"KM2K0H"},"target":"normalized","rule_ids":["FUEL-001","FUEL-007"],"sequence":18,"transformer_id":"ts.fuel","confidence_effect":0.0}]</x:v>
      </x:c>
      <x:c r="X18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81" s="38" t="str">
        <x:v>{"candidates":{"manufacturer_confirmation":{"source_fields":["brand"],"canonical_name":"Renault"}},"confidence":0.8,"normalized":{"market":["SE"],"power_kw":77,"manufacturer":"Renault","bodywork_form":"estate","energy_sources":["petrol","ethanol"],"displacement_cc":1598,"production_date":"2007-10","production_year":2007,"manufacturer_role":"vehicle_manufacturer","power_source_unit":"kw","registration_date":"2007-11-12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-10","field":"production_date","before":{"build_month":"200710","vehicle_year":2007,"registration_date":"20071112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20071112"},"target":"normalized","rule_ids":["DATE-REGISTRATION-V1","DATE-PRODUCTION-MONTH-V1"],"sequence":8,"transformer_id":"ts.dates","confidence_effect":0.1},{"after":2007,"field":"production_year","before":{"build_month":"200710","vehicle_year":2007,"registration_date":"20071112"},"target":"normalized","rule_ids":["DATE-REGISTRATION-V1","DATE-PRODUCTION-MONTH-V1"],"sequence":9,"transformer_id":"ts.dates","confidence_effect":0.1},{"after":"2007-11-12","field":"registration_date","before":{"build_month":"200710","vehicle_year":2007,"registration_date":"20071112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KM2K","version":"KM2K0H"},"target":"normalized","rule_ids":["TRN-001"],"sequence":15,"transformer_id":"ts.transmission","confidence_effect":0.1},{"after":"estate","field":"bodywork_form","before":{"variant":"KM2K","version":"KM2K0H","body_code":"AC","eu_category":"M1","vehicle_type":"PB"},"target":"normalized","rule_ids":["BDY-110"],"sequence":16,"transformer_id":"ts.bodywork","confidence_effect":0.1},{"after":"Stationsvagn (kombivagn)","field":"bodywork_registry_label_sv","before":{"variant":"KM2K","version":"KM2K0H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KM2K","version":"KM2K0H"},"target":"normalized","rule_ids":["FUEL-001","FUEL-007"],"sequence":18,"transformer_id":"ts.fuel","confidence_effect":0.0}],"pipeline_version":"normalization-pipeline-v4","candidate_rule_ids":["MFR-BRAND-PREFIX-FALLBACK"]}</x:v>
      </x:c>
      <x:c r="Z181" s="36" t="n">
        <x:v>46239.78067015046</x:v>
      </x:c>
      <x:c r="AA181" s="36" t="n">
        <x:v>46239.78067015046</x:v>
      </x:c>
    </x:row>
    <x:row r="182" ht="18" customHeight="1">
      <x:c r="A182" s="36" t="n">
        <x:v>2784</x:v>
      </x:c>
      <x:c r="B182" s="36" t="str">
        <x:v>e86a6028-3a2d-5b57-9e85-fa7f9281622d</x:v>
      </x:c>
      <x:c r="C182" s="36" t="str">
        <x:v>Transportstyrelsen</x:v>
      </x:c>
      <x:c r="D182" s="36" t="str">
        <x:v>normalization-review-passenger-250-v1-rules-20260805T184409855703Z</x:v>
      </x:c>
      <x:c r="E182" s="36" t="str">
        <x:v>staging.transportstyrelsen_raw</x:v>
      </x:c>
      <x:c r="F182" s="36" t="n">
        <x:v>2902</x:v>
      </x:c>
      <x:c r="G182" s="36" t="str">
        <x:v>ts-mapping-v1</x:v>
      </x:c>
      <x:c r="H182" s="36" t="str">
        <x:v>ts-review-20260805T184254528647Z</x:v>
      </x:c>
      <x:c r="I182" s="36" t="str">
        <x:v>normalization-pipeline-v4</x:v>
      </x:c>
      <x:c r="J182" s="36" t="str">
        <x:v>provisional</x:v>
      </x:c>
      <x:c r="K182" s="39" t="n">
        <x:v>0.8</x:v>
      </x:c>
      <x:c r="L182" s="36" t="str">
        <x:v>BMW</x:v>
      </x:c>
      <x:c r="M182" s="36" t="str">
        <x:v>530E XDRIVE</x:v>
      </x:c>
      <x:c r="N182" s="36" t="str">
        <x:v>estate</x:v>
      </x:c>
      <x:c r="O182" s="38" t="str">
        <x:v>["petrol","electricity"]</x:v>
      </x:c>
      <x:c r="P182" s="36" t="str">
        <x:v>automatic</x:v>
      </x:c>
      <x:c r="Q182" s="36" t="n">
        <x:v>2022</x:v>
      </x:c>
      <x:c r="R182" s="38" t="str">
        <x:v>["MFR-102","DATE-REGISTRATION-V1","DATE-PRODUCTION-DAY-V1","UNIT-POWER-KW-V1","UNIT-DISPLACEMENT-CCM-V1","TRN-002","BDY-110","FUEL-001","FUEL-003","ELEC-003"]</x:v>
      </x:c>
      <x:c r="S182" s="38" t="str">
        <x:v>["DRV-008"]</x:v>
      </x:c>
      <x:c r="T182" s="38" t="str">
        <x:v>[]</x:v>
      </x:c>
      <x:c r="U182" s="38" t="str">
        <x:v>{"market":["SE"],"power_kw":135,"manufacturer":"BMW","bodywork_form":"estate","energy_sources":["petrol","electricity"],"displacement_cc":1998,"production_date":"2022-02-18","production_year":2022,"manufacturer_role":"vehicle_manufacturer","power_source_unit":"kw","registration_date":"2022-04-28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82" s="38" t="str">
        <x:v>{"drive_type":"awd","model_family":"530E XDRIVE"}</x:v>
      </x:c>
      <x:c r="W1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MÅNCHEN"},"target":"normalized","rule_ids":["MFR-102"],"sequence":5,"transformer_id":"ts.manufacturer","confidence_effect":0.2},{"after":true,"field":"model_family_candidate","before":"530E XDRIVE","target":"normalized","rule_ids":["MODEL-CANDIDATE-V1"],"sequence":6,"transformer_id":"ts.model-family","confidence_effect":0.0},{"after":"530E XDRIVE","field":"model_family","before":"530E XDRIVE","target":"candidate","rule_ids":["MODEL-CANDIDATE-V1"],"sequence":7,"transformer_id":"ts.model-family","confidence_effect":0.05},{"after":"2022-02-18","field":"production_date","before":{"build_date":"20220218","build_month":"202202","vehicle_year":2022,"registration_date":"20220428"},"target":"normalized","rule_ids":["DATE-REGISTRATION-V1","DATE-PRODUCTION-DAY-V1"],"sequence":8,"transformer_id":"ts.dates","confidence_effect":0.1},{"after":"day","field":"production_date_precision","before":{"build_date":"20220218","build_month":"202202","vehicle_year":2022,"registration_date":"20220428"},"target":"normalized","rule_ids":["DATE-REGISTRATION-V1","DATE-PRODUCTION-DAY-V1"],"sequence":9,"transformer_id":"ts.dates","confidence_effect":0.1},{"after":2022,"field":"production_year","before":{"build_date":"20220218","build_month":"202202","vehicle_year":2022,"registration_date":"20220428"},"target":"normalized","rule_ids":["DATE-REGISTRATION-V1","DATE-PRODUCTION-DAY-V1"],"sequence":10,"transformer_id":"ts.dates","confidence_effect":0.1},{"after":"2022-04-28","field":"registration_date","before":{"build_date":"20220218","build_month":"202202","vehicle_year":2022,"registration_date":"20220428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530E XDRIVE","gearbox":"A","variant":"31CG","version":"IAW500M0"},"target":"normalized","rule_ids":["TRN-002"],"sequence":16,"transformer_id":"ts.transmission","confidence_effect":0.1},{"after":"estate","field":"bodywork_form","before":{"model":"530E XDRIVE","variant":"31CG","version":"IAW500M0","body_code":"AC","eu_category":"M1","vehicle_type":"PB"},"target":"normalized","rule_ids":["BDY-110"],"sequence":17,"transformer_id":"ts.bodywork","confidence_effect":0.1},{"after":"Stationsvagn (kombivagn)","field":"bodywork_registry_label_sv","before":{"model":"530E XDRIVE","variant":"31CG","version":"IAW500M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530E XDRIVE","variant":"31CG","version":"IAW500M0","ev_config":"LADDHYBRID"},"target":"normalized","rule_ids":["FUEL-001","FUEL-003","ELEC-003"],"sequence":20,"transformer_id":"ts.fuel","confidence_effect":0.0},{"after":["petrol","electricity"],"field":"energy_sources","before":{"fuel1":"1","fuel2":"3","fuel3":"0","model":"530E XDRIVE","variant":"31CG","version":"IAW500M0","ev_config":"LADDHYBRID"},"target":"normalized","rule_ids":["FUEL-001","FUEL-003","ELEC-003"],"sequence":21,"transformer_id":"ts.fuel","confidence_effect":0.0}]</x:v>
      </x:c>
      <x:c r="X18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82" s="38" t="str">
        <x:v>{"candidates":{"drive_type":"awd","model_family":"530E XDRIVE"},"confidence":0.8,"normalized":{"market":["SE"],"power_kw":135,"manufacturer":"BMW","bodywork_form":"estate","energy_sources":["petrol","electricity"],"displacement_cc":1998,"production_date":"2022-02-18","production_year":2022,"manufacturer_role":"vehicle_manufacturer","power_source_unit":"kw","registration_date":"2022-04-28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MÅNCHEN"},"target":"normalized","rule_ids":["MFR-102"],"sequence":5,"transformer_id":"ts.manufacturer","confidence_effect":0.2},{"after":true,"field":"model_family_candidate","before":"530E XDRIVE","target":"normalized","rule_ids":["MODEL-CANDIDATE-V1"],"sequence":6,"transformer_id":"ts.model-family","confidence_effect":0.0},{"after":"530E XDRIVE","field":"model_family","before":"530E XDRIVE","target":"candidate","rule_ids":["MODEL-CANDIDATE-V1"],"sequence":7,"transformer_id":"ts.model-family","confidence_effect":0.05},{"after":"2022-02-18","field":"production_date","before":{"build_date":"20220218","build_month":"202202","vehicle_year":2022,"registration_date":"20220428"},"target":"normalized","rule_ids":["DATE-REGISTRATION-V1","DATE-PRODUCTION-DAY-V1"],"sequence":8,"transformer_id":"ts.dates","confidence_effect":0.1},{"after":"day","field":"production_date_precision","before":{"build_date":"20220218","build_month":"202202","vehicle_year":2022,"registration_date":"20220428"},"target":"normalized","rule_ids":["DATE-REGISTRATION-V1","DATE-PRODUCTION-DAY-V1"],"sequence":9,"transformer_id":"ts.dates","confidence_effect":0.1},{"after":2022,"field":"production_year","before":{"build_date":"20220218","build_month":"202202","vehicle_year":2022,"registration_date":"20220428"},"target":"normalized","rule_ids":["DATE-REGISTRATION-V1","DATE-PRODUCTION-DAY-V1"],"sequence":10,"transformer_id":"ts.dates","confidence_effect":0.1},{"after":"2022-04-28","field":"registration_date","before":{"build_date":"20220218","build_month":"202202","vehicle_year":2022,"registration_date":"20220428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530E XDRIVE","gearbox":"A","variant":"31CG","version":"IAW500M0"},"target":"normalized","rule_ids":["TRN-002"],"sequence":16,"transformer_id":"ts.transmission","confidence_effect":0.1},{"after":"estate","field":"bodywork_form","before":{"model":"530E XDRIVE","variant":"31CG","version":"IAW500M0","body_code":"AC","eu_category":"M1","vehicle_type":"PB"},"target":"normalized","rule_ids":["BDY-110"],"sequence":17,"transformer_id":"ts.bodywork","confidence_effect":0.1},{"after":"Stationsvagn (kombivagn)","field":"bodywork_registry_label_sv","before":{"model":"530E XDRIVE","variant":"31CG","version":"IAW500M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530E XDRIVE","variant":"31CG","version":"IAW500M0","ev_config":"LADDHYBRID"},"target":"normalized","rule_ids":["FUEL-001","FUEL-003","ELEC-003"],"sequence":20,"transformer_id":"ts.fuel","confidence_effect":0.0},{"after":["petrol","electricity"],"field":"energy_sources","before":{"fuel1":"1","fuel2":"3","fuel3":"0","model":"530E XDRIVE","variant":"31CG","version":"IAW500M0","ev_config":"LADDHYBRID"},"target":"normalized","rule_ids":["FUEL-001","FUEL-003","ELEC-003"],"sequence":21,"transformer_id":"ts.fuel","confidence_effect":0.0}],"pipeline_version":"normalization-pipeline-v4","candidate_rule_ids":["DRV-008"]}</x:v>
      </x:c>
      <x:c r="Z182" s="36" t="n">
        <x:v>46239.78067015046</x:v>
      </x:c>
      <x:c r="AA182" s="36" t="n">
        <x:v>46239.78067015046</x:v>
      </x:c>
    </x:row>
    <x:row r="183" ht="18" customHeight="1">
      <x:c r="A183" s="36" t="n">
        <x:v>2785</x:v>
      </x:c>
      <x:c r="B183" s="36" t="str">
        <x:v>5d412602-42d1-5b54-9a35-9f39d4e9a345</x:v>
      </x:c>
      <x:c r="C183" s="36" t="str">
        <x:v>Transportstyrelsen</x:v>
      </x:c>
      <x:c r="D183" s="36" t="str">
        <x:v>normalization-review-passenger-250-v1-rules-20260805T184409855703Z</x:v>
      </x:c>
      <x:c r="E183" s="36" t="str">
        <x:v>staging.transportstyrelsen_raw</x:v>
      </x:c>
      <x:c r="F183" s="36" t="n">
        <x:v>2903</x:v>
      </x:c>
      <x:c r="G183" s="36" t="str">
        <x:v>ts-mapping-v1</x:v>
      </x:c>
      <x:c r="H183" s="36" t="str">
        <x:v>ts-review-20260805T184254528647Z</x:v>
      </x:c>
      <x:c r="I183" s="36" t="str">
        <x:v>normalization-pipeline-v4</x:v>
      </x:c>
      <x:c r="J183" s="36" t="str">
        <x:v>provisional</x:v>
      </x:c>
      <x:c r="K183" s="39" t="n">
        <x:v>0.8</x:v>
      </x:c>
      <x:c r="L183" s="36" t="str">
        <x:v>Audi</x:v>
      </x:c>
      <x:c r="M183" s="36" t="str">
        <x:v>A5 SPORTBACK</x:v>
      </x:c>
      <x:c r="N183" s="36" t="str">
        <x:v>hatchback</x:v>
      </x:c>
      <x:c r="O183" s="38" t="str">
        <x:v>["petrol"]</x:v>
      </x:c>
      <x:c r="P183" s="36" t="str">
        <x:v>automatic</x:v>
      </x:c>
      <x:c r="Q183" s="36" t="n">
        <x:v>2019</x:v>
      </x:c>
      <x:c r="R183" s="38" t="str">
        <x:v>["MFR-BRAND-CONFIRMED","MFR-BRAND-VIN-WMI","DATE-REGISTRATION-V1","DATE-PRODUCTION-MONTH-V1","UNIT-POWER-KW-V1","UNIT-DISPLACEMENT-CCM-V1","TRN-002","BDY-109","FUEL-001"]</x:v>
      </x:c>
      <x:c r="S183" s="38" t="str">
        <x:v>["DRV-008"]</x:v>
      </x:c>
      <x:c r="T183" s="38" t="str">
        <x:v>[]</x:v>
      </x:c>
      <x:c r="U183" s="38" t="str">
        <x:v>{"market":["SE"],"power_kw":180,"manufacturer":"Audi","bodywork_form":"hatchback","energy_sources":["petrol"],"displacement_cc":1984,"production_date":"2019-02","production_year":2019,"manufacturer_role":"vehicle_manufacturer","power_source_unit":"kw","registration_date":"2019-05-17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183" s="38" t="str">
        <x:v>{"drive_type":"awd","model_family":"A5 SPORTBACK"}</x:v>
      </x:c>
      <x:c r="W1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5 SPORTBACK","target":"normalized","rule_ids":["MODEL-CANDIDATE-V1"],"sequence":6,"transformer_id":"ts.model-family","confidence_effect":0.0},{"after":"A5 SPORTBACK","field":"model_family","before":"A5 SPORTBACK","target":"candidate","rule_ids":["MODEL-CANDIDATE-V1"],"sequence":7,"transformer_id":"ts.model-family","confidence_effect":0.05},{"after":"2019-02","field":"production_date","before":{"build_month":"201902","vehicle_year":2019,"registration_date":"20190517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20190517"},"target":"normalized","rule_ids":["DATE-REGISTRATION-V1","DATE-PRODUCTION-MONTH-V1"],"sequence":9,"transformer_id":"ts.dates","confidence_effect":0.1},{"after":2019,"field":"production_year","before":{"build_month":"201902","vehicle_year":2019,"registration_date":"20190517"},"target":"normalized","rule_ids":["DATE-REGISTRATION-V1","DATE-PRODUCTION-MONTH-V1"],"sequence":10,"transformer_id":"ts.dates","confidence_effect":0.1},{"after":"2019-05-17","field":"registration_date","before":{"build_month":"201902","vehicle_year":2019,"registration_date":"20190517"},"target":"normalized","rule_ids":["DATE-REGISTRATION-V1","DATE-PRODUCTION-MONTH-V1"],"sequence":11,"transformer_id":"ts.dates","confidence_effect":0.1},{"after":1984,"field":"displacement_cc","before":{"kw":180,"ccm":1984},"target":"normalized","rule_ids":["UNIT-POWER-KW-V1","UNIT-DISPLACEMENT-CCM-V1"],"sequence":12,"transformer_id":"ts.engine-measurements","confidence_effect":0.1},{"after":"ccm","field":"displacement_source_unit","before":{"kw":180,"ccm":1984},"target":"normalized","rule_ids":["UNIT-POWER-KW-V1","UNIT-DISPLACEMENT-CCM-V1"],"sequence":13,"transformer_id":"ts.engine-measurements","confidence_effect":0.1},{"after":180,"field":"power_kw","before":{"kw":180,"ccm":1984},"target":"normalized","rule_ids":["UNIT-POWER-KW-V1","UNIT-DISPLACEMENT-CCM-V1"],"sequence":14,"transformer_id":"ts.engine-measurements","confidence_effect":0.1},{"after":"kw","field":"power_source_unit","before":{"kw":180,"ccm":1984},"target":"normalized","rule_ids":["UNIT-POWER-KW-V1","UNIT-DISPLACEMENT-CCM-V1"],"sequence":15,"transformer_id":"ts.engine-measurements","confidence_effect":0.1},{"after":"automatic","field":"transmission_type","before":{"model":"A5 SPORTBACK","gearbox":"A","variant":"S2DKNAQ1","version":"QD7AD7CJ004RT181E20S57CSBEM1"},"target":"normalized","rule_ids":["TRN-002"],"sequence":16,"transformer_id":"ts.transmission","confidence_effect":0.1},{"after":"hatchback","field":"bodywork_form","before":{"model":"A5 SPORTBACK","variant":"S2DKNAQ1","version":"QD7AD7CJ004RT181E20S57CSBEM1","body_code":"AB","eu_category":"M1","vehicle_type":"PB"},"target":"normalized","rule_ids":["BDY-109"],"sequence":17,"transformer_id":"ts.bodywork","confidence_effect":0.1},{"after":"Halvkombi","field":"bodywork_registry_label_sv","before":{"model":"A5 SPORTBACK","variant":"S2DKNAQ1","version":"QD7AD7CJ004RT181E20S57CSBEM1","body_code":"AB","eu_category":"M1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A5 SPORTBACK","variant":"S2DKNAQ1","version":"QD7AD7CJ004RT181E20S57CSBEM1"},"target":"normalized","rule_ids":["FUEL-001"],"sequence":20,"transformer_id":"ts.fuel","confidence_effect":0.0}]</x:v>
      </x:c>
      <x:c r="X18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3" s="38" t="str">
        <x:v>{"candidates":{"drive_type":"awd","model_family":"A5 SPORTBACK"},"confidence":0.8,"normalized":{"market":["SE"],"power_kw":180,"manufacturer":"Audi","bodywork_form":"hatchback","energy_sources":["petrol"],"displacement_cc":1984,"production_date":"2019-02","production_year":2019,"manufacturer_role":"vehicle_manufacturer","power_source_unit":"kw","registration_date":"2019-05-17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5 SPORTBACK","target":"normalized","rule_ids":["MODEL-CANDIDATE-V1"],"sequence":6,"transformer_id":"ts.model-family","confidence_effect":0.0},{"after":"A5 SPORTBACK","field":"model_family","before":"A5 SPORTBACK","target":"candidate","rule_ids":["MODEL-CANDIDATE-V1"],"sequence":7,"transformer_id":"ts.model-family","confidence_effect":0.05},{"after":"2019-02","field":"production_date","before":{"build_month":"201902","vehicle_year":2019,"registration_date":"20190517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20190517"},"target":"normalized","rule_ids":["DATE-REGISTRATION-V1","DATE-PRODUCTION-MONTH-V1"],"sequence":9,"transformer_id":"ts.dates","confidence_effect":0.1},{"after":2019,"field":"production_year","before":{"build_month":"201902","vehicle_year":2019,"registration_date":"20190517"},"target":"normalized","rule_ids":["DATE-REGISTRATION-V1","DATE-PRODUCTION-MONTH-V1"],"sequence":10,"transformer_id":"ts.dates","confidence_effect":0.1},{"after":"2019-05-17","field":"registration_date","before":{"build_month":"201902","vehicle_year":2019,"registration_date":"20190517"},"target":"normalized","rule_ids":["DATE-REGISTRATION-V1","DATE-PRODUCTION-MONTH-V1"],"sequence":11,"transformer_id":"ts.dates","confidence_effect":0.1},{"after":1984,"field":"displacement_cc","before":{"kw":180,"ccm":1984},"target":"normalized","rule_ids":["UNIT-POWER-KW-V1","UNIT-DISPLACEMENT-CCM-V1"],"sequence":12,"transformer_id":"ts.engine-measurements","confidence_effect":0.1},{"after":"ccm","field":"displacement_source_unit","before":{"kw":180,"ccm":1984},"target":"normalized","rule_ids":["UNIT-POWER-KW-V1","UNIT-DISPLACEMENT-CCM-V1"],"sequence":13,"transformer_id":"ts.engine-measurements","confidence_effect":0.1},{"after":180,"field":"power_kw","before":{"kw":180,"ccm":1984},"target":"normalized","rule_ids":["UNIT-POWER-KW-V1","UNIT-DISPLACEMENT-CCM-V1"],"sequence":14,"transformer_id":"ts.engine-measurements","confidence_effect":0.1},{"after":"kw","field":"power_source_unit","before":{"kw":180,"ccm":1984},"target":"normalized","rule_ids":["UNIT-POWER-KW-V1","UNIT-DISPLACEMENT-CCM-V1"],"sequence":15,"transformer_id":"ts.engine-measurements","confidence_effect":0.1},{"after":"automatic","field":"transmission_type","before":{"model":"A5 SPORTBACK","gearbox":"A","variant":"S2DKNAQ1","version":"QD7AD7CJ004RT181E20S57CSBEM1"},"target":"normalized","rule_ids":["TRN-002"],"sequence":16,"transformer_id":"ts.transmission","confidence_effect":0.1},{"after":"hatchback","field":"bodywork_form","before":{"model":"A5 SPORTBACK","variant":"S2DKNAQ1","version":"QD7AD7CJ004RT181E20S57CSBEM1","body_code":"AB","eu_category":"M1","vehicle_type":"PB"},"target":"normalized","rule_ids":["BDY-109"],"sequence":17,"transformer_id":"ts.bodywork","confidence_effect":0.1},{"after":"Halvkombi","field":"bodywork_registry_label_sv","before":{"model":"A5 SPORTBACK","variant":"S2DKNAQ1","version":"QD7AD7CJ004RT181E20S57CSBEM1","body_code":"AB","eu_category":"M1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A5 SPORTBACK","variant":"S2DKNAQ1","version":"QD7AD7CJ004RT181E20S57CSBEM1"},"target":"normalized","rule_ids":["FUEL-001"],"sequence":20,"transformer_id":"ts.fuel","confidence_effect":0.0}],"pipeline_version":"normalization-pipeline-v4","candidate_rule_ids":["DRV-008"]}</x:v>
      </x:c>
      <x:c r="Z183" s="36" t="n">
        <x:v>46239.78067015046</x:v>
      </x:c>
      <x:c r="AA183" s="36" t="n">
        <x:v>46239.78067015046</x:v>
      </x:c>
    </x:row>
    <x:row r="184" ht="18" customHeight="1">
      <x:c r="A184" s="36" t="n">
        <x:v>2786</x:v>
      </x:c>
      <x:c r="B184" s="36" t="str">
        <x:v>40e1db38-ff2f-522c-8924-d8fad3999ac5</x:v>
      </x:c>
      <x:c r="C184" s="36" t="str">
        <x:v>Transportstyrelsen</x:v>
      </x:c>
      <x:c r="D184" s="36" t="str">
        <x:v>normalization-review-passenger-250-v1-rules-20260805T184409855703Z</x:v>
      </x:c>
      <x:c r="E184" s="36" t="str">
        <x:v>staging.transportstyrelsen_raw</x:v>
      </x:c>
      <x:c r="F184" s="36" t="n">
        <x:v>2904</x:v>
      </x:c>
      <x:c r="G184" s="36" t="str">
        <x:v>ts-mapping-v1</x:v>
      </x:c>
      <x:c r="H184" s="36" t="str">
        <x:v>ts-review-20260805T184254528647Z</x:v>
      </x:c>
      <x:c r="I184" s="36" t="str">
        <x:v>normalization-pipeline-v4</x:v>
      </x:c>
      <x:c r="J184" s="36" t="str">
        <x:v>provisional</x:v>
      </x:c>
      <x:c r="K184" s="39" t="n">
        <x:v>0.8</x:v>
      </x:c>
      <x:c r="L184" s="36" t="str">
        <x:v>Volkswagen</x:v>
      </x:c>
      <x:c r="M184" s="36" t="str">
        <x:v>POLO</x:v>
      </x:c>
      <x:c r="N184" s="36" t="str">
        <x:v>hatchback</x:v>
      </x:c>
      <x:c r="O184" s="38" t="str">
        <x:v>["petrol"]</x:v>
      </x:c>
      <x:c r="P184" s="36" t="str">
        <x:v>manual</x:v>
      </x:c>
      <x:c r="Q184" s="36" t="n">
        <x:v>2013</x:v>
      </x:c>
      <x:c r="R184" s="38" t="str">
        <x:v>["MFR-BRAND-CONFIRMED","MFR-BRAND-MODEL","MFR-BRAND-VIN-WMI","DATE-REGISTRATION-V1","DATE-PRODUCTION-MONTH-V1","UNIT-POWER-KW-V1","UNIT-DISPLACEMENT-CCM-V1","TRN-001","BDY-109","FUEL-001"]</x:v>
      </x:c>
      <x:c r="S184" s="38" t="str">
        <x:v>[]</x:v>
      </x:c>
      <x:c r="T184" s="38" t="str">
        <x:v>[]</x:v>
      </x:c>
      <x:c r="U184" s="38" t="str">
        <x:v>{"market":["SE"],"power_kw":66,"manufacturer":"Volkswagen","bodywork_form":"hatchback","energy_sources":["petrol"],"displacement_cc":1197,"production_date":"2013-11","production_year":2013,"manufacturer_role":"vehicle_manufacturer","power_source_unit":"kw","registration_date":"2014-01-15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84" s="38" t="str">
        <x:v>{"model_family":"POLO"}</x:v>
      </x:c>
      <x:c r="W184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-11","field":"production_date","before":{"build_month":"201311","vehicle_year":2013,"registration_date":"20140115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20140115"},"target":"normalized","rule_ids":["DATE-REGISTRATION-V1","DATE-PRODUCTION-MONTH-V1"],"sequence":10,"transformer_id":"ts.dates","confidence_effect":0.1},{"after":2013,"field":"production_year","before":{"build_month":"201311","vehicle_year":2013,"registration_date":"20140115"},"target":"normalized","rule_ids":["DATE-REGISTRATION-V1","DATE-PRODUCTION-MONTH-V1"],"sequence":11,"transformer_id":"ts.dates","confidence_effect":0.1},{"after":"2014-01-15","field":"registration_date","before":{"build_month":"201311","vehicle_year":2013,"registration_date":"20140115"},"target":"normalized","rule_ids":["DATE-REGISTRATION-V1","DATE-PRODUCTION-MONTH-V1"],"sequence":12,"transformer_id":"ts.dates","confidence_effect":0.1},{"after":1197,"field":"displacement_cc","before":{"kw":66,"ccm":1197},"target":"normalized","rule_ids":["UNIT-POWER-KW-V1","UNIT-DISPLACEMENT-CCM-V1"],"sequence":13,"transformer_id":"ts.engine-measurements","confidence_effect":0.1},{"after":"ccm","field":"displacement_source_unit","before":{"kw":66,"ccm":1197},"target":"normalized","rule_ids":["UNIT-POWER-KW-V1","UNIT-DISPLACEMENT-CCM-V1"],"sequence":14,"transformer_id":"ts.engine-measurements","confidence_effect":0.1},{"after":66,"field":"power_kw","before":{"kw":66,"ccm":1197},"target":"normalized","rule_ids":["UNIT-POWER-KW-V1","UNIT-DISPLACEMENT-CCM-V1"],"sequence":15,"transformer_id":"ts.engine-measurements","confidence_effect":0.1},{"after":"kw","field":"power_source_unit","before":{"kw":66,"ccm":1197},"target":"normalized","rule_ids":["UNIT-POWER-KW-V1","UNIT-DISPLACEMENT-CCM-V1"],"sequence":16,"transformer_id":"ts.engine-measurements","confidence_effect":0.1},{"after":"manual","field":"transmission_type","before":{"model":"POLO","gearbox":"M","variant":"ABCBZC","version":"FM5FM52T106LLNVR07MJ"},"target":"normalized","rule_ids":["TRN-001"],"sequence":17,"transformer_id":"ts.transmission","confidence_effect":0.1},{"after":"hatchback","field":"bodywork_form","before":{"model":"POLO","variant":"ABCBZC","version":"FM5FM52T106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BZC","version":"FM5FM52T106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BZC","version":"FM5FM52T106LLNVR07MJ"},"target":"normalized","rule_ids":["FUEL-001"],"sequence":20,"transformer_id":"ts.fuel","confidence_effect":0.0}]</x:v>
      </x:c>
      <x:c r="X18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4" s="38" t="str">
        <x:v>{"candidates":{"model_family":"POLO"},"confidence":0.8,"normalized":{"market":["SE"],"power_kw":66,"manufacturer":"Volkswagen","bodywork_form":"hatchback","energy_sources":["petrol"],"displacement_cc":1197,"production_date":"2013-11","production_year":2013,"manufacturer_role":"vehicle_manufacturer","power_source_unit":"kw","registration_date":"2014-01-15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-11","field":"production_date","before":{"build_month":"201311","vehicle_year":2013,"registration_date":"20140115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20140115"},"target":"normalized","rule_ids":["DATE-REGISTRATION-V1","DATE-PRODUCTION-MONTH-V1"],"sequence":10,"transformer_id":"ts.dates","confidence_effect":0.1},{"after":2013,"field":"production_year","before":{"build_month":"201311","vehicle_year":2013,"registration_date":"20140115"},"target":"normalized","rule_ids":["DATE-REGISTRATION-V1","DATE-PRODUCTION-MONTH-V1"],"sequence":11,"transformer_id":"ts.dates","confidence_effect":0.1},{"after":"2014-01-15","field":"registration_date","before":{"build_month":"201311","vehicle_year":2013,"registration_date":"20140115"},"target":"normalized","rule_ids":["DATE-REGISTRATION-V1","DATE-PRODUCTION-MONTH-V1"],"sequence":12,"transformer_id":"ts.dates","confidence_effect":0.1},{"after":1197,"field":"displacement_cc","before":{"kw":66,"ccm":1197},"target":"normalized","rule_ids":["UNIT-POWER-KW-V1","UNIT-DISPLACEMENT-CCM-V1"],"sequence":13,"transformer_id":"ts.engine-measurements","confidence_effect":0.1},{"after":"ccm","field":"displacement_source_unit","before":{"kw":66,"ccm":1197},"target":"normalized","rule_ids":["UNIT-POWER-KW-V1","UNIT-DISPLACEMENT-CCM-V1"],"sequence":14,"transformer_id":"ts.engine-measurements","confidence_effect":0.1},{"after":66,"field":"power_kw","before":{"kw":66,"ccm":1197},"target":"normalized","rule_ids":["UNIT-POWER-KW-V1","UNIT-DISPLACEMENT-CCM-V1"],"sequence":15,"transformer_id":"ts.engine-measurements","confidence_effect":0.1},{"after":"kw","field":"power_source_unit","before":{"kw":66,"ccm":1197},"target":"normalized","rule_ids":["UNIT-POWER-KW-V1","UNIT-DISPLACEMENT-CCM-V1"],"sequence":16,"transformer_id":"ts.engine-measurements","confidence_effect":0.1},{"after":"manual","field":"transmission_type","before":{"model":"POLO","gearbox":"M","variant":"ABCBZC","version":"FM5FM52T106LLNVR07MJ"},"target":"normalized","rule_ids":["TRN-001"],"sequence":17,"transformer_id":"ts.transmission","confidence_effect":0.1},{"after":"hatchback","field":"bodywork_form","before":{"model":"POLO","variant":"ABCBZC","version":"FM5FM52T106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BZC","version":"FM5FM52T106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BZC","version":"FM5FM52T106LLNVR07MJ"},"target":"normalized","rule_ids":["FUEL-001"],"sequence":20,"transformer_id":"ts.fuel","confidence_effect":0.0}],"pipeline_version":"normalization-pipeline-v4","candidate_rule_ids":[]}</x:v>
      </x:c>
      <x:c r="Z184" s="36" t="n">
        <x:v>46239.78067015046</x:v>
      </x:c>
      <x:c r="AA184" s="36" t="n">
        <x:v>46239.78067015046</x:v>
      </x:c>
    </x:row>
    <x:row r="185" ht="18" customHeight="1">
      <x:c r="A185" s="36" t="n">
        <x:v>2787</x:v>
      </x:c>
      <x:c r="B185" s="36" t="str">
        <x:v>e49a72a6-c644-5a29-842d-0c5eefe71189</x:v>
      </x:c>
      <x:c r="C185" s="36" t="str">
        <x:v>Transportstyrelsen</x:v>
      </x:c>
      <x:c r="D185" s="36" t="str">
        <x:v>normalization-review-passenger-250-v1-rules-20260805T184409855703Z</x:v>
      </x:c>
      <x:c r="E185" s="36" t="str">
        <x:v>staging.transportstyrelsen_raw</x:v>
      </x:c>
      <x:c r="F185" s="36" t="n">
        <x:v>2905</x:v>
      </x:c>
      <x:c r="G185" s="36" t="str">
        <x:v>ts-mapping-v1</x:v>
      </x:c>
      <x:c r="H185" s="36" t="str">
        <x:v>ts-review-20260805T184254528647Z</x:v>
      </x:c>
      <x:c r="I185" s="36" t="str">
        <x:v>normalization-pipeline-v4</x:v>
      </x:c>
      <x:c r="J185" s="36" t="str">
        <x:v>resolved</x:v>
      </x:c>
      <x:c r="K185" s="39" t="n">
        <x:v>0.95</x:v>
      </x:c>
      <x:c r="L185" s="36" t="str">
        <x:v>Volvo</x:v>
      </x:c>
      <x:c r="M185" s="36"/>
      <x:c r="N185" s="36" t="str">
        <x:v>estate</x:v>
      </x:c>
      <x:c r="O185" s="38" t="str">
        <x:v>["petrol"]</x:v>
      </x:c>
      <x:c r="P185" s="36" t="str">
        <x:v>manual</x:v>
      </x:c>
      <x:c r="Q185" s="36" t="n">
        <x:v>2007</x:v>
      </x:c>
      <x:c r="R185" s="38" t="str">
        <x:v>["MFR-BRAND-CONFIRMED","MFR-BRAND-VIN-WMI","DATE-REGISTRATION-V1","DATE-PRODUCTION-MONTH-V1","UNIT-POWER-KW-V1","UNIT-DISPLACEMENT-CCM-V1","TRN-001","BDY-110","FUEL-001"]</x:v>
      </x:c>
      <x:c r="S185" s="38" t="str">
        <x:v>[]</x:v>
      </x:c>
      <x:c r="T185" s="38" t="str">
        <x:v>[]</x:v>
      </x:c>
      <x:c r="U185" s="38" t="str">
        <x:v>{"market":["SE"],"power_kw":107,"manufacturer":"Volvo","bodywork_form":"estate","energy_sources":["petrol"],"displacement_cc":1999,"production_date":"2007-06","production_year":2007,"manufacturer_role":"vehicle_manufacturer","power_source_unit":"kw","registration_date":"2007-08-14","transmission_type":"manual","alias_types_present":["plate","vin"],"builder_converter_names":[],"displacement_source_unit":"ccm","production_date_precision":"month","bodywork_registry_label_sv":"Stationsvagn (kombivagn)"}</x:v>
      </x:c>
      <x:c r="V185" s="38" t="str">
        <x:v>{}</x:v>
      </x:c>
      <x:c r="W1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2007-06","field":"production_date","before":{"build_month":"200706","vehicle_year":2007,"registration_date":"20070814"},"target":"normalized","rule_ids":["DATE-REGISTRATION-V1","DATE-PRODUCTION-MONTH-V1"],"sequence":6,"transformer_id":"ts.dates","confidence_effect":0.1},{"after":"month","field":"production_date_precision","before":{"build_month":"200706","vehicle_year":2007,"registration_date":"20070814"},"target":"normalized","rule_ids":["DATE-REGISTRATION-V1","DATE-PRODUCTION-MONTH-V1"],"sequence":7,"transformer_id":"ts.dates","confidence_effect":0.1},{"after":2007,"field":"production_year","before":{"build_month":"200706","vehicle_year":2007,"registration_date":"20070814"},"target":"normalized","rule_ids":["DATE-REGISTRATION-V1","DATE-PRODUCTION-MONTH-V1"],"sequence":8,"transformer_id":"ts.dates","confidence_effect":0.1},{"after":"2007-08-14","field":"registration_date","before":{"build_month":"200706","vehicle_year":2007,"registration_date":"20070814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MW43","version":"MW4342??"},"target":"normalized","rule_ids":["TRN-001"],"sequence":14,"transformer_id":"ts.transmission","confidence_effect":0.1},{"after":"estate","field":"bodywork_form","before":{"variant":"MW43","version":"MW4342??","body_code":"AC","eu_category":"M1","vehicle_type":"PB"},"target":"normalized","rule_ids":["BDY-110"],"sequence":15,"transformer_id":"ts.bodywork","confidence_effect":0.1},{"after":"Stationsvagn (kombivagn)","field":"bodywork_registry_label_sv","before":{"variant":"MW43","version":"MW4342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43","version":"MW4342??"},"target":"normalized","rule_ids":["FUEL-001"],"sequence":17,"transformer_id":"ts.fuel","confidence_effect":0.0}]</x:v>
      </x:c>
      <x:c r="X18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5" s="38" t="str">
        <x:v>{"candidates":{},"confidence":0.95,"normalized":{"market":["SE"],"power_kw":107,"manufacturer":"Volvo","bodywork_form":"estate","energy_sources":["petrol"],"displacement_cc":1999,"production_date":"2007-06","production_year":2007,"manufacturer_role":"vehicle_manufacturer","power_source_unit":"kw","registration_date":"2007-08-14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2007-06","field":"production_date","before":{"build_month":"200706","vehicle_year":2007,"registration_date":"20070814"},"target":"normalized","rule_ids":["DATE-REGISTRATION-V1","DATE-PRODUCTION-MONTH-V1"],"sequence":6,"transformer_id":"ts.dates","confidence_effect":0.1},{"after":"month","field":"production_date_precision","before":{"build_month":"200706","vehicle_year":2007,"registration_date":"20070814"},"target":"normalized","rule_ids":["DATE-REGISTRATION-V1","DATE-PRODUCTION-MONTH-V1"],"sequence":7,"transformer_id":"ts.dates","confidence_effect":0.1},{"after":2007,"field":"production_year","before":{"build_month":"200706","vehicle_year":2007,"registration_date":"20070814"},"target":"normalized","rule_ids":["DATE-REGISTRATION-V1","DATE-PRODUCTION-MONTH-V1"],"sequence":8,"transformer_id":"ts.dates","confidence_effect":0.1},{"after":"2007-08-14","field":"registration_date","before":{"build_month":"200706","vehicle_year":2007,"registration_date":"20070814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MW43","version":"MW4342??"},"target":"normalized","rule_ids":["TRN-001"],"sequence":14,"transformer_id":"ts.transmission","confidence_effect":0.1},{"after":"estate","field":"bodywork_form","before":{"variant":"MW43","version":"MW4342??","body_code":"AC","eu_category":"M1","vehicle_type":"PB"},"target":"normalized","rule_ids":["BDY-110"],"sequence":15,"transformer_id":"ts.bodywork","confidence_effect":0.1},{"after":"Stationsvagn (kombivagn)","field":"bodywork_registry_label_sv","before":{"variant":"MW43","version":"MW4342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43","version":"MW4342??"},"target":"normalized","rule_ids":["FUEL-001"],"sequence":17,"transformer_id":"ts.fuel","confidence_effect":0.0}],"pipeline_version":"normalization-pipeline-v4","candidate_rule_ids":[]}</x:v>
      </x:c>
      <x:c r="Z185" s="36" t="n">
        <x:v>46239.78067015046</x:v>
      </x:c>
      <x:c r="AA185" s="36" t="n">
        <x:v>46239.78067015046</x:v>
      </x:c>
    </x:row>
    <x:row r="186" ht="18" customHeight="1">
      <x:c r="A186" s="36" t="n">
        <x:v>2788</x:v>
      </x:c>
      <x:c r="B186" s="36" t="str">
        <x:v>79a6247e-423a-50dd-a5f6-a9642a788cb6</x:v>
      </x:c>
      <x:c r="C186" s="36" t="str">
        <x:v>Transportstyrelsen</x:v>
      </x:c>
      <x:c r="D186" s="36" t="str">
        <x:v>normalization-review-passenger-250-v1-rules-20260805T184409855703Z</x:v>
      </x:c>
      <x:c r="E186" s="36" t="str">
        <x:v>staging.transportstyrelsen_raw</x:v>
      </x:c>
      <x:c r="F186" s="36" t="n">
        <x:v>2906</x:v>
      </x:c>
      <x:c r="G186" s="36" t="str">
        <x:v>ts-mapping-v1</x:v>
      </x:c>
      <x:c r="H186" s="36" t="str">
        <x:v>ts-review-20260805T184254528647Z</x:v>
      </x:c>
      <x:c r="I186" s="36" t="str">
        <x:v>normalization-pipeline-v4</x:v>
      </x:c>
      <x:c r="J186" s="36" t="str">
        <x:v>provisional</x:v>
      </x:c>
      <x:c r="K186" s="39" t="n">
        <x:v>0.8</x:v>
      </x:c>
      <x:c r="L186" s="36" t="str">
        <x:v>Renault</x:v>
      </x:c>
      <x:c r="M186" s="36" t="str">
        <x:v>DUSTER</x:v>
      </x:c>
      <x:c r="N186" s="36" t="str">
        <x:v>estate</x:v>
      </x:c>
      <x:c r="O186" s="38" t="str">
        <x:v>["petrol"]</x:v>
      </x:c>
      <x:c r="P186" s="36"/>
      <x:c r="Q186" s="36" t="n">
        <x:v>2019</x:v>
      </x:c>
      <x:c r="R186" s="38" t="str">
        <x:v>["MFR-102","DATE-REGISTRATION-V1","DATE-PRODUCTION-MONTH-V1","UNIT-POWER-KW-V1","UNIT-DISPLACEMENT-CCM-V1","BDY-110","FUEL-001"]</x:v>
      </x:c>
      <x:c r="S186" s="38" t="str">
        <x:v>["DRV-008"]</x:v>
      </x:c>
      <x:c r="T186" s="38" t="str">
        <x:v>[]</x:v>
      </x:c>
      <x:c r="U186" s="38" t="str">
        <x:v>{"market":["SE"],"power_kw":96,"manufacturer":"Renault","bodywork_form":"estate","energy_sources":["petrol"],"displacement_cc":1332,"production_date":"2019-06","production_year":2019,"manufacturer_role":"vehicle_manufacturer","power_source_unit":"kw","registration_date":"2019-08-12","alias_types_present":["plate","vin","model_name"],"model_family_candidate":true,"builder_converter_names":[],"displacement_source_unit":"ccm","production_date_precision":"month","bodywork_registry_label_sv":"Stationsvagn (kombivagn)"}</x:v>
      </x:c>
      <x:c r="V186" s="38" t="str">
        <x:v>{"drive_type":"awd","model_family":"DUSTER"}</x:v>
      </x:c>
      <x:c r="W1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2019-06","field":"production_date","before":{"build_month":"201906","vehicle_year":2019,"registration_date":"20190812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20190812"},"target":"normalized","rule_ids":["DATE-REGISTRATION-V1","DATE-PRODUCTION-MONTH-V1"],"sequence":9,"transformer_id":"ts.dates","confidence_effect":0.1},{"after":2019,"field":"production_year","before":{"build_month":"201906","vehicle_year":2019,"registration_date":"20190812"},"target":"normalized","rule_ids":["DATE-REGISTRATION-V1","DATE-PRODUCTION-MONTH-V1"],"sequence":10,"transformer_id":"ts.dates","confidence_effect":0.1},{"after":"2019-08-12","field":"registration_date","before":{"build_month":"201906","vehicle_year":2019,"registration_date":"20190812"},"target":"normalized","rule_ids":["DATE-REGISTRATION-V1","DATE-PRODUCTION-MONTH-V1"],"sequence":11,"transformer_id":"ts.dates","confidence_effect":0.1},{"after":1332,"field":"displacement_cc","before":{"kw":96,"ccm":1332},"target":"normalized","rule_ids":["UNIT-POWER-KW-V1","UNIT-DISPLACEMENT-CCM-V1"],"sequence":12,"transformer_id":"ts.engine-measurements","confidence_effect":0.1},{"after":"ccm","field":"displacement_source_unit","before":{"kw":96,"ccm":1332},"target":"normalized","rule_ids":["UNIT-POWER-KW-V1","UNIT-DISPLACEMENT-CCM-V1"],"sequence":13,"transformer_id":"ts.engine-measurements","confidence_effect":0.1},{"after":96,"field":"power_kw","before":{"kw":96,"ccm":1332},"target":"normalized","rule_ids":["UNIT-POWER-KW-V1","UNIT-DISPLACEMENT-CCM-V1"],"sequence":14,"transformer_id":"ts.engine-measurements","confidence_effect":0.1},{"after":"kw","field":"power_source_unit","before":{"kw":96,"ccm":1332},"target":"normalized","rule_ids":["UNIT-POWER-KW-V1","UNIT-DISPLACEMENT-CCM-V1"],"sequence":15,"transformer_id":"ts.engine-measurements","confidence_effect":0.1},{"after":"estate","field":"bodywork_form","before":{"model":"DUSTER","variant":"DHE4","version":"MF6DA140M000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4","version":"MF6DA140M000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DUSTER","variant":"DHE4","version":"MF6DA140M000"},"target":"normalized","rule_ids":["FUEL-001"],"sequence":19,"transformer_id":"ts.fuel","confidence_effect":0.0}]</x:v>
      </x:c>
      <x:c r="X186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6" s="38" t="str">
        <x:v>{"candidates":{"drive_type":"awd","model_family":"DUSTER"},"confidence":0.8,"normalized":{"market":["SE"],"power_kw":96,"manufacturer":"Renault","bodywork_form":"estate","energy_sources":["petrol"],"displacement_cc":1332,"production_date":"2019-06","production_year":2019,"manufacturer_role":"vehicle_manufacturer","power_source_unit":"kw","registration_date":"2019-08-12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2019-06","field":"production_date","before":{"build_month":"201906","vehicle_year":2019,"registration_date":"20190812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20190812"},"target":"normalized","rule_ids":["DATE-REGISTRATION-V1","DATE-PRODUCTION-MONTH-V1"],"sequence":9,"transformer_id":"ts.dates","confidence_effect":0.1},{"after":2019,"field":"production_year","before":{"build_month":"201906","vehicle_year":2019,"registration_date":"20190812"},"target":"normalized","rule_ids":["DATE-REGISTRATION-V1","DATE-PRODUCTION-MONTH-V1"],"sequence":10,"transformer_id":"ts.dates","confidence_effect":0.1},{"after":"2019-08-12","field":"registration_date","before":{"build_month":"201906","vehicle_year":2019,"registration_date":"20190812"},"target":"normalized","rule_ids":["DATE-REGISTRATION-V1","DATE-PRODUCTION-MONTH-V1"],"sequence":11,"transformer_id":"ts.dates","confidence_effect":0.1},{"after":1332,"field":"displacement_cc","before":{"kw":96,"ccm":1332},"target":"normalized","rule_ids":["UNIT-POWER-KW-V1","UNIT-DISPLACEMENT-CCM-V1"],"sequence":12,"transformer_id":"ts.engine-measurements","confidence_effect":0.1},{"after":"ccm","field":"displacement_source_unit","before":{"kw":96,"ccm":1332},"target":"normalized","rule_ids":["UNIT-POWER-KW-V1","UNIT-DISPLACEMENT-CCM-V1"],"sequence":13,"transformer_id":"ts.engine-measurements","confidence_effect":0.1},{"after":96,"field":"power_kw","before":{"kw":96,"ccm":1332},"target":"normalized","rule_ids":["UNIT-POWER-KW-V1","UNIT-DISPLACEMENT-CCM-V1"],"sequence":14,"transformer_id":"ts.engine-measurements","confidence_effect":0.1},{"after":"kw","field":"power_source_unit","before":{"kw":96,"ccm":1332},"target":"normalized","rule_ids":["UNIT-POWER-KW-V1","UNIT-DISPLACEMENT-CCM-V1"],"sequence":15,"transformer_id":"ts.engine-measurements","confidence_effect":0.1},{"after":"estate","field":"bodywork_form","before":{"model":"DUSTER","variant":"DHE4","version":"MF6DA140M000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4","version":"MF6DA140M000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DUSTER","variant":"DHE4","version":"MF6DA140M000"},"target":"normalized","rule_ids":["FUEL-001"],"sequence":19,"transformer_id":"ts.fuel","confidence_effect":0.0}],"pipeline_version":"normalization-pipeline-v4","candidate_rule_ids":["DRV-008"]}</x:v>
      </x:c>
      <x:c r="Z186" s="36" t="n">
        <x:v>46239.78067015046</x:v>
      </x:c>
      <x:c r="AA186" s="36" t="n">
        <x:v>46239.78067015046</x:v>
      </x:c>
    </x:row>
    <x:row r="187" ht="18" customHeight="1">
      <x:c r="A187" s="36" t="n">
        <x:v>2789</x:v>
      </x:c>
      <x:c r="B187" s="36" t="str">
        <x:v>519304d5-2345-573c-aca9-8a6a8e00a1c1</x:v>
      </x:c>
      <x:c r="C187" s="36" t="str">
        <x:v>Transportstyrelsen</x:v>
      </x:c>
      <x:c r="D187" s="36" t="str">
        <x:v>normalization-review-passenger-250-v1-rules-20260805T184409855703Z</x:v>
      </x:c>
      <x:c r="E187" s="36" t="str">
        <x:v>staging.transportstyrelsen_raw</x:v>
      </x:c>
      <x:c r="F187" s="36" t="n">
        <x:v>2907</x:v>
      </x:c>
      <x:c r="G187" s="36" t="str">
        <x:v>ts-mapping-v1</x:v>
      </x:c>
      <x:c r="H187" s="36" t="str">
        <x:v>ts-review-20260805T184254528647Z</x:v>
      </x:c>
      <x:c r="I187" s="36" t="str">
        <x:v>normalization-pipeline-v4</x:v>
      </x:c>
      <x:c r="J187" s="36" t="str">
        <x:v>provisional</x:v>
      </x:c>
      <x:c r="K187" s="39" t="n">
        <x:v>0.8</x:v>
      </x:c>
      <x:c r="L187" s="36" t="str">
        <x:v>Toyota</x:v>
      </x:c>
      <x:c r="M187" s="36" t="str">
        <x:v>TOYOTA RAV4</x:v>
      </x:c>
      <x:c r="N187" s="36" t="str">
        <x:v>estate</x:v>
      </x:c>
      <x:c r="O187" s="38" t="str">
        <x:v>["petrol","electricity"]</x:v>
      </x:c>
      <x:c r="P187" s="36" t="str">
        <x:v>cvt</x:v>
      </x:c>
      <x:c r="Q187" s="36" t="n">
        <x:v>2023</x:v>
      </x:c>
      <x:c r="R187" s="38" t="str">
        <x:v>["MFR-102","DATE-REGISTRATION-V1","DATE-PRODUCTION-DAY-V1","UNIT-POWER-KW-V1","UNIT-DISPLACEMENT-CCM-V1","TRN-003","BDY-110","FUEL-001","ELEC-002"]</x:v>
      </x:c>
      <x:c r="S187" s="38" t="str">
        <x:v>["DRV-008"]</x:v>
      </x:c>
      <x:c r="T187" s="38" t="str">
        <x:v>[]</x:v>
      </x:c>
      <x:c r="U187" s="38" t="str">
        <x:v>{"market":["SE"],"power_kw":131,"manufacturer":"Toyota","bodywork_form":"estate","energy_sources":["petrol","electricity"],"displacement_cc":2487,"production_date":"2023-04-27","production_year":2023,"manufacturer_role":"vehicle_manufacturer","power_source_unit":"kw","registration_date":"2023-08-03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187" s="38" t="str">
        <x:v>{"drive_type":"awd","model_family":"TOYOTA RAV4"}</x:v>
      </x:c>
      <x:c r="W1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2023-04-27","field":"production_date","before":{"build_date":"20230427","build_month":"202304","vehicle_year":2023,"registration_date":"20230803"},"target":"normalized","rule_ids":["DATE-REGISTRATION-V1","DATE-PRODUCTION-DAY-V1"],"sequence":8,"transformer_id":"ts.dates","confidence_effect":0.1},{"after":"day","field":"production_date_precision","before":{"build_date":"20230427","build_month":"202304","vehicle_year":2023,"registration_date":"20230803"},"target":"normalized","rule_ids":["DATE-REGISTRATION-V1","DATE-PRODUCTION-DAY-V1"],"sequence":9,"transformer_id":"ts.dates","confidence_effect":0.1},{"after":2023,"field":"production_year","before":{"build_date":"20230427","build_month":"202304","vehicle_year":2023,"registration_date":"20230803"},"target":"normalized","rule_ids":["DATE-REGISTRATION-V1","DATE-PRODUCTION-DAY-V1"],"sequence":10,"transformer_id":"ts.dates","confidence_effect":0.1},{"after":"2023-08-03","field":"registration_date","before":{"build_date":"20230427","build_month":"202304","vehicle_year":2023,"registration_date":"20230803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RAV4","gearbox":"V","variant":"AXAL54(N)","version":"AXAL54L-ANXGBW(1G)"},"target":"normalized","rule_ids":["TRN-003"],"sequence":16,"transformer_id":"ts.transmission","confidence_effect":0.1},{"after":"cvt","field":"transmission_type","before":{"model":"TOYOTA RAV4","gearbox":"V","variant":"AXAL54(N)","version":"AXAL54L-ANXGBW(1G)"},"target":"normalized","rule_ids":["TRN-003"],"sequence":17,"transformer_id":"ts.transmission","confidence_effect":0.1},{"after":"estate","field":"bodywork_form","before":{"model":"TOYOTA RAV4","variant":"AXAL54(N)","version":"AXAL54L-ANXGBW(1G)","body_code":"AC","eu_category":"M1","vehicle_type":"PB"},"target":"normalized","rule_ids":["BDY-110"],"sequence":18,"transformer_id":"ts.bodywork","confidence_effect":0.1},{"after":"Stationsvagn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GBW(1G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GBW(1G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RAV4","variant":"AXAL54(N)","version":"AXAL54L-ANXGBW(1G)","ev_config":"ELHYBRID"},"target":"normalized","rule_ids":["FUEL-001","ELEC-002"],"sequence":22,"transformer_id":"ts.fuel","confidence_effect":0.0}]</x:v>
      </x:c>
      <x:c r="X187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87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2023-04-27","production_year":2023,"manufacturer_role":"vehicle_manufacturer","power_source_unit":"kw","registration_date":"2023-08-03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2023-04-27","field":"production_date","before":{"build_date":"20230427","build_month":"202304","vehicle_year":2023,"registration_date":"20230803"},"target":"normalized","rule_ids":["DATE-REGISTRATION-V1","DATE-PRODUCTION-DAY-V1"],"sequence":8,"transformer_id":"ts.dates","confidence_effect":0.1},{"after":"day","field":"production_date_precision","before":{"build_date":"20230427","build_month":"202304","vehicle_year":2023,"registration_date":"20230803"},"target":"normalized","rule_ids":["DATE-REGISTRATION-V1","DATE-PRODUCTION-DAY-V1"],"sequence":9,"transformer_id":"ts.dates","confidence_effect":0.1},{"after":2023,"field":"production_year","before":{"build_date":"20230427","build_month":"202304","vehicle_year":2023,"registration_date":"20230803"},"target":"normalized","rule_ids":["DATE-REGISTRATION-V1","DATE-PRODUCTION-DAY-V1"],"sequence":10,"transformer_id":"ts.dates","confidence_effect":0.1},{"after":"2023-08-03","field":"registration_date","before":{"build_date":"20230427","build_month":"202304","vehicle_year":2023,"registration_date":"20230803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RAV4","gearbox":"V","variant":"AXAL54(N)","version":"AXAL54L-ANXGBW(1G)"},"target":"normalized","rule_ids":["TRN-003"],"sequence":16,"transformer_id":"ts.transmission","confidence_effect":0.1},{"after":"cvt","field":"transmission_type","before":{"model":"TOYOTA RAV4","gearbox":"V","variant":"AXAL54(N)","version":"AXAL54L-ANXGBW(1G)"},"target":"normalized","rule_ids":["TRN-003"],"sequence":17,"transformer_id":"ts.transmission","confidence_effect":0.1},{"after":"estate","field":"bodywork_form","before":{"model":"TOYOTA RAV4","variant":"AXAL54(N)","version":"AXAL54L-ANXGBW(1G)","body_code":"AC","eu_category":"M1","vehicle_type":"PB"},"target":"normalized","rule_ids":["BDY-110"],"sequence":18,"transformer_id":"ts.bodywork","confidence_effect":0.1},{"after":"Stationsvagn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GBW(1G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GBW(1G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GBW(1G)","ev_config":"ELHYBRID"},"target":"normalized","rule_ids":["FUEL-001","ELEC-002"],"sequence":22,"transformer_id":"ts.fuel","confidence_effect":0.0}],"pipeline_version":"normalization-pipeline-v4","candidate_rule_ids":["DRV-008"]}</x:v>
      </x:c>
      <x:c r="Z187" s="36" t="n">
        <x:v>46239.78067015046</x:v>
      </x:c>
      <x:c r="AA187" s="36" t="n">
        <x:v>46239.78067015046</x:v>
      </x:c>
    </x:row>
    <x:row r="188" ht="18" customHeight="1">
      <x:c r="A188" s="36" t="n">
        <x:v>2790</x:v>
      </x:c>
      <x:c r="B188" s="36" t="str">
        <x:v>353ed3b0-d980-55fd-b03a-f575b8d56e36</x:v>
      </x:c>
      <x:c r="C188" s="36" t="str">
        <x:v>Transportstyrelsen</x:v>
      </x:c>
      <x:c r="D188" s="36" t="str">
        <x:v>normalization-review-passenger-250-v1-rules-20260805T184409855703Z</x:v>
      </x:c>
      <x:c r="E188" s="36" t="str">
        <x:v>staging.transportstyrelsen_raw</x:v>
      </x:c>
      <x:c r="F188" s="36" t="n">
        <x:v>2908</x:v>
      </x:c>
      <x:c r="G188" s="36" t="str">
        <x:v>ts-mapping-v1</x:v>
      </x:c>
      <x:c r="H188" s="36" t="str">
        <x:v>ts-review-20260805T184254528647Z</x:v>
      </x:c>
      <x:c r="I188" s="36" t="str">
        <x:v>normalization-pipeline-v4</x:v>
      </x:c>
      <x:c r="J188" s="36" t="str">
        <x:v>provisional</x:v>
      </x:c>
      <x:c r="K188" s="39" t="n">
        <x:v>0.8</x:v>
      </x:c>
      <x:c r="L188" s="36" t="str">
        <x:v>Audi</x:v>
      </x:c>
      <x:c r="M188" s="36" t="str">
        <x:v>A6 AVANT</x:v>
      </x:c>
      <x:c r="N188" s="36" t="str">
        <x:v>estate</x:v>
      </x:c>
      <x:c r="O188" s="38" t="str">
        <x:v>["diesel"]</x:v>
      </x:c>
      <x:c r="P188" s="36" t="str">
        <x:v>automatic</x:v>
      </x:c>
      <x:c r="Q188" s="36" t="n">
        <x:v>2014</x:v>
      </x:c>
      <x:c r="R188" s="38" t="str">
        <x:v>["MFR-BRAND-CONFIRMED","MFR-BRAND-VIN-WMI","DATE-REGISTRATION-V1","DATE-PRODUCTION-MONTH-V1","UNIT-POWER-KW-V1","UNIT-DISPLACEMENT-CCM-V1","TRN-002","BDY-110","BDY-002","FUEL-002"]</x:v>
      </x:c>
      <x:c r="S188" s="38" t="str">
        <x:v>["DRV-008"]</x:v>
      </x:c>
      <x:c r="T188" s="38" t="str">
        <x:v>[]</x:v>
      </x:c>
      <x:c r="U188" s="38" t="str">
        <x:v>{"market":["SE"],"power_kw":150,"manufacturer":"Audi","bodywork_form":"estate","energy_sources":["diesel"],"displacement_cc":2967,"production_date":"2014-04","production_year":2014,"manufacturer_role":"vehicle_manufacturer","power_source_unit":"kw","registration_date":"2014-04-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88" s="38" t="str">
        <x:v>{"drive_type":"awd","model_family":"A6 AVANT"}</x:v>
      </x:c>
      <x:c r="W188" s="38" t="str">
        <x:v>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4G","target":"normalized","rule_ids":["MFR-BRAND-CONFIRMED","MFR-BRAND-VIN-WMI"],"sequence":6,"transformer_id":"ts.manufacturer","confidence_effect":0.2},{"after":true,"field":"model_family_candidate","before":"A6 AVANT","target":"normalized","rule_ids":["MODEL-CANDIDATE-V1"],"sequence":7,"transformer_id":"ts.model-family","confidence_effect":0.0},{"after":"A6 AVANT","field":"model_family","before":"A6 AVANT","target":"candidate","rule_ids":["MODEL-CANDIDATE-V1"],"sequence":8,"transformer_id":"ts.model-family","confidence_effect":0.05},{"after":"2014-04","field":"production_date","before":{"build_month":"201404","vehicle_year":2014,"registration_date":"20140429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20140429"},"target":"normalized","rule_ids":["DATE-REGISTRATION-V1","DATE-PRODUCTION-MONTH-V1"],"sequence":10,"transformer_id":"ts.dates","confidence_effect":0.1},{"after":2014,"field":"production_year","before":{"build_month":"201404","vehicle_year":2014,"registration_date":"20140429"},"target":"normalized","rule_ids":["DATE-REGISTRATION-V1","DATE-PRODUCTION-MONTH-V1"],"sequence":11,"transformer_id":"ts.dates","confidence_effect":0.1},{"after":"2014-04-29","field":"registration_date","before":{"build_month":"201404","vehicle_year":2014,"registration_date":"20140429"},"target":"normalized","rule_ids":["DATE-REGISTRATION-V1","DATE-PRODUCTION-MONTH-V1"],"sequence":12,"transformer_id":"ts.dates","confidence_effect":0.1},{"after":2967,"field":"displacement_cc","before":{"kw":150,"ccm":2967},"target":"normalized","rule_ids":["UNIT-POWER-KW-V1","UNIT-DISPLACEMENT-CCM-V1"],"sequence":13,"transformer_id":"ts.engine-measurements","confidence_effect":0.1},{"after":"ccm","field":"displacement_source_unit","before":{"kw":150,"ccm":2967},"target":"normalized","rule_ids":["UNIT-POWER-KW-V1","UNIT-DISPLACEMENT-CCM-V1"],"sequence":14,"transformer_id":"ts.engine-measurements","confidence_effect":0.1},{"after":150,"field":"power_kw","before":{"kw":150,"ccm":2967},"target":"normalized","rule_ids":["UNIT-POWER-KW-V1","UNIT-DISPLACEMENT-CCM-V1"],"sequence":15,"transformer_id":"ts.engine-measurements","confidence_effect":0.1},{"after":"kw","field":"power_source_unit","before":{"kw":150,"ccm":2967},"target":"normalized","rule_ids":["UNIT-POWER-KW-V1","UNIT-DISPLACEMENT-CCM-V1"],"sequence":16,"transformer_id":"ts.engine-measurements","confidence_effect":0.1},{"after":"automatic","field":"transmission_type","before":{"model":"A6 AVANT","gearbox":"A","variant":"ACLAAQ1","version":"QD7B5027R4G60S57MJEM2"},"target":"normalized","rule_ids":["TRN-002"],"sequence":17,"transformer_id":"ts.transmission","confidence_effect":0.1},{"after":"estate","field":"bodywork_form","before":{"model":"A6 AVANT","variant":"ACLAAQ1","version":"QD7B5027R4G60S57MJEM2","body_code":"AC","eu_category":"M1","vehicle_type":"PB"},"target":"normalized","rule_ids":["BDY-110","BDY-002"],"sequence":18,"transformer_id":"ts.bodywork","confidence_effect":0.1},{"after":"Stationsvagn (kombivagn)","field":"bodywork_registry_label_sv","before":{"model":"A6 AVANT","variant":"ACLAAQ1","version":"QD7B5027R4G60S57MJEM2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6 AVANT","variant":"ACLAAQ1","version":"QD7B5027R4G60S57MJEM2"},"target":"normalized","rule_ids":["FUEL-002"],"sequence":21,"transformer_id":"ts.fuel","confidence_effect":0.0}]</x:v>
      </x:c>
      <x:c r="X1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88" s="38" t="str">
        <x:v>{"candidates":{"drive_type":"awd","model_family":"A6 AVANT"},"confidence":0.8,"normalized":{"market":["SE"],"power_kw":150,"manufacturer":"Audi","bodywork_form":"estate","energy_sources":["diesel"],"displacement_cc":2967,"production_date":"2014-04","production_year":2014,"manufacturer_role":"vehicle_manufacturer","power_source_unit":"kw","registration_date":"2014-04-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4G","target":"normalized","rule_ids":["MFR-BRAND-CONFIRMED","MFR-BRAND-VIN-WMI"],"sequence":6,"transformer_id":"ts.manufacturer","confidence_effect":0.2},{"after":true,"field":"model_family_candidate","before":"A6 AVANT","target":"normalized","rule_ids":["MODEL-CANDIDATE-V1"],"sequence":7,"transformer_id":"ts.model-family","confidence_effect":0.0},{"after":"A6 AVANT","field":"model_family","before":"A6 AVANT","target":"candidate","rule_ids":["MODEL-CANDIDATE-V1"],"sequence":8,"transformer_id":"ts.model-family","confidence_effect":0.05},{"after":"2014-04","field":"production_date","before":{"build_month":"201404","vehicle_year":2014,"registration_date":"20140429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20140429"},"target":"normalized","rule_ids":["DATE-REGISTRATION-V1","DATE-PRODUCTION-MONTH-V1"],"sequence":10,"transformer_id":"ts.dates","confidence_effect":0.1},{"after":2014,"field":"production_year","before":{"build_month":"201404","vehicle_year":2014,"registration_date":"20140429"},"target":"normalized","rule_ids":["DATE-REGISTRATION-V1","DATE-PRODUCTION-MONTH-V1"],"sequence":11,"transformer_id":"ts.dates","confidence_effect":0.1},{"after":"2014-04-29","field":"registration_date","before":{"build_month":"201404","vehicle_year":2014,"registration_date":"20140429"},"target":"normalized","rule_ids":["DATE-REGISTRATION-V1","DATE-PRODUCTION-MONTH-V1"],"sequence":12,"transformer_id":"ts.dates","confidence_effect":0.1},{"after":2967,"field":"displacement_cc","before":{"kw":150,"ccm":2967},"target":"normalized","rule_ids":["UNIT-POWER-KW-V1","UNIT-DISPLACEMENT-CCM-V1"],"sequence":13,"transformer_id":"ts.engine-measurements","confidence_effect":0.1},{"after":"ccm","field":"displacement_source_unit","before":{"kw":150,"ccm":2967},"target":"normalized","rule_ids":["UNIT-POWER-KW-V1","UNIT-DISPLACEMENT-CCM-V1"],"sequence":14,"transformer_id":"ts.engine-measurements","confidence_effect":0.1},{"after":150,"field":"power_kw","before":{"kw":150,"ccm":2967},"target":"normalized","rule_ids":["UNIT-POWER-KW-V1","UNIT-DISPLACEMENT-CCM-V1"],"sequence":15,"transformer_id":"ts.engine-measurements","confidence_effect":0.1},{"after":"kw","field":"power_source_unit","before":{"kw":150,"ccm":2967},"target":"normalized","rule_ids":["UNIT-POWER-KW-V1","UNIT-DISPLACEMENT-CCM-V1"],"sequence":16,"transformer_id":"ts.engine-measurements","confidence_effect":0.1},{"after":"automatic","field":"transmission_type","before":{"model":"A6 AVANT","gearbox":"A","variant":"ACLAAQ1","version":"QD7B5027R4G60S57MJEM2"},"target":"normalized","rule_ids":["TRN-002"],"sequence":17,"transformer_id":"ts.transmission","confidence_effect":0.1},{"after":"estate","field":"bodywork_form","before":{"model":"A6 AVANT","variant":"ACLAAQ1","version":"QD7B5027R4G60S57MJEM2","body_code":"AC","eu_category":"M1","vehicle_type":"PB"},"target":"normalized","rule_ids":["BDY-110","BDY-002"],"sequence":18,"transformer_id":"ts.bodywork","confidence_effect":0.1},{"after":"Stationsvagn (kombivagn)","field":"bodywork_registry_label_sv","before":{"model":"A6 AVANT","variant":"ACLAAQ1","version":"QD7B5027R4G60S57MJEM2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6 AVANT","variant":"ACLAAQ1","version":"QD7B5027R4G60S57MJEM2"},"target":"normalized","rule_ids":["FUEL-002"],"sequence":21,"transformer_id":"ts.fuel","confidence_effect":0.0}],"pipeline_version":"normalization-pipeline-v4","candidate_rule_ids":["DRV-008"]}</x:v>
      </x:c>
      <x:c r="Z188" s="36" t="n">
        <x:v>46239.78067015046</x:v>
      </x:c>
      <x:c r="AA188" s="36" t="n">
        <x:v>46239.78067015046</x:v>
      </x:c>
    </x:row>
    <x:row r="189" ht="18" customHeight="1">
      <x:c r="A189" s="36" t="n">
        <x:v>2791</x:v>
      </x:c>
      <x:c r="B189" s="36" t="str">
        <x:v>089323db-0a55-528c-9fd0-afab3668b960</x:v>
      </x:c>
      <x:c r="C189" s="36" t="str">
        <x:v>Transportstyrelsen</x:v>
      </x:c>
      <x:c r="D189" s="36" t="str">
        <x:v>normalization-review-passenger-250-v1-rules-20260805T184409855703Z</x:v>
      </x:c>
      <x:c r="E189" s="36" t="str">
        <x:v>staging.transportstyrelsen_raw</x:v>
      </x:c>
      <x:c r="F189" s="36" t="n">
        <x:v>2909</x:v>
      </x:c>
      <x:c r="G189" s="36" t="str">
        <x:v>ts-mapping-v1</x:v>
      </x:c>
      <x:c r="H189" s="36" t="str">
        <x:v>ts-review-20260805T184254528647Z</x:v>
      </x:c>
      <x:c r="I189" s="36" t="str">
        <x:v>normalization-pipeline-v4</x:v>
      </x:c>
      <x:c r="J189" s="36" t="str">
        <x:v>provisional</x:v>
      </x:c>
      <x:c r="K189" s="39" t="n">
        <x:v>0.8</x:v>
      </x:c>
      <x:c r="L189" s="36" t="str">
        <x:v>Hyundai</x:v>
      </x:c>
      <x:c r="M189" s="36" t="str">
        <x:v>IONIQ</x:v>
      </x:c>
      <x:c r="N189" s="36" t="str">
        <x:v>hatchback</x:v>
      </x:c>
      <x:c r="O189" s="38" t="str">
        <x:v>["electricity"]</x:v>
      </x:c>
      <x:c r="P189" s="36" t="str">
        <x:v>automatic</x:v>
      </x:c>
      <x:c r="Q189" s="36" t="n">
        <x:v>2019</x:v>
      </x:c>
      <x:c r="R189" s="38" t="str">
        <x:v>["MFR-102","DATE-REGISTRATION-V1","DATE-PRODUCTION-MONTH-V1","TRN-002","BDY-109","FUEL-003","ELEC-001"]</x:v>
      </x:c>
      <x:c r="S189" s="38" t="str">
        <x:v>[]</x:v>
      </x:c>
      <x:c r="T189" s="38" t="str">
        <x:v>[]</x:v>
      </x:c>
      <x:c r="U189" s="38" t="str">
        <x:v>{"market":["SE"],"manufacturer":"Hyundai","bodywork_form":"hatchback","energy_sources":["electricity"],"production_date":"2019-07","production_year":2019,"manufacturer_role":"vehicle_manufacturer","registration_date":"2019-11-19","transmission_type":"automatic","alias_types_present":["plate","vin","model_name"],"electrification_type":"battery_electric","model_family_candidate":true,"builder_converter_names":[],"production_date_precision":"month","bodywork_registry_label_sv":"Halvkombi"}</x:v>
      </x:c>
      <x:c r="V189" s="38" t="str">
        <x:v>{"model_family":"IONIQ"}</x:v>
      </x:c>
      <x:c r="W1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COMPANY"},"target":"normalized","rule_ids":["MFR-102"],"sequence":3,"transformer_id":"ts.manufacturer","confidence_effect":0.2},{"after":"Hyundai","field":"manufacturer","before":{"brand":"HYUNDAI","manufacturer":"HYUNDAI MOTOR COMPANY"},"target":"normalized","rule_ids":["MFR-102"],"sequence":4,"transformer_id":"ts.manufacturer","confidence_effect":0.2},{"after":"vehicle_manufacturer","field":"manufacturer_role","before":{"brand":"HYUNDAI","manufacturer":"HYUNDAI MOTOR COMPANY"},"target":"normalized","rule_ids":["MFR-102"],"sequence":5,"transformer_id":"ts.manufacturer","confidence_effect":0.2},{"after":true,"field":"model_family_candidate","before":"IONIQ","target":"normalized","rule_ids":["MODEL-CANDIDATE-V1"],"sequence":6,"transformer_id":"ts.model-family","confidence_effect":0.0},{"after":"IONIQ","field":"model_family","before":"IONIQ","target":"candidate","rule_ids":["MODEL-CANDIDATE-V1"],"sequence":7,"transformer_id":"ts.model-family","confidence_effect":0.05},{"after":"2019-07","field":"production_date","before":{"build_month":"201907","vehicle_year":2019,"registration_date":"20191119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20191119"},"target":"normalized","rule_ids":["DATE-REGISTRATION-V1","DATE-PRODUCTION-MONTH-V1"],"sequence":9,"transformer_id":"ts.dates","confidence_effect":0.1},{"after":2019,"field":"production_year","before":{"build_month":"201907","vehicle_year":2019,"registration_date":"20191119"},"target":"normalized","rule_ids":["DATE-REGISTRATION-V1","DATE-PRODUCTION-MONTH-V1"],"sequence":10,"transformer_id":"ts.dates","confidence_effect":0.1},{"after":"2019-11-19","field":"registration_date","before":{"build_month":"201907","vehicle_year":2019,"registration_date":"20191119"},"target":"normalized","rule_ids":["DATE-REGISTRATION-V1","DATE-PRODUCTION-MONTH-V1"],"sequence":11,"transformer_id":"ts.dates","confidence_effect":0.1},{"after":"automatic","field":"transmission_type","before":{"model":"IONIQ","gearbox":"A","variant":"B5E11","version":"E11BZ1"},"target":"normalized","rule_ids":["TRN-002"],"sequence":12,"transformer_id":"ts.transmission","confidence_effect":0.1},{"after":"hatchback","field":"bodywork_form","before":{"model":"IONIQ","variant":"B5E11","version":"E11BZ1","body_code":"AB","eu_category":"M1","vehicle_type":"PB"},"target":"normalized","rule_ids":["BDY-109"],"sequence":13,"transformer_id":"ts.bodywork","confidence_effect":0.1},{"after":"Halvkombi","field":"bodywork_registry_label_sv","before":{"model":"IONIQ","variant":"B5E11","version":"E11BZ1","body_code":"AB","eu_category":"M1","vehicle_type":"PB"},"target":"normalized","rule_ids":["BDY-109"],"sequence":14,"transformer_id":"ts.bodywork","confidence_effect":0.1},{"after":"battery_electric","field":"electrification_type","before":{"fuel1":"3","fuel2":"0","fuel3":"0","model":"IONIQ","variant":"B5E11","version":"E11BZ1","ev_config":"EL"},"target":"normalized","rule_ids":["FUEL-003","ELEC-001"],"sequence":15,"transformer_id":"ts.fuel","confidence_effect":0.0},{"after":["electricity"],"field":"energy_sources","before":{"fuel1":"3","fuel2":"0","fuel3":"0","model":"IONIQ","variant":"B5E11","version":"E11BZ1","ev_config":"EL"},"target":"normalized","rule_ids":["FUEL-003","ELEC-001"],"sequence":16,"transformer_id":"ts.fuel","confidence_effect":0.0}]</x:v>
      </x:c>
      <x:c r="X189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89" s="38" t="str">
        <x:v>{"candidates":{"model_family":"IONIQ"},"confidence":0.8,"normalized":{"market":["SE"],"manufacturer":"Hyundai","bodywork_form":"hatchback","energy_sources":["electricity"],"production_date":"2019-07","production_year":2019,"manufacturer_role":"vehicle_manufacturer","registration_date":"2019-11-19","transmission_type":"automatic","alias_types_present":["plate","vin","model_name"],"electrification_type":"battery_electric","model_family_candidate":true,"builder_converter_names":[]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COMPANY"},"target":"normalized","rule_ids":["MFR-102"],"sequence":3,"transformer_id":"ts.manufacturer","confidence_effect":0.2},{"after":"Hyundai","field":"manufacturer","before":{"brand":"HYUNDAI","manufacturer":"HYUNDAI MOTOR COMPANY"},"target":"normalized","rule_ids":["MFR-102"],"sequence":4,"transformer_id":"ts.manufacturer","confidence_effect":0.2},{"after":"vehicle_manufacturer","field":"manufacturer_role","before":{"brand":"HYUNDAI","manufacturer":"HYUNDAI MOTOR COMPANY"},"target":"normalized","rule_ids":["MFR-102"],"sequence":5,"transformer_id":"ts.manufacturer","confidence_effect":0.2},{"after":true,"field":"model_family_candidate","before":"IONIQ","target":"normalized","rule_ids":["MODEL-CANDIDATE-V1"],"sequence":6,"transformer_id":"ts.model-family","confidence_effect":0.0},{"after":"IONIQ","field":"model_family","before":"IONIQ","target":"candidate","rule_ids":["MODEL-CANDIDATE-V1"],"sequence":7,"transformer_id":"ts.model-family","confidence_effect":0.05},{"after":"2019-07","field":"production_date","before":{"build_month":"201907","vehicle_year":2019,"registration_date":"20191119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20191119"},"target":"normalized","rule_ids":["DATE-REGISTRATION-V1","DATE-PRODUCTION-MONTH-V1"],"sequence":9,"transformer_id":"ts.dates","confidence_effect":0.1},{"after":2019,"field":"production_year","before":{"build_month":"201907","vehicle_year":2019,"registration_date":"20191119"},"target":"normalized","rule_ids":["DATE-REGISTRATION-V1","DATE-PRODUCTION-MONTH-V1"],"sequence":10,"transformer_id":"ts.dates","confidence_effect":0.1},{"after":"2019-11-19","field":"registration_date","before":{"build_month":"201907","vehicle_year":2019,"registration_date":"20191119"},"target":"normalized","rule_ids":["DATE-REGISTRATION-V1","DATE-PRODUCTION-MONTH-V1"],"sequence":11,"transformer_id":"ts.dates","confidence_effect":0.1},{"after":"automatic","field":"transmission_type","before":{"model":"IONIQ","gearbox":"A","variant":"B5E11","version":"E11BZ1"},"target":"normalized","rule_ids":["TRN-002"],"sequence":12,"transformer_id":"ts.transmission","confidence_effect":0.1},{"after":"hatchback","field":"bodywork_form","before":{"model":"IONIQ","variant":"B5E11","version":"E11BZ1","body_code":"AB","eu_category":"M1","vehicle_type":"PB"},"target":"normalized","rule_ids":["BDY-109"],"sequence":13,"transformer_id":"ts.bodywork","confidence_effect":0.1},{"after":"Halvkombi","field":"bodywork_registry_label_sv","before":{"model":"IONIQ","variant":"B5E11","version":"E11BZ1","body_code":"AB","eu_category":"M1","vehicle_type":"PB"},"target":"normalized","rule_ids":["BDY-109"],"sequence":14,"transformer_id":"ts.bodywork","confidence_effect":0.1},{"after":"battery_electric","field":"electrification_type","before":{"fuel1":"3","fuel2":"0","fuel3":"0","model":"IONIQ","variant":"B5E11","version":"E11BZ1","ev_config":"EL"},"target":"normalized","rule_ids":["FUEL-003","ELEC-001"],"sequence":15,"transformer_id":"ts.fuel","confidence_effect":0.0},{"after":["electricity"],"field":"energy_sources","before":{"fuel1":"3","fuel2":"0","fuel3":"0","model":"IONIQ","variant":"B5E11","version":"E11BZ1","ev_config":"EL"},"target":"normalized","rule_ids":["FUEL-003","ELEC-001"],"sequence":16,"transformer_id":"ts.fuel","confidence_effect":0.0}],"pipeline_version":"normalization-pipeline-v4","candidate_rule_ids":[]}</x:v>
      </x:c>
      <x:c r="Z189" s="36" t="n">
        <x:v>46239.78067015046</x:v>
      </x:c>
      <x:c r="AA189" s="36" t="n">
        <x:v>46239.78067015046</x:v>
      </x:c>
    </x:row>
    <x:row r="190" ht="18" customHeight="1">
      <x:c r="A190" s="36" t="n">
        <x:v>2792</x:v>
      </x:c>
      <x:c r="B190" s="36" t="str">
        <x:v>0017dcad-a3bc-5d1d-977d-d9764e687f31</x:v>
      </x:c>
      <x:c r="C190" s="36" t="str">
        <x:v>Transportstyrelsen</x:v>
      </x:c>
      <x:c r="D190" s="36" t="str">
        <x:v>normalization-review-passenger-250-v1-rules-20260805T184409855703Z</x:v>
      </x:c>
      <x:c r="E190" s="36" t="str">
        <x:v>staging.transportstyrelsen_raw</x:v>
      </x:c>
      <x:c r="F190" s="36" t="n">
        <x:v>2910</x:v>
      </x:c>
      <x:c r="G190" s="36" t="str">
        <x:v>ts-mapping-v1</x:v>
      </x:c>
      <x:c r="H190" s="36" t="str">
        <x:v>ts-review-20260805T184254528647Z</x:v>
      </x:c>
      <x:c r="I190" s="36" t="str">
        <x:v>normalization-pipeline-v4</x:v>
      </x:c>
      <x:c r="J190" s="36" t="str">
        <x:v>provisional</x:v>
      </x:c>
      <x:c r="K190" s="39" t="n">
        <x:v>0.8</x:v>
      </x:c>
      <x:c r="L190" s="36" t="str">
        <x:v>Ford</x:v>
      </x:c>
      <x:c r="M190" s="36"/>
      <x:c r="N190" s="36" t="str">
        <x:v>coupe</x:v>
      </x:c>
      <x:c r="O190" s="38" t="str">
        <x:v>["petrol"]</x:v>
      </x:c>
      <x:c r="P190" s="36" t="str">
        <x:v>manual</x:v>
      </x:c>
      <x:c r="Q190" s="36" t="n">
        <x:v>1936</x:v>
      </x:c>
      <x:c r="R190" s="38" t="str">
        <x:v>["DATE-REGISTRATION-V1","DATE-PRODUCTION-YEAR-V1","UNIT-POWER-KW-V1","UNIT-DISPLACEMENT-CCM-V1","TRN-001","BDY-107","FUEL-001"]</x:v>
      </x:c>
      <x:c r="S190" s="38" t="str">
        <x:v>["MFR-BRAND-PREFIX-FALLBACK"]</x:v>
      </x:c>
      <x:c r="T190" s="38" t="str">
        <x:v>[]</x:v>
      </x:c>
      <x:c r="U190" s="38" t="str">
        <x:v>{"market":["SE"],"power_kw":62,"manufacturer":"Ford","bodywork_form":"coupe","energy_sources":["petrol"],"displacement_cc":3622,"production_year":1936,"manufacturer_role":"vehicle_manufacturer","power_source_unit":"kw","registration_date":"2014-10-03","transmission_type":"manual","alias_types_present":["plate","vin"],"builder_converter_names":[],"displacement_source_unit":"ccm","production_date_precision":"model_year","bodywork_registry_label_sv":"Kupé"}</x:v>
      </x:c>
      <x:c r="V190" s="38" t="str">
        <x:v>{"manufacturer_confirmation":{"source_fields":["brand"],"canonical_name":"Ford"}}</x:v>
      </x:c>
      <x:c r="W1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FORDOR SPECIAL","target":"normalized","rule_ids":["MFR-CLASSIFY-V1"],"sequence":3,"transformer_id":"ts.manufacturer","confidence_effect":0.2},{"after":"Ford","field":"manufacturer","before":"FORD FORDOR SPECIAL","target":"normalized","rule_ids":["MFR-CLASSIFY-V1"],"sequence":4,"transformer_id":"ts.manufacturer","confidence_effect":0.2},{"after":"vehicle_manufacturer","field":"manufacturer_role","before":"FORD FORDOR SPECIAL","target":"normalized","rule_ids":["MFR-CLASSIFY-V1"],"sequence":5,"transformer_id":"ts.manufacturer","confidence_effect":0.2},{"after":{"source_fields":["brand"],"canonical_name":"Ford"},"field":"manufacturer_confirmation","before":"FORD FORDOR SPECIAL","target":"candidate","rule_ids":["MFR-BRAND-PREFIX-FALLBACK"],"sequence":6,"transformer_id":"ts.manufacturer","confidence_effect":0.05},{"after":"model_year","field":"production_date_precision","before":{"model_year":1936,"vehicle_year":1936,"registration_date":"20141003"},"target":"normalized","rule_ids":["DATE-REGISTRATION-V1","DATE-PRODUCTION-YEAR-V1"],"sequence":7,"transformer_id":"ts.dates","confidence_effect":0.1},{"after":1936,"field":"production_year","before":{"model_year":1936,"vehicle_year":1936,"registration_date":"20141003"},"target":"normalized","rule_ids":["DATE-REGISTRATION-V1","DATE-PRODUCTION-YEAR-V1"],"sequence":8,"transformer_id":"ts.dates","confidence_effect":0.1},{"after":"2014-10-03","field":"registration_date","before":{"model_year":1936,"vehicle_year":1936,"registration_date":"20141003"},"target":"normalized","rule_ids":["DATE-REGISTRATION-V1","DATE-PRODUCTION-YEAR-V1"],"sequence":9,"transformer_id":"ts.dates","confidence_effect":0.1},{"after":3622,"field":"displacement_cc","before":{"kw":62,"ccm":3622},"target":"normalized","rule_ids":["UNIT-POWER-KW-V1","UNIT-DISPLACEMENT-CCM-V1"],"sequence":10,"transformer_id":"ts.engine-measurements","confidence_effect":0.1},{"after":"ccm","field":"displacement_source_unit","before":{"kw":62,"ccm":3622},"target":"normalized","rule_ids":["UNIT-POWER-KW-V1","UNIT-DISPLACEMENT-CCM-V1"],"sequence":11,"transformer_id":"ts.engine-measurements","confidence_effect":0.1},{"after":62,"field":"power_kw","before":{"kw":62,"ccm":3622},"target":"normalized","rule_ids":["UNIT-POWER-KW-V1","UNIT-DISPLACEMENT-CCM-V1"],"sequence":12,"transformer_id":"ts.engine-measurements","confidence_effect":0.1},{"after":"kw","field":"power_source_unit","before":{"kw":62,"ccm":3622},"target":"normalized","rule_ids":["UNIT-POWER-KW-V1","UNIT-DISPLACEMENT-CCM-V1"],"sequence":13,"transformer_id":"ts.engine-measurements","confidence_effect":0.1},{"after":"manual","field":"transmission_type","before":"M","target":"normalized","rule_ids":["TRN-001"],"sequence":14,"transformer_id":"ts.transmission","confidence_effect":0.1},{"after":"coupe","field":"bodywork_form","before":{"body_code":"AD","eu_category":"M1","vehicle_type":"PB"},"target":"normalized","rule_ids":["BDY-107"],"sequence":15,"transformer_id":"ts.bodywork","confidence_effect":0.1},{"after":"Kupé","field":"bodywork_registry_label_sv","before":{"body_code":"AD","eu_category":"M1","vehicle_type":"PB"},"target":"normalized","rule_ids":["BDY-107"],"sequence":16,"transformer_id":"ts.bodywork","confidence_effect":0.1},{"after":["petrol"],"field":"energy_sources","before":{"fuel1":"1","fuel2":"0","fuel3":"0"},"target":"normalized","rule_ids":["FUEL-001"],"sequence":17,"transformer_id":"ts.fuel","confidence_effect":0.0}]</x:v>
      </x:c>
      <x:c r="X190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0" s="38" t="str">
        <x:v>{"candidates":{"manufacturer_confirmation":{"source_fields":["brand"],"canonical_name":"Ford"}},"confidence":0.8,"normalized":{"market":["SE"],"power_kw":62,"manufacturer":"Ford","bodywork_form":"coupe","energy_sources":["petrol"],"displacement_cc":3622,"production_year":1936,"manufacturer_role":"vehicle_manufacturer","power_source_unit":"kw","registration_date":"2014-10-03","transmission_type":"manual","alias_types_present":["plate","vin"],"builder_converter_names":[],"displacement_source_unit":"ccm","production_date_precision":"model_year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FORDOR SPECIAL","target":"normalized","rule_ids":["MFR-CLASSIFY-V1"],"sequence":3,"transformer_id":"ts.manufacturer","confidence_effect":0.2},{"after":"Ford","field":"manufacturer","before":"FORD FORDOR SPECIAL","target":"normalized","rule_ids":["MFR-CLASSIFY-V1"],"sequence":4,"transformer_id":"ts.manufacturer","confidence_effect":0.2},{"after":"vehicle_manufacturer","field":"manufacturer_role","before":"FORD FORDOR SPECIAL","target":"normalized","rule_ids":["MFR-CLASSIFY-V1"],"sequence":5,"transformer_id":"ts.manufacturer","confidence_effect":0.2},{"after":{"source_fields":["brand"],"canonical_name":"Ford"},"field":"manufacturer_confirmation","before":"FORD FORDOR SPECIAL","target":"candidate","rule_ids":["MFR-BRAND-PREFIX-FALLBACK"],"sequence":6,"transformer_id":"ts.manufacturer","confidence_effect":0.05},{"after":"model_year","field":"production_date_precision","before":{"model_year":1936,"vehicle_year":1936,"registration_date":"20141003"},"target":"normalized","rule_ids":["DATE-REGISTRATION-V1","DATE-PRODUCTION-YEAR-V1"],"sequence":7,"transformer_id":"ts.dates","confidence_effect":0.1},{"after":1936,"field":"production_year","before":{"model_year":1936,"vehicle_year":1936,"registration_date":"20141003"},"target":"normalized","rule_ids":["DATE-REGISTRATION-V1","DATE-PRODUCTION-YEAR-V1"],"sequence":8,"transformer_id":"ts.dates","confidence_effect":0.1},{"after":"2014-10-03","field":"registration_date","before":{"model_year":1936,"vehicle_year":1936,"registration_date":"20141003"},"target":"normalized","rule_ids":["DATE-REGISTRATION-V1","DATE-PRODUCTION-YEAR-V1"],"sequence":9,"transformer_id":"ts.dates","confidence_effect":0.1},{"after":3622,"field":"displacement_cc","before":{"kw":62,"ccm":3622},"target":"normalized","rule_ids":["UNIT-POWER-KW-V1","UNIT-DISPLACEMENT-CCM-V1"],"sequence":10,"transformer_id":"ts.engine-measurements","confidence_effect":0.1},{"after":"ccm","field":"displacement_source_unit","before":{"kw":62,"ccm":3622},"target":"normalized","rule_ids":["UNIT-POWER-KW-V1","UNIT-DISPLACEMENT-CCM-V1"],"sequence":11,"transformer_id":"ts.engine-measurements","confidence_effect":0.1},{"after":62,"field":"power_kw","before":{"kw":62,"ccm":3622},"target":"normalized","rule_ids":["UNIT-POWER-KW-V1","UNIT-DISPLACEMENT-CCM-V1"],"sequence":12,"transformer_id":"ts.engine-measurements","confidence_effect":0.1},{"after":"kw","field":"power_source_unit","before":{"kw":62,"ccm":3622},"target":"normalized","rule_ids":["UNIT-POWER-KW-V1","UNIT-DISPLACEMENT-CCM-V1"],"sequence":13,"transformer_id":"ts.engine-measurements","confidence_effect":0.1},{"after":"manual","field":"transmission_type","before":"M","target":"normalized","rule_ids":["TRN-001"],"sequence":14,"transformer_id":"ts.transmission","confidence_effect":0.1},{"after":"coupe","field":"bodywork_form","before":{"body_code":"AD","eu_category":"M1","vehicle_type":"PB"},"target":"normalized","rule_ids":["BDY-107"],"sequence":15,"transformer_id":"ts.bodywork","confidence_effect":0.1},{"after":"Kupé","field":"bodywork_registry_label_sv","before":{"body_code":"AD","eu_category":"M1","vehicle_type":"PB"},"target":"normalized","rule_ids":["BDY-107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4","candidate_rule_ids":["MFR-BRAND-PREFIX-FALLBACK"]}</x:v>
      </x:c>
      <x:c r="Z190" s="36" t="n">
        <x:v>46239.78067015046</x:v>
      </x:c>
      <x:c r="AA190" s="36" t="n">
        <x:v>46239.78067015046</x:v>
      </x:c>
    </x:row>
    <x:row r="191" ht="18" customHeight="1">
      <x:c r="A191" s="36" t="n">
        <x:v>2793</x:v>
      </x:c>
      <x:c r="B191" s="36" t="str">
        <x:v>7e08a5f4-103e-58e1-a99e-259fc761e002</x:v>
      </x:c>
      <x:c r="C191" s="36" t="str">
        <x:v>Transportstyrelsen</x:v>
      </x:c>
      <x:c r="D191" s="36" t="str">
        <x:v>normalization-review-passenger-250-v1-rules-20260805T184409855703Z</x:v>
      </x:c>
      <x:c r="E191" s="36" t="str">
        <x:v>staging.transportstyrelsen_raw</x:v>
      </x:c>
      <x:c r="F191" s="36" t="n">
        <x:v>2911</x:v>
      </x:c>
      <x:c r="G191" s="36" t="str">
        <x:v>ts-mapping-v1</x:v>
      </x:c>
      <x:c r="H191" s="36" t="str">
        <x:v>ts-review-20260805T184254528647Z</x:v>
      </x:c>
      <x:c r="I191" s="36" t="str">
        <x:v>normalization-pipeline-v4</x:v>
      </x:c>
      <x:c r="J191" s="36" t="str">
        <x:v>resolved</x:v>
      </x:c>
      <x:c r="K191" s="39" t="n">
        <x:v>0.95</x:v>
      </x:c>
      <x:c r="L191" s="36" t="str">
        <x:v>Ford</x:v>
      </x:c>
      <x:c r="M191" s="36"/>
      <x:c r="N191" s="36" t="str">
        <x:v>motorhome</x:v>
      </x:c>
      <x:c r="O191" s="38" t="str">
        <x:v>["diesel"]</x:v>
      </x:c>
      <x:c r="P191" s="36" t="str">
        <x:v>manual</x:v>
      </x:c>
      <x:c r="Q191" s="36" t="n">
        <x:v>2008</x:v>
      </x:c>
      <x:c r="R191" s="38" t="str">
        <x:v>["MFR-BRAND-CONFIRMED","MFR-BRAND-VIN-WMI","DATE-REGISTRATION-V1","DATE-PRODUCTION-YEAR-V1","UNIT-POWER-KW-V1","UNIT-DISPLACEMENT-CCM-V1","TRN-001","BDY-SA","FUEL-002"]</x:v>
      </x:c>
      <x:c r="S191" s="38" t="str">
        <x:v>[]</x:v>
      </x:c>
      <x:c r="T191" s="38" t="str">
        <x:v>[]</x:v>
      </x:c>
      <x:c r="U191" s="38" t="str">
        <x:v>{"market":["SE"],"power_kw":96,"manufacturer":"Ford","bodywork_form":"motorhome","energy_sources":["diesel"],"displacement_cc":2198,"production_year":2008,"manufacturer_role":"vehicle_manufacturer","power_source_unit":"kw","registration_date":"2008-07-11","transmission_type":"manual","alias_types_present":["plate","vin"],"builder_converter_names":[],"displacement_source_unit":"ccm","production_date_precision":"model_year","bodywork_registry_label_sv":"Campingbil"}</x:v>
      </x:c>
      <x:c r="V191" s="38" t="str">
        <x:v>{}</x:v>
      </x:c>
      <x:c r="W1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T 555 AK FS","target":"normalized","rule_ids":["MFR-BRAND-CONFIRMED","MFR-BRAND-VIN-WMI"],"sequence":3,"transformer_id":"ts.manufacturer","confidence_effect":0.2},{"after":"Ford","field":"manufacturer","before":"FORD HOBBY T 555 AK FS","target":"normalized","rule_ids":["MFR-BRAND-CONFIRMED","MFR-BRAND-VIN-WMI"],"sequence":4,"transformer_id":"ts.manufacturer","confidence_effect":0.2},{"after":"vehicle_manufacturer","field":"manufacturer_role","before":"FORD HOBBY T 555 AK FS","target":"normalized","rule_ids":["MFR-BRAND-CONFIRMED","MFR-BRAND-VIN-WMI"],"sequence":5,"transformer_id":"ts.manufacturer","confidence_effect":0.2},{"after":"model_year","field":"production_date_precision","before":{"model_year":2008,"vehicle_year":2008,"registration_date":"20080711"},"target":"normalized","rule_ids":["DATE-REGISTRATION-V1","DATE-PRODUCTION-YEAR-V1"],"sequence":6,"transformer_id":"ts.dates","confidence_effect":0.1},{"after":2008,"field":"production_year","before":{"model_year":2008,"vehicle_year":2008,"registration_date":"20080711"},"target":"normalized","rule_ids":["DATE-REGISTRATION-V1","DATE-PRODUCTION-YEAR-V1"],"sequence":7,"transformer_id":"ts.dates","confidence_effect":0.1},{"after":"2008-07-11","field":"registration_date","before":{"model_year":2008,"vehicle_year":2008,"registration_date":"20080711"},"target":"normalized","rule_ids":["DATE-REGISTRATION-V1","DATE-PRODUCTION-YEAR-V1"],"sequence":8,"transformer_id":"ts.dates","confidence_effect":0.1},{"after":2198,"field":"displacement_cc","before":{"kw":96,"ccm":2198},"target":"normalized","rule_ids":["UNIT-POWER-KW-V1","UNIT-DISPLACEMENT-CCM-V1"],"sequence":9,"transformer_id":"ts.engine-measurements","confidence_effect":0.1},{"after":"ccm","field":"displacement_source_unit","before":{"kw":96,"ccm":2198},"target":"normalized","rule_ids":["UNIT-POWER-KW-V1","UNIT-DISPLACEMENT-CCM-V1"],"sequence":10,"transformer_id":"ts.engine-measurements","confidence_effect":0.1},{"after":96,"field":"power_kw","before":{"kw":96,"ccm":2198},"target":"normalized","rule_ids":["UNIT-POWER-KW-V1","UNIT-DISPLACEMENT-CCM-V1"],"sequence":11,"transformer_id":"ts.engine-measurements","confidence_effect":0.1},{"after":"kw","field":"power_source_unit","before":{"kw":96,"ccm":2198},"target":"normalized","rule_ids":["UNIT-POWER-KW-V1","UNIT-DISPLACEMENT-CCM-V1"],"sequence":12,"transformer_id":"ts.engine-measurements","confidence_effect":0.1},{"after":"manual","field":"transmission_type","before":{"gearbox":"M","variant":"QWMAGBBA1743500","version":"-"},"target":"normalized","rule_ids":["TRN-001"],"sequence":13,"transformer_id":"ts.transmission","confidence_effect":0.1},{"after":"motorhome","field":"bodywork_form","before":{"variant":"QWMAGBBA1743500","version":"-","body_code":"SA","eu_category":"M1","vehicle_type":"PB"},"target":"normalized","rule_ids":["BDY-SA"],"sequence":14,"transformer_id":"ts.bodywork","confidence_effect":0.1},{"after":"Campingbil","field":"bodywork_registry_label_sv","before":{"variant":"QWMAGBBA1743500","version":"-","body_code":"SA","eu_category":"M1","vehicle_type":"PB"},"target":"normalized","rule_ids":["BDY-SA"],"sequence":15,"transformer_id":"ts.bodywork","confidence_effect":0.1},{"after":["diesel"],"field":"energy_sources","before":{"fuel1":"2","fuel2":"0","fuel3":"0","variant":"QWMAGBBA1743500","version":"-"},"target":"normalized","rule_ids":["FUEL-002"],"sequence":16,"transformer_id":"ts.fuel","confidence_effect":0.0}]</x:v>
      </x:c>
      <x:c r="X191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1" s="38" t="str">
        <x:v>{"candidates":{},"confidence":0.95,"normalized":{"market":["SE"],"power_kw":96,"manufacturer":"Ford","bodywork_form":"motorhome","energy_sources":["diesel"],"displacement_cc":2198,"production_year":2008,"manufacturer_role":"vehicle_manufacturer","power_source_unit":"kw","registration_date":"2008-07-11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T 555 AK FS","target":"normalized","rule_ids":["MFR-BRAND-CONFIRMED","MFR-BRAND-VIN-WMI"],"sequence":3,"transformer_id":"ts.manufacturer","confidence_effect":0.2},{"after":"Ford","field":"manufacturer","before":"FORD HOBBY T 555 AK FS","target":"normalized","rule_ids":["MFR-BRAND-CONFIRMED","MFR-BRAND-VIN-WMI"],"sequence":4,"transformer_id":"ts.manufacturer","confidence_effect":0.2},{"after":"vehicle_manufacturer","field":"manufacturer_role","before":"FORD HOBBY T 555 AK FS","target":"normalized","rule_ids":["MFR-BRAND-CONFIRMED","MFR-BRAND-VIN-WMI"],"sequence":5,"transformer_id":"ts.manufacturer","confidence_effect":0.2},{"after":"model_year","field":"production_date_precision","before":{"model_year":2008,"vehicle_year":2008,"registration_date":"20080711"},"target":"normalized","rule_ids":["DATE-REGISTRATION-V1","DATE-PRODUCTION-YEAR-V1"],"sequence":6,"transformer_id":"ts.dates","confidence_effect":0.1},{"after":2008,"field":"production_year","before":{"model_year":2008,"vehicle_year":2008,"registration_date":"20080711"},"target":"normalized","rule_ids":["DATE-REGISTRATION-V1","DATE-PRODUCTION-YEAR-V1"],"sequence":7,"transformer_id":"ts.dates","confidence_effect":0.1},{"after":"2008-07-11","field":"registration_date","before":{"model_year":2008,"vehicle_year":2008,"registration_date":"20080711"},"target":"normalized","rule_ids":["DATE-REGISTRATION-V1","DATE-PRODUCTION-YEAR-V1"],"sequence":8,"transformer_id":"ts.dates","confidence_effect":0.1},{"after":2198,"field":"displacement_cc","before":{"kw":96,"ccm":2198},"target":"normalized","rule_ids":["UNIT-POWER-KW-V1","UNIT-DISPLACEMENT-CCM-V1"],"sequence":9,"transformer_id":"ts.engine-measurements","confidence_effect":0.1},{"after":"ccm","field":"displacement_source_unit","before":{"kw":96,"ccm":2198},"target":"normalized","rule_ids":["UNIT-POWER-KW-V1","UNIT-DISPLACEMENT-CCM-V1"],"sequence":10,"transformer_id":"ts.engine-measurements","confidence_effect":0.1},{"after":96,"field":"power_kw","before":{"kw":96,"ccm":2198},"target":"normalized","rule_ids":["UNIT-POWER-KW-V1","UNIT-DISPLACEMENT-CCM-V1"],"sequence":11,"transformer_id":"ts.engine-measurements","confidence_effect":0.1},{"after":"kw","field":"power_source_unit","before":{"kw":96,"ccm":2198},"target":"normalized","rule_ids":["UNIT-POWER-KW-V1","UNIT-DISPLACEMENT-CCM-V1"],"sequence":12,"transformer_id":"ts.engine-measurements","confidence_effect":0.1},{"after":"manual","field":"transmission_type","before":{"gearbox":"M","variant":"QWMAGBBA1743500","version":"-"},"target":"normalized","rule_ids":["TRN-001"],"sequence":13,"transformer_id":"ts.transmission","confidence_effect":0.1},{"after":"motorhome","field":"bodywork_form","before":{"variant":"QWMAGBBA1743500","version":"-","body_code":"SA","eu_category":"M1","vehicle_type":"PB"},"target":"normalized","rule_ids":["BDY-SA"],"sequence":14,"transformer_id":"ts.bodywork","confidence_effect":0.1},{"after":"Campingbil","field":"bodywork_registry_label_sv","before":{"variant":"QWMAGBBA1743500","version":"-","body_code":"SA","eu_category":"M1","vehicle_type":"PB"},"target":"normalized","rule_ids":["BDY-SA"],"sequence":15,"transformer_id":"ts.bodywork","confidence_effect":0.1},{"after":["diesel"],"field":"energy_sources","before":{"fuel1":"2","fuel2":"0","fuel3":"0","variant":"QWMAGBBA1743500","version":"-"},"target":"normalized","rule_ids":["FUEL-002"],"sequence":16,"transformer_id":"ts.fuel","confidence_effect":0.0}],"pipeline_version":"normalization-pipeline-v4","candidate_rule_ids":[]}</x:v>
      </x:c>
      <x:c r="Z191" s="36" t="n">
        <x:v>46239.78067015046</x:v>
      </x:c>
      <x:c r="AA191" s="36" t="n">
        <x:v>46239.78067015046</x:v>
      </x:c>
    </x:row>
    <x:row r="192" ht="18" customHeight="1">
      <x:c r="A192" s="36" t="n">
        <x:v>2794</x:v>
      </x:c>
      <x:c r="B192" s="36" t="str">
        <x:v>a72efcf6-0826-58f7-ab22-4ce12111656d</x:v>
      </x:c>
      <x:c r="C192" s="36" t="str">
        <x:v>Transportstyrelsen</x:v>
      </x:c>
      <x:c r="D192" s="36" t="str">
        <x:v>normalization-review-passenger-250-v1-rules-20260805T184409855703Z</x:v>
      </x:c>
      <x:c r="E192" s="36" t="str">
        <x:v>staging.transportstyrelsen_raw</x:v>
      </x:c>
      <x:c r="F192" s="36" t="n">
        <x:v>2912</x:v>
      </x:c>
      <x:c r="G192" s="36" t="str">
        <x:v>ts-mapping-v1</x:v>
      </x:c>
      <x:c r="H192" s="36" t="str">
        <x:v>ts-review-20260805T184254528647Z</x:v>
      </x:c>
      <x:c r="I192" s="36" t="str">
        <x:v>normalization-pipeline-v4</x:v>
      </x:c>
      <x:c r="J192" s="36" t="str">
        <x:v>provisional</x:v>
      </x:c>
      <x:c r="K192" s="39" t="n">
        <x:v>0.8</x:v>
      </x:c>
      <x:c r="L192" s="36" t="str">
        <x:v>Toyota</x:v>
      </x:c>
      <x:c r="M192" s="36" t="str">
        <x:v>TOYOTA YARIS</x:v>
      </x:c>
      <x:c r="N192" s="36" t="str">
        <x:v>multi_purpose_vehicle</x:v>
      </x:c>
      <x:c r="O192" s="38" t="str">
        <x:v>["petrol"]</x:v>
      </x:c>
      <x:c r="P192" s="36" t="str">
        <x:v>cvt</x:v>
      </x:c>
      <x:c r="Q192" s="36" t="n">
        <x:v>2018</x:v>
      </x:c>
      <x:c r="R192" s="38" t="str">
        <x:v>["MFR-BRAND-CONFIRMED","MFR-BRAND-MODEL","DATE-REGISTRATION-V1","DATE-PRODUCTION-MONTH-V1","UNIT-POWER-KW-V1","UNIT-DISPLACEMENT-CCM-V1","TRN-003","BDY-113","FUEL-001"]</x:v>
      </x:c>
      <x:c r="S192" s="38" t="str">
        <x:v>[]</x:v>
      </x:c>
      <x:c r="T192" s="38" t="str">
        <x:v>[]</x:v>
      </x:c>
      <x:c r="U192" s="38" t="str">
        <x:v>{"market":["SE"],"power_kw":82,"manufacturer":"Toyota","bodywork_form":"multi_purpose_vehicle","energy_sources":["petrol"],"displacement_cc":1496,"production_date":"2018-09","production_year":2018,"manufacturer_role":"vehicle_manufacturer","power_source_unit":"kw","registration_date":"2018-10-18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192" s="38" t="str">
        <x:v>{"model_family":"TOYOTA YARIS"}</x:v>
      </x:c>
      <x:c r="W1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2018-09","field":"production_date","before":{"build_month":"201809","vehicle_year":2018,"registration_date":"20181018"},"target":"normalized","rule_ids":["DATE-REGISTRATION-V1","DATE-PRODUCTION-MONTH-V1"],"sequence":8,"transformer_id":"ts.dates","confidence_effect":0.1},{"after":"month","field":"production_date_precision","before":{"build_month":"201809","vehicle_year":2018,"registration_date":"20181018"},"target":"normalized","rule_ids":["DATE-REGISTRATION-V1","DATE-PRODUCTION-MONTH-V1"],"sequence":9,"transformer_id":"ts.dates","confidence_effect":0.1},{"after":2018,"field":"production_year","before":{"build_month":"201809","vehicle_year":2018,"registration_date":"20181018"},"target":"normalized","rule_ids":["DATE-REGISTRATION-V1","DATE-PRODUCTION-MONTH-V1"],"sequence":10,"transformer_id":"ts.dates","confidence_effect":0.1},{"after":"2018-10-18","field":"registration_date","before":{"build_month":"201809","vehicle_year":2018,"registration_date":"20181018"},"target":"normalized","rule_ids":["DATE-REGISTRATION-V1","DATE-PRODUCTION-MONTH-V1"],"sequence":11,"transformer_id":"ts.dates","confidence_effect":0.1},{"after":1496,"field":"displacement_cc","before":{"kw":82,"ccm":1496},"target":"normalized","rule_ids":["UNIT-POWER-KW-V1","UNIT-DISPLACEMENT-CCM-V1"],"sequence":12,"transformer_id":"ts.engine-measurements","confidence_effect":0.1},{"after":"ccm","field":"displacement_source_unit","before":{"kw":82,"ccm":1496},"target":"normalized","rule_ids":["UNIT-POWER-KW-V1","UNIT-DISPLACEMENT-CCM-V1"],"sequence":13,"transformer_id":"ts.engine-measurements","confidence_effect":0.1},{"after":82,"field":"power_kw","before":{"kw":82,"ccm":1496},"target":"normalized","rule_ids":["UNIT-POWER-KW-V1","UNIT-DISPLACEMENT-CCM-V1"],"sequence":14,"transformer_id":"ts.engine-measurements","confidence_effect":0.1},{"after":"kw","field":"power_source_unit","before":{"kw":82,"ccm":1496},"target":"normalized","rule_ids":["UNIT-POWER-KW-V1","UNIT-DISPLACEMENT-CCM-V1"],"sequence":15,"transformer_id":"ts.engine-measurements","confidence_effect":0.1},{"after":"Variomatic","field":"transmission_display","before":{"model":"TOYOTA YARIS","gearbox":"V","variant":"NSP13(MH)","version":"NSP131L-CHXNBW(1M)"},"target":"normalized","rule_ids":["TRN-003"],"sequence":16,"transformer_id":"ts.transmission","confidence_effect":0.1},{"after":"cvt","field":"transmission_type","before":{"model":"TOYOTA YARIS","gearbox":"V","variant":"NSP13(MH)","version":"NSP131L-CHXNBW(1M)"},"target":"normalized","rule_ids":["TRN-003"],"sequence":17,"transformer_id":"ts.transmission","confidence_effect":0.1},{"after":"multi_purpose_vehicle","field":"bodywork_form","before":{"model":"TOYOTA YARIS","variant":"NSP13(MH)","version":"NSP131L-CHXNBW(1M)","body_code":"AF","eu_category":"M1","vehicle_type":"PB"},"target":"normalized","rule_ids":["BDY-113"],"sequence":18,"transformer_id":"ts.bodywork","confidence_effect":0.1},{"after":"Fordon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","variant":"NSP13(MH)","version":"NSP131L-CHXNBW(1M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YARIS","variant":"NSP13(MH)","version":"NSP131L-CHXNBW(1M)"},"target":"normalized","rule_ids":["FUEL-001"],"sequence":20,"transformer_id":"ts.fuel","confidence_effect":0.0}]</x:v>
      </x:c>
      <x:c r="X19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2" s="38" t="str">
        <x:v>{"candidates":{"model_family":"TOYOTA YARIS"},"confidence":0.8,"normalized":{"market":["SE"],"power_kw":82,"manufacturer":"Toyota","bodywork_form":"multi_purpose_vehicle","energy_sources":["petrol"],"displacement_cc":1496,"production_date":"2018-09","production_year":2018,"manufacturer_role":"vehicle_manufacturer","power_source_unit":"kw","registration_date":"2018-10-18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2018-09","field":"production_date","before":{"build_month":"201809","vehicle_year":2018,"registration_date":"20181018"},"target":"normalized","rule_ids":["DATE-REGISTRATION-V1","DATE-PRODUCTION-MONTH-V1"],"sequence":8,"transformer_id":"ts.dates","confidence_effect":0.1},{"after":"month","field":"production_date_precision","before":{"build_month":"201809","vehicle_year":2018,"registration_date":"20181018"},"target":"normalized","rule_ids":["DATE-REGISTRATION-V1","DATE-PRODUCTION-MONTH-V1"],"sequence":9,"transformer_id":"ts.dates","confidence_effect":0.1},{"after":2018,"field":"production_year","before":{"build_month":"201809","vehicle_year":2018,"registration_date":"20181018"},"target":"normalized","rule_ids":["DATE-REGISTRATION-V1","DATE-PRODUCTION-MONTH-V1"],"sequence":10,"transformer_id":"ts.dates","confidence_effect":0.1},{"after":"2018-10-18","field":"registration_date","before":{"build_month":"201809","vehicle_year":2018,"registration_date":"20181018"},"target":"normalized","rule_ids":["DATE-REGISTRATION-V1","DATE-PRODUCTION-MONTH-V1"],"sequence":11,"transformer_id":"ts.dates","confidence_effect":0.1},{"after":1496,"field":"displacement_cc","before":{"kw":82,"ccm":1496},"target":"normalized","rule_ids":["UNIT-POWER-KW-V1","UNIT-DISPLACEMENT-CCM-V1"],"sequence":12,"transformer_id":"ts.engine-measurements","confidence_effect":0.1},{"after":"ccm","field":"displacement_source_unit","before":{"kw":82,"ccm":1496},"target":"normalized","rule_ids":["UNIT-POWER-KW-V1","UNIT-DISPLACEMENT-CCM-V1"],"sequence":13,"transformer_id":"ts.engine-measurements","confidence_effect":0.1},{"after":82,"field":"power_kw","before":{"kw":82,"ccm":1496},"target":"normalized","rule_ids":["UNIT-POWER-KW-V1","UNIT-DISPLACEMENT-CCM-V1"],"sequence":14,"transformer_id":"ts.engine-measurements","confidence_effect":0.1},{"after":"kw","field":"power_source_unit","before":{"kw":82,"ccm":1496},"target":"normalized","rule_ids":["UNIT-POWER-KW-V1","UNIT-DISPLACEMENT-CCM-V1"],"sequence":15,"transformer_id":"ts.engine-measurements","confidence_effect":0.1},{"after":"Variomatic","field":"transmission_display","before":{"model":"TOYOTA YARIS","gearbox":"V","variant":"NSP13(MH)","version":"NSP131L-CHXNBW(1M)"},"target":"normalized","rule_ids":["TRN-003"],"sequence":16,"transformer_id":"ts.transmission","confidence_effect":0.1},{"after":"cvt","field":"transmission_type","before":{"model":"TOYOTA YARIS","gearbox":"V","variant":"NSP13(MH)","version":"NSP131L-CHXNBW(1M)"},"target":"normalized","rule_ids":["TRN-003"],"sequence":17,"transformer_id":"ts.transmission","confidence_effect":0.1},{"after":"multi_purpose_vehicle","field":"bodywork_form","before":{"model":"TOYOTA YARIS","variant":"NSP13(MH)","version":"NSP131L-CHXNBW(1M)","body_code":"AF","eu_category":"M1","vehicle_type":"PB"},"target":"normalized","rule_ids":["BDY-113"],"sequence":18,"transformer_id":"ts.bodywork","confidence_effect":0.1},{"after":"Fordon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","variant":"NSP13(MH)","version":"NSP131L-CHXNBW(1M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YARIS","variant":"NSP13(MH)","version":"NSP131L-CHXNBW(1M)"},"target":"normalized","rule_ids":["FUEL-001"],"sequence":20,"transformer_id":"ts.fuel","confidence_effect":0.0}],"pipeline_version":"normalization-pipeline-v4","candidate_rule_ids":[]}</x:v>
      </x:c>
      <x:c r="Z192" s="36" t="n">
        <x:v>46239.78067015046</x:v>
      </x:c>
      <x:c r="AA192" s="36" t="n">
        <x:v>46239.78067015046</x:v>
      </x:c>
    </x:row>
    <x:row r="193" ht="18" customHeight="1">
      <x:c r="A193" s="36" t="n">
        <x:v>2795</x:v>
      </x:c>
      <x:c r="B193" s="36" t="str">
        <x:v>47cf9cda-5bf9-5d14-a1b8-054c6a1e6593</x:v>
      </x:c>
      <x:c r="C193" s="36" t="str">
        <x:v>Transportstyrelsen</x:v>
      </x:c>
      <x:c r="D193" s="36" t="str">
        <x:v>normalization-review-passenger-250-v1-rules-20260805T184409855703Z</x:v>
      </x:c>
      <x:c r="E193" s="36" t="str">
        <x:v>staging.transportstyrelsen_raw</x:v>
      </x:c>
      <x:c r="F193" s="36" t="n">
        <x:v>2913</x:v>
      </x:c>
      <x:c r="G193" s="36" t="str">
        <x:v>ts-mapping-v1</x:v>
      </x:c>
      <x:c r="H193" s="36" t="str">
        <x:v>ts-review-20260805T184254528647Z</x:v>
      </x:c>
      <x:c r="I193" s="36" t="str">
        <x:v>normalization-pipeline-v4</x:v>
      </x:c>
      <x:c r="J193" s="36" t="str">
        <x:v>provisional</x:v>
      </x:c>
      <x:c r="K193" s="39" t="n">
        <x:v>0.8</x:v>
      </x:c>
      <x:c r="L193" s="36" t="str">
        <x:v>Volkswagen</x:v>
      </x:c>
      <x:c r="M193" s="36"/>
      <x:c r="N193" s="36"/>
      <x:c r="O193" s="38" t="str">
        <x:v>["petrol"]</x:v>
      </x:c>
      <x:c r="P193" s="36" t="str">
        <x:v>manual</x:v>
      </x:c>
      <x:c r="Q193" s="36" t="n">
        <x:v>1956</x:v>
      </x:c>
      <x:c r="R193" s="38" t="str">
        <x:v>["DATE-REGISTRATION-V1","DATE-PRODUCTION-YEAR-V1","UNIT-POWER-KW-V1","TRN-001","FUEL-001"]</x:v>
      </x:c>
      <x:c r="S193" s="38" t="str">
        <x:v>["MFR-BRAND-PREFIX-FALLBACK","MFE-BE046E6885C1B5"]</x:v>
      </x:c>
      <x:c r="T193" s="38" t="str">
        <x:v>[]</x:v>
      </x:c>
      <x:c r="U193" s="38" t="str">
        <x:v>{"market":["SE"],"power_kw":22,"manufacturer":"Volkswagen","energy_sources":["petrol"],"production_year":1956,"manufacturer_role":"vehicle_manufacturer","power_source_unit":"kw","registration_date":"1956-01-01","transmission_type":"manual","alias_types_present":["plate","vin"],"builder_converter_names":[],"production_date_precision":"model_year"}</x:v>
      </x:c>
      <x:c r="V193" s="38" t="str">
        <x:v>{"manufacturer_confirmation":{"source_fields":["brand"],"canonical_name":"Volkswagen"}}</x:v>
      </x:c>
      <x:c r="W1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LIM 1/11","target":"normalized","rule_ids":["MFR-CLASSIFY-V1"],"sequence":3,"transformer_id":"ts.manufacturer","confidence_effect":0.2},{"after":"Volkswagen","field":"manufacturer","before":"VW LIM 1/11","target":"normalized","rule_ids":["MFR-CLASSIFY-V1"],"sequence":4,"transformer_id":"ts.manufacturer","confidence_effect":0.2},{"after":"vehicle_manufacturer","field":"manufacturer_role","before":"VW LIM 1/11","target":"normalized","rule_ids":["MFR-CLASSIFY-V1"],"sequence":5,"transformer_id":"ts.manufacturer","confidence_effect":0.2},{"after":{"source_fields":["brand"],"canonical_name":"Volkswagen"},"field":"manufacturer_confirmation","before":"VW LIM 1/11","target":"candidate","rule_ids":["MFR-BRAND-PREFIX-FALLBACK","MFE-BE046E6885C1B5"],"sequence":6,"transformer_id":"ts.manufacturer","confidence_effect":0.05},{"after":"model_year","field":"production_date_precision","before":{"model_year":1956,"vehicle_year":1956,"registration_date":"19560101"},"target":"normalized","rule_ids":["DATE-REGISTRATION-V1","DATE-PRODUCTION-YEAR-V1"],"sequence":7,"transformer_id":"ts.dates","confidence_effect":0.1},{"after":1956,"field":"production_year","before":{"model_year":1956,"vehicle_year":1956,"registration_date":"19560101"},"target":"normalized","rule_ids":["DATE-REGISTRATION-V1","DATE-PRODUCTION-YEAR-V1"],"sequence":8,"transformer_id":"ts.dates","confidence_effect":0.1},{"after":"1956-01-01","field":"registration_date","before":{"model_year":1956,"vehicle_year":1956,"registration_date":"19560101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193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3" s="38" t="str">
        <x:v>{"candidates":{"manufacturer_confirmation":{"source_fields":["brand"],"canonical_name":"Volkswagen"}},"confidence":0.8,"normalized":{"market":["SE"],"power_kw":22,"manufacturer":"Volkswagen","energy_sources":["petrol"],"production_year":1956,"manufacturer_role":"vehicle_manufacturer","power_source_unit":"kw","registration_date":"1956-01-01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LIM 1/11","target":"normalized","rule_ids":["MFR-CLASSIFY-V1"],"sequence":3,"transformer_id":"ts.manufacturer","confidence_effect":0.2},{"after":"Volkswagen","field":"manufacturer","before":"VW LIM 1/11","target":"normalized","rule_ids":["MFR-CLASSIFY-V1"],"sequence":4,"transformer_id":"ts.manufacturer","confidence_effect":0.2},{"after":"vehicle_manufacturer","field":"manufacturer_role","before":"VW LIM 1/11","target":"normalized","rule_ids":["MFR-CLASSIFY-V1"],"sequence":5,"transformer_id":"ts.manufacturer","confidence_effect":0.2},{"after":{"source_fields":["brand"],"canonical_name":"Volkswagen"},"field":"manufacturer_confirmation","before":"VW LIM 1/11","target":"candidate","rule_ids":["MFR-BRAND-PREFIX-FALLBACK","MFE-BE046E6885C1B5"],"sequence":6,"transformer_id":"ts.manufacturer","confidence_effect":0.05},{"after":"model_year","field":"production_date_precision","before":{"model_year":1956,"vehicle_year":1956,"registration_date":"19560101"},"target":"normalized","rule_ids":["DATE-REGISTRATION-V1","DATE-PRODUCTION-YEAR-V1"],"sequence":7,"transformer_id":"ts.dates","confidence_effect":0.1},{"after":1956,"field":"production_year","before":{"model_year":1956,"vehicle_year":1956,"registration_date":"19560101"},"target":"normalized","rule_ids":["DATE-REGISTRATION-V1","DATE-PRODUCTION-YEAR-V1"],"sequence":8,"transformer_id":"ts.dates","confidence_effect":0.1},{"after":"1956-01-01","field":"registration_date","before":{"model_year":1956,"vehicle_year":1956,"registration_date":"19560101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,"MFE-BE046E6885C1B5"]}</x:v>
      </x:c>
      <x:c r="Z193" s="36" t="n">
        <x:v>46239.78067015046</x:v>
      </x:c>
      <x:c r="AA193" s="36" t="n">
        <x:v>46239.78067015046</x:v>
      </x:c>
    </x:row>
    <x:row r="194" ht="18" customHeight="1">
      <x:c r="A194" s="36" t="n">
        <x:v>2796</x:v>
      </x:c>
      <x:c r="B194" s="36" t="str">
        <x:v>5592d5a8-7bd4-5f11-b39e-b8c075e05bd2</x:v>
      </x:c>
      <x:c r="C194" s="36" t="str">
        <x:v>Transportstyrelsen</x:v>
      </x:c>
      <x:c r="D194" s="36" t="str">
        <x:v>normalization-review-passenger-250-v1-rules-20260805T184409855703Z</x:v>
      </x:c>
      <x:c r="E194" s="36" t="str">
        <x:v>staging.transportstyrelsen_raw</x:v>
      </x:c>
      <x:c r="F194" s="36" t="n">
        <x:v>2914</x:v>
      </x:c>
      <x:c r="G194" s="36" t="str">
        <x:v>ts-mapping-v1</x:v>
      </x:c>
      <x:c r="H194" s="36" t="str">
        <x:v>ts-review-20260805T184254528647Z</x:v>
      </x:c>
      <x:c r="I194" s="36" t="str">
        <x:v>normalization-pipeline-v4</x:v>
      </x:c>
      <x:c r="J194" s="36" t="str">
        <x:v>provisional</x:v>
      </x:c>
      <x:c r="K194" s="39" t="n">
        <x:v>0.8</x:v>
      </x:c>
      <x:c r="L194" s="36" t="str">
        <x:v>Saab</x:v>
      </x:c>
      <x:c r="M194" s="36"/>
      <x:c r="N194" s="36" t="str">
        <x:v>estate</x:v>
      </x:c>
      <x:c r="O194" s="38" t="str">
        <x:v>["petrol","ethanol"]</x:v>
      </x:c>
      <x:c r="P194" s="36" t="str">
        <x:v>manual</x:v>
      </x:c>
      <x:c r="Q194" s="36" t="n">
        <x:v>2006</x:v>
      </x:c>
      <x:c r="R194" s="38" t="str">
        <x:v>["DATE-REGISTRATION-V1","DATE-PRODUCTION-MONTH-V1","UNIT-POWER-KW-V1","UNIT-DISPLACEMENT-CCM-V1","TRN-001","BDY-110","FUEL-001","FUEL-007"]</x:v>
      </x:c>
      <x:c r="S194" s="38" t="str">
        <x:v>["MFR-BRAND-PREFIX-FALLBACK","MFE-CC8089323A8D5F"]</x:v>
      </x:c>
      <x:c r="T194" s="38" t="str">
        <x:v>[]</x:v>
      </x:c>
      <x:c r="U194" s="38" t="str">
        <x:v>{"market":["SE"],"power_kw":136,"manufacturer":"Saab","bodywork_form":"estate","energy_sources":["petrol","ethanol"],"displacement_cc":2290,"production_date":"2006-11","production_year":2006,"manufacturer_role":"vehicle_manufacturer","power_source_unit":"kw","registration_date":"2006-12-27","transmission_type":"manual","alias_types_present":["plate","vin"],"builder_converter_names":[],"displacement_source_unit":"ccm","production_date_precision":"month","bodywork_registry_label_sv":"Stationsvagn (kombivagn)"}</x:v>
      </x:c>
      <x:c r="V194" s="38" t="str">
        <x:v>{"manufacturer_confirmation":{"source_fields":["brand"],"canonical_name":"Saab"}}</x:v>
      </x:c>
      <x:c r="W1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-11","field":"production_date","before":{"build_month":"200611","vehicle_year":2006,"registration_date":"20061227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20061227"},"target":"normalized","rule_ids":["DATE-REGISTRATION-V1","DATE-PRODUCTION-MONTH-V1"],"sequence":8,"transformer_id":"ts.dates","confidence_effect":0.1},{"after":2006,"field":"production_year","before":{"build_month":"200611","vehicle_year":2006,"registration_date":"20061227"},"target":"normalized","rule_ids":["DATE-REGISTRATION-V1","DATE-PRODUCTION-MONTH-V1"],"sequence":9,"transformer_id":"ts.dates","confidence_effect":0.1},{"after":"2006-12-27","field":"registration_date","before":{"build_month":"200611","vehicle_year":2006,"registration_date":"20061227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","version":"M502"},"target":"normalized","rule_ids":["TRN-001"],"sequence":15,"transformer_id":"ts.transmission","confidence_effect":0.1},{"after":"estate","field":"bodywork_form","before":{"variant":"E5E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E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","version":"M502"},"target":"normalized","rule_ids":["FUEL-001","FUEL-007"],"sequence":18,"transformer_id":"ts.fuel","confidence_effect":0.0}]</x:v>
      </x:c>
      <x:c r="X19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94" s="38" t="str">
        <x:v>{"candidates":{"manufacturer_confirmation":{"source_fields":["brand"],"canonical_name":"Saab"}},"confidence":0.8,"normalized":{"market":["SE"],"power_kw":136,"manufacturer":"Saab","bodywork_form":"estate","energy_sources":["petrol","ethanol"],"displacement_cc":2290,"production_date":"2006-11","production_year":2006,"manufacturer_role":"vehicle_manufacturer","power_source_unit":"kw","registration_date":"2006-12-27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-11","field":"production_date","before":{"build_month":"200611","vehicle_year":2006,"registration_date":"20061227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20061227"},"target":"normalized","rule_ids":["DATE-REGISTRATION-V1","DATE-PRODUCTION-MONTH-V1"],"sequence":8,"transformer_id":"ts.dates","confidence_effect":0.1},{"after":2006,"field":"production_year","before":{"build_month":"200611","vehicle_year":2006,"registration_date":"20061227"},"target":"normalized","rule_ids":["DATE-REGISTRATION-V1","DATE-PRODUCTION-MONTH-V1"],"sequence":9,"transformer_id":"ts.dates","confidence_effect":0.1},{"after":"2006-12-27","field":"registration_date","before":{"build_month":"200611","vehicle_year":2006,"registration_date":"20061227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","version":"M502"},"target":"normalized","rule_ids":["TRN-001"],"sequence":15,"transformer_id":"ts.transmission","confidence_effect":0.1},{"after":"estate","field":"bodywork_form","before":{"variant":"E5E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E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194" s="36" t="n">
        <x:v>46239.78067015046</x:v>
      </x:c>
      <x:c r="AA194" s="36" t="n">
        <x:v>46239.78067015046</x:v>
      </x:c>
    </x:row>
    <x:row r="195" ht="18" customHeight="1">
      <x:c r="A195" s="36" t="n">
        <x:v>2797</x:v>
      </x:c>
      <x:c r="B195" s="36" t="str">
        <x:v>75a8d1c6-dfbd-56c7-8212-b60de8a69fda</x:v>
      </x:c>
      <x:c r="C195" s="36" t="str">
        <x:v>Transportstyrelsen</x:v>
      </x:c>
      <x:c r="D195" s="36" t="str">
        <x:v>normalization-review-passenger-250-v1-rules-20260805T184409855703Z</x:v>
      </x:c>
      <x:c r="E195" s="36" t="str">
        <x:v>staging.transportstyrelsen_raw</x:v>
      </x:c>
      <x:c r="F195" s="36" t="n">
        <x:v>2915</x:v>
      </x:c>
      <x:c r="G195" s="36" t="str">
        <x:v>ts-mapping-v1</x:v>
      </x:c>
      <x:c r="H195" s="36" t="str">
        <x:v>ts-review-20260805T184254528647Z</x:v>
      </x:c>
      <x:c r="I195" s="36" t="str">
        <x:v>normalization-pipeline-v4</x:v>
      </x:c>
      <x:c r="J195" s="36" t="str">
        <x:v>provisional</x:v>
      </x:c>
      <x:c r="K195" s="39" t="n">
        <x:v>0.8</x:v>
      </x:c>
      <x:c r="L195" s="36" t="str">
        <x:v>Dacia</x:v>
      </x:c>
      <x:c r="M195" s="36" t="str">
        <x:v>SANDERO</x:v>
      </x:c>
      <x:c r="N195" s="36" t="str">
        <x:v>hatchback</x:v>
      </x:c>
      <x:c r="O195" s="38" t="str">
        <x:v>["petrol"]</x:v>
      </x:c>
      <x:c r="P195" s="36"/>
      <x:c r="Q195" s="36" t="n">
        <x:v>2019</x:v>
      </x:c>
      <x:c r="R195" s="38" t="str">
        <x:v>["MFE-B1E0B47F0A881D","DATE-REGISTRATION-V1","DATE-PRODUCTION-MONTH-V1","UNIT-POWER-KW-V1","UNIT-DISPLACEMENT-CCM-V1","BDY-109","FUEL-001"]</x:v>
      </x:c>
      <x:c r="S195" s="38" t="str">
        <x:v>[]</x:v>
      </x:c>
      <x:c r="T195" s="38" t="str">
        <x:v>[]</x:v>
      </x:c>
      <x:c r="U195" s="38" t="str">
        <x:v>{"market":["SE"],"power_kw":66,"manufacturer":"Dacia","bodywork_form":"hatchback","energy_sources":["petrol"],"displacement_cc":898,"production_date":"2019-02","production_year":2019,"manufacturer_role":"vehicle_manufacturer","power_source_unit":"kw","registration_date":"2019-05-27","alias_types_present":["plate","vin","model_name"],"model_family_candidate":true,"builder_converter_names":[],"displacement_source_unit":"ccm","production_date_precision":"month","bodywork_registry_label_sv":"Halvkombi"}</x:v>
      </x:c>
      <x:c r="V195" s="38" t="str">
        <x:v>{"model_family":"SANDERO"}</x:v>
      </x:c>
      <x:c r="W1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SANDERO","target":"normalized","rule_ids":["MODEL-CANDIDATE-V1"],"sequence":6,"transformer_id":"ts.model-family","confidence_effect":0.0},{"after":"SANDERO","field":"model_family","before":"SANDERO","target":"candidate","rule_ids":["MODEL-CANDIDATE-V1"],"sequence":7,"transformer_id":"ts.model-family","confidence_effect":0.05},{"after":"2019-02","field":"production_date","before":{"build_month":"201902","vehicle_year":2019,"registration_date":"20190527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20190527"},"target":"normalized","rule_ids":["DATE-REGISTRATION-V1","DATE-PRODUCTION-MONTH-V1"],"sequence":9,"transformer_id":"ts.dates","confidence_effect":0.1},{"after":2019,"field":"production_year","before":{"build_month":"201902","vehicle_year":2019,"registration_date":"20190527"},"target":"normalized","rule_ids":["DATE-REGISTRATION-V1","DATE-PRODUCTION-MONTH-V1"],"sequence":10,"transformer_id":"ts.dates","confidence_effect":0.1},{"after":"2019-05-27","field":"registration_date","before":{"build_month":"201902","vehicle_year":2019,"registration_date":"20190527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model":"SANDERO","variant":"05ES","version":"JR5CJ000M500","body_code":"AB","eu_category":"M1","vehicle_type":"PB"},"target":"normalized","rule_ids":["BDY-109"],"sequence":16,"transformer_id":"ts.bodywork","confidence_effect":0.1},{"after":"Halvkombi","field":"bodywork_registry_label_sv","before":{"model":"SANDERO","variant":"05ES","version":"JR5CJ000M500","body_code":"AB","eu_category":"M1","vehicle_type":"PB"},"target":"normalized","rule_ids":["BDY-109"],"sequence":17,"transformer_id":"ts.bodywork","confidence_effect":0.1},{"after":["petrol"],"field":"energy_sources","before":{"fuel1":"1","fuel2":"0","fuel3":"0","model":"SANDERO","variant":"05ES","version":"JR5CJ000M500"},"target":"normalized","rule_ids":["FUEL-001"],"sequence":18,"transformer_id":"ts.fuel","confidence_effect":0.0}]</x:v>
      </x:c>
      <x:c r="X195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5" s="38" t="str">
        <x:v>{"candidates":{"model_family":"SANDERO"},"confidence":0.8,"normalized":{"market":["SE"],"power_kw":66,"manufacturer":"Dacia","bodywork_form":"hatchback","energy_sources":["petrol"],"displacement_cc":898,"production_date":"2019-02","production_year":2019,"manufacturer_role":"vehicle_manufacturer","power_source_unit":"kw","registration_date":"2019-05-27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SANDERO","target":"normalized","rule_ids":["MODEL-CANDIDATE-V1"],"sequence":6,"transformer_id":"ts.model-family","confidence_effect":0.0},{"after":"SANDERO","field":"model_family","before":"SANDERO","target":"candidate","rule_ids":["MODEL-CANDIDATE-V1"],"sequence":7,"transformer_id":"ts.model-family","confidence_effect":0.05},{"after":"2019-02","field":"production_date","before":{"build_month":"201902","vehicle_year":2019,"registration_date":"20190527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20190527"},"target":"normalized","rule_ids":["DATE-REGISTRATION-V1","DATE-PRODUCTION-MONTH-V1"],"sequence":9,"transformer_id":"ts.dates","confidence_effect":0.1},{"after":2019,"field":"production_year","before":{"build_month":"201902","vehicle_year":2019,"registration_date":"20190527"},"target":"normalized","rule_ids":["DATE-REGISTRATION-V1","DATE-PRODUCTION-MONTH-V1"],"sequence":10,"transformer_id":"ts.dates","confidence_effect":0.1},{"after":"2019-05-27","field":"registration_date","before":{"build_month":"201902","vehicle_year":2019,"registration_date":"20190527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model":"SANDERO","variant":"05ES","version":"JR5CJ000M500","body_code":"AB","eu_category":"M1","vehicle_type":"PB"},"target":"normalized","rule_ids":["BDY-109"],"sequence":16,"transformer_id":"ts.bodywork","confidence_effect":0.1},{"after":"Halvkombi","field":"bodywork_registry_label_sv","before":{"model":"SANDERO","variant":"05ES","version":"JR5CJ000M500","body_code":"AB","eu_category":"M1","vehicle_type":"PB"},"target":"normalized","rule_ids":["BDY-109"],"sequence":17,"transformer_id":"ts.bodywork","confidence_effect":0.1},{"after":["petrol"],"field":"energy_sources","before":{"fuel1":"1","fuel2":"0","fuel3":"0","model":"SANDERO","variant":"05ES","version":"JR5CJ000M500"},"target":"normalized","rule_ids":["FUEL-001"],"sequence":18,"transformer_id":"ts.fuel","confidence_effect":0.0}],"pipeline_version":"normalization-pipeline-v4","candidate_rule_ids":[]}</x:v>
      </x:c>
      <x:c r="Z195" s="36" t="n">
        <x:v>46239.78067015046</x:v>
      </x:c>
      <x:c r="AA195" s="36" t="n">
        <x:v>46239.78067015046</x:v>
      </x:c>
    </x:row>
    <x:row r="196" ht="18" customHeight="1">
      <x:c r="A196" s="36" t="n">
        <x:v>2798</x:v>
      </x:c>
      <x:c r="B196" s="36" t="str">
        <x:v>039da718-e024-5d6f-8f52-062a9bc10712</x:v>
      </x:c>
      <x:c r="C196" s="36" t="str">
        <x:v>Transportstyrelsen</x:v>
      </x:c>
      <x:c r="D196" s="36" t="str">
        <x:v>normalization-review-passenger-250-v1-rules-20260805T184409855703Z</x:v>
      </x:c>
      <x:c r="E196" s="36" t="str">
        <x:v>staging.transportstyrelsen_raw</x:v>
      </x:c>
      <x:c r="F196" s="36" t="n">
        <x:v>2916</x:v>
      </x:c>
      <x:c r="G196" s="36" t="str">
        <x:v>ts-mapping-v1</x:v>
      </x:c>
      <x:c r="H196" s="36" t="str">
        <x:v>ts-review-20260805T184254528647Z</x:v>
      </x:c>
      <x:c r="I196" s="36" t="str">
        <x:v>normalization-pipeline-v4</x:v>
      </x:c>
      <x:c r="J196" s="36" t="str">
        <x:v>provisional</x:v>
      </x:c>
      <x:c r="K196" s="39" t="n">
        <x:v>0.8</x:v>
      </x:c>
      <x:c r="L196" s="36" t="str">
        <x:v>Vauxhall</x:v>
      </x:c>
      <x:c r="M196" s="36"/>
      <x:c r="N196" s="36" t="str">
        <x:v>open_body</x:v>
      </x:c>
      <x:c r="O196" s="38" t="str">
        <x:v>["petrol"]</x:v>
      </x:c>
      <x:c r="P196" s="36" t="str">
        <x:v>manual</x:v>
      </x:c>
      <x:c r="Q196" s="36" t="n">
        <x:v>2001</x:v>
      </x:c>
      <x:c r="R196" s="38" t="str">
        <x:v>["DATE-REGISTRATION-V1","DATE-PRODUCTION-YEAR-V1","UNIT-POWER-KW-V1","TRN-001","BDY-116","FUEL-001"]</x:v>
      </x:c>
      <x:c r="S196" s="38" t="str">
        <x:v>["MFR-BRAND-PREFIX-FALLBACK","MFE-10F01B0F538F32"]</x:v>
      </x:c>
      <x:c r="T196" s="38" t="str">
        <x:v>[]</x:v>
      </x:c>
      <x:c r="U196" s="38" t="str">
        <x:v>{"market":["SE"],"power_kw":108,"manufacturer":"Vauxhall","bodywork_form":"open_body","energy_sources":["petrol"],"production_year":2001,"manufacturer_role":"vehicle_manufacturer","power_source_unit":"kw","registration_date":"2008-08-06","transmission_type":"manual","alias_types_present":["plate","vin"],"builder_converter_names":[],"production_date_precision":"vehicle_year","bodywork_registry_label_sv":"Öppet"}</x:v>
      </x:c>
      <x:c r="V196" s="38" t="str">
        <x:v>{"manufacturer_confirmation":{"source_fields":["brand"],"canonical_name":"Vauxhall"}}</x:v>
      </x:c>
      <x:c r="W1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AUXHALL VX 220","target":"normalized","rule_ids":["MFR-CLASSIFY-V1"],"sequence":3,"transformer_id":"ts.manufacturer","confidence_effect":0.2},{"after":"Vauxhall","field":"manufacturer","before":"VAUXHALL VX 220","target":"normalized","rule_ids":["MFR-CLASSIFY-V1"],"sequence":4,"transformer_id":"ts.manufacturer","confidence_effect":0.2},{"after":"vehicle_manufacturer","field":"manufacturer_role","before":"VAUXHALL VX 220","target":"normalized","rule_ids":["MFR-CLASSIFY-V1"],"sequence":5,"transformer_id":"ts.manufacturer","confidence_effect":0.2},{"after":{"source_fields":["brand"],"canonical_name":"Vauxhall"},"field":"manufacturer_confirmation","before":"VAUXHALL VX 220","target":"candidate","rule_ids":["MFR-BRAND-PREFIX-FALLBACK","MFE-10F01B0F538F32"],"sequence":6,"transformer_id":"ts.manufacturer","confidence_effect":0.05},{"after":"vehicle_year","field":"production_date_precision","before":{"vehicle_year":2001,"registration_date":"20080806"},"target":"normalized","rule_ids":["DATE-REGISTRATION-V1","DATE-PRODUCTION-YEAR-V1"],"sequence":7,"transformer_id":"ts.dates","confidence_effect":0.1},{"after":2001,"field":"production_year","before":{"vehicle_year":2001,"registration_date":"20080806"},"target":"normalized","rule_ids":["DATE-REGISTRATION-V1","DATE-PRODUCTION-YEAR-V1"],"sequence":8,"transformer_id":"ts.dates","confidence_effect":0.1},{"after":"2008-08-06","field":"registration_date","before":{"vehicle_year":2001,"registration_date":"20080806"},"target":"normalized","rule_ids":["DATE-REGISTRATION-V1","DATE-PRODUCTION-YEAR-V1"],"sequence":9,"transformer_id":"ts.dates","confidence_effect":0.1},{"after":108,"field":"power_kw","before":108,"target":"normalized","rule_ids":["UNIT-POWER-KW-V1"],"sequence":10,"transformer_id":"ts.engine-measurements","confidence_effect":0.1},{"after":"kw","field":"power_source_unit","before":108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96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6" s="38" t="str">
        <x:v>{"candidates":{"manufacturer_confirmation":{"source_fields":["brand"],"canonical_name":"Vauxhall"}},"confidence":0.8,"normalized":{"market":["SE"],"power_kw":108,"manufacturer":"Vauxhall","bodywork_form":"open_body","energy_sources":["petrol"],"production_year":2001,"manufacturer_role":"vehicle_manufacturer","power_source_unit":"kw","registration_date":"2008-08-06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AUXHALL VX 220","target":"normalized","rule_ids":["MFR-CLASSIFY-V1"],"sequence":3,"transformer_id":"ts.manufacturer","confidence_effect":0.2},{"after":"Vauxhall","field":"manufacturer","before":"VAUXHALL VX 220","target":"normalized","rule_ids":["MFR-CLASSIFY-V1"],"sequence":4,"transformer_id":"ts.manufacturer","confidence_effect":0.2},{"after":"vehicle_manufacturer","field":"manufacturer_role","before":"VAUXHALL VX 220","target":"normalized","rule_ids":["MFR-CLASSIFY-V1"],"sequence":5,"transformer_id":"ts.manufacturer","confidence_effect":0.2},{"after":{"source_fields":["brand"],"canonical_name":"Vauxhall"},"field":"manufacturer_confirmation","before":"VAUXHALL VX 220","target":"candidate","rule_ids":["MFR-BRAND-PREFIX-FALLBACK","MFE-10F01B0F538F32"],"sequence":6,"transformer_id":"ts.manufacturer","confidence_effect":0.05},{"after":"vehicle_year","field":"production_date_precision","before":{"vehicle_year":2001,"registration_date":"20080806"},"target":"normalized","rule_ids":["DATE-REGISTRATION-V1","DATE-PRODUCTION-YEAR-V1"],"sequence":7,"transformer_id":"ts.dates","confidence_effect":0.1},{"after":2001,"field":"production_year","before":{"vehicle_year":2001,"registration_date":"20080806"},"target":"normalized","rule_ids":["DATE-REGISTRATION-V1","DATE-PRODUCTION-YEAR-V1"],"sequence":8,"transformer_id":"ts.dates","confidence_effect":0.1},{"after":"2008-08-06","field":"registration_date","before":{"vehicle_year":2001,"registration_date":"20080806"},"target":"normalized","rule_ids":["DATE-REGISTRATION-V1","DATE-PRODUCTION-YEAR-V1"],"sequence":9,"transformer_id":"ts.dates","confidence_effect":0.1},{"after":108,"field":"power_kw","before":108,"target":"normalized","rule_ids":["UNIT-POWER-KW-V1"],"sequence":10,"transformer_id":"ts.engine-measurements","confidence_effect":0.1},{"after":"kw","field":"power_source_unit","before":108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-10F01B0F538F32"]}</x:v>
      </x:c>
      <x:c r="Z196" s="36" t="n">
        <x:v>46239.78067015046</x:v>
      </x:c>
      <x:c r="AA196" s="36" t="n">
        <x:v>46239.78067015046</x:v>
      </x:c>
    </x:row>
    <x:row r="197" ht="18" customHeight="1">
      <x:c r="A197" s="36" t="n">
        <x:v>2799</x:v>
      </x:c>
      <x:c r="B197" s="36" t="str">
        <x:v>c6d51342-7298-5720-a67f-0567839462a6</x:v>
      </x:c>
      <x:c r="C197" s="36" t="str">
        <x:v>Transportstyrelsen</x:v>
      </x:c>
      <x:c r="D197" s="36" t="str">
        <x:v>normalization-review-passenger-250-v1-rules-20260805T184409855703Z</x:v>
      </x:c>
      <x:c r="E197" s="36" t="str">
        <x:v>staging.transportstyrelsen_raw</x:v>
      </x:c>
      <x:c r="F197" s="36" t="n">
        <x:v>2917</x:v>
      </x:c>
      <x:c r="G197" s="36" t="str">
        <x:v>ts-mapping-v1</x:v>
      </x:c>
      <x:c r="H197" s="36" t="str">
        <x:v>ts-review-20260805T184254528647Z</x:v>
      </x:c>
      <x:c r="I197" s="36" t="str">
        <x:v>normalization-pipeline-v4</x:v>
      </x:c>
      <x:c r="J197" s="36" t="str">
        <x:v>provisional</x:v>
      </x:c>
      <x:c r="K197" s="39" t="n">
        <x:v>0.8</x:v>
      </x:c>
      <x:c r="L197" s="36" t="str">
        <x:v>BMW</x:v>
      </x:c>
      <x:c r="M197" s="36" t="str">
        <x:v>330E XDRIVE</x:v>
      </x:c>
      <x:c r="N197" s="36" t="str">
        <x:v>sedan</x:v>
      </x:c>
      <x:c r="O197" s="38" t="str">
        <x:v>["petrol","electricity"]</x:v>
      </x:c>
      <x:c r="P197" s="36" t="str">
        <x:v>automatic</x:v>
      </x:c>
      <x:c r="Q197" s="36" t="n">
        <x:v>2021</x:v>
      </x:c>
      <x:c r="R197" s="38" t="str">
        <x:v>["MFR-102","DATE-REGISTRATION-V1","DATE-PRODUCTION-DAY-V1","UNIT-POWER-KW-V1","UNIT-DISPLACEMENT-CCM-V1","TRN-002","BDY-101","FUEL-001","FUEL-003","ELEC-003"]</x:v>
      </x:c>
      <x:c r="S197" s="38" t="str">
        <x:v>["DRV-008"]</x:v>
      </x:c>
      <x:c r="T197" s="38" t="str">
        <x:v>[]</x:v>
      </x:c>
      <x:c r="U197" s="38" t="str">
        <x:v>{"market":["SE"],"power_kw":135,"manufacturer":"BMW","bodywork_form":"sedan","energy_sources":["petrol","electricity"],"displacement_cc":1998,"production_date":"2021-03-26","production_year":2021,"manufacturer_role":"vehicle_manufacturer","power_source_unit":"kw","registration_date":"2021-06-01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edan"}</x:v>
      </x:c>
      <x:c r="V197" s="38" t="str">
        <x:v>{"drive_type":"awd","model_family":"330E XDRIVE"}</x:v>
      </x:c>
      <x:c r="W1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2021-03-26","field":"production_date","before":{"build_date":"20210326","build_month":"202103","vehicle_year":2021,"registration_date":"20210601"},"target":"normalized","rule_ids":["DATE-REGISTRATION-V1","DATE-PRODUCTION-DAY-V1"],"sequence":8,"transformer_id":"ts.dates","confidence_effect":0.1},{"after":"day","field":"production_date_precision","before":{"build_date":"20210326","build_month":"202103","vehicle_year":2021,"registration_date":"20210601"},"target":"normalized","rule_ids":["DATE-REGISTRATION-V1","DATE-PRODUCTION-DAY-V1"],"sequence":9,"transformer_id":"ts.dates","confidence_effect":0.1},{"after":2021,"field":"production_year","before":{"build_date":"20210326","build_month":"202103","vehicle_year":2021,"registration_date":"20210601"},"target":"normalized","rule_ids":["DATE-REGISTRATION-V1","DATE-PRODUCTION-DAY-V1"],"sequence":10,"transformer_id":"ts.dates","confidence_effect":0.1},{"after":"2021-06-01","field":"registration_date","before":{"build_date":"20210326","build_month":"202103","vehicle_year":2021,"registration_date":"20210601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XDRIVE","gearbox":"A","variant":"5P91","version":"IAW50700"},"target":"normalized","rule_ids":["TRN-002"],"sequence":16,"transformer_id":"ts.transmission","confidence_effect":0.1},{"after":"sedan","field":"bodywork_form","before":{"model":"330E XDRIVE","variant":"5P91","version":"IAW50700","body_code":"AA","eu_category":"M1","vehicle_type":"PB"},"target":"normalized","rule_ids":["BDY-101"],"sequence":17,"transformer_id":"ts.bodywork","confidence_effect":0.1},{"after":"Sedan","field":"bodywork_registry_label_sv","before":{"model":"330E XDRIVE","variant":"5P91","version":"IAW50700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5P91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XDRIVE","variant":"5P91","version":"IAW50700","ev_config":"LADDHYBRID"},"target":"normalized","rule_ids":["FUEL-001","FUEL-003","ELEC-003"],"sequence":21,"transformer_id":"ts.fuel","confidence_effect":0.0}]</x:v>
      </x:c>
      <x:c r="X197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97" s="38" t="str">
        <x:v>{"candidates":{"drive_type":"awd","model_family":"330E XDRIVE"},"confidence":0.8,"normalized":{"market":["SE"],"power_kw":135,"manufacturer":"BMW","bodywork_form":"sedan","energy_sources":["petrol","electricity"],"displacement_cc":1998,"production_date":"2021-03-26","production_year":2021,"manufacturer_role":"vehicle_manufacturer","power_source_unit":"kw","registration_date":"2021-06-01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2021-03-26","field":"production_date","before":{"build_date":"20210326","build_month":"202103","vehicle_year":2021,"registration_date":"20210601"},"target":"normalized","rule_ids":["DATE-REGISTRATION-V1","DATE-PRODUCTION-DAY-V1"],"sequence":8,"transformer_id":"ts.dates","confidence_effect":0.1},{"after":"day","field":"production_date_precision","before":{"build_date":"20210326","build_month":"202103","vehicle_year":2021,"registration_date":"20210601"},"target":"normalized","rule_ids":["DATE-REGISTRATION-V1","DATE-PRODUCTION-DAY-V1"],"sequence":9,"transformer_id":"ts.dates","confidence_effect":0.1},{"after":2021,"field":"production_year","before":{"build_date":"20210326","build_month":"202103","vehicle_year":2021,"registration_date":"20210601"},"target":"normalized","rule_ids":["DATE-REGISTRATION-V1","DATE-PRODUCTION-DAY-V1"],"sequence":10,"transformer_id":"ts.dates","confidence_effect":0.1},{"after":"2021-06-01","field":"registration_date","before":{"build_date":"20210326","build_month":"202103","vehicle_year":2021,"registration_date":"20210601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XDRIVE","gearbox":"A","variant":"5P91","version":"IAW50700"},"target":"normalized","rule_ids":["TRN-002"],"sequence":16,"transformer_id":"ts.transmission","confidence_effect":0.1},{"after":"sedan","field":"bodywork_form","before":{"model":"330E XDRIVE","variant":"5P91","version":"IAW50700","body_code":"AA","eu_category":"M1","vehicle_type":"PB"},"target":"normalized","rule_ids":["BDY-101"],"sequence":17,"transformer_id":"ts.bodywork","confidence_effect":0.1},{"after":"Sedan","field":"bodywork_registry_label_sv","before":{"model":"330E XDRIVE","variant":"5P91","version":"IAW50700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5P91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5P91","version":"IAW50700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197" s="36" t="n">
        <x:v>46239.78067015046</x:v>
      </x:c>
      <x:c r="AA197" s="36" t="n">
        <x:v>46239.78067015046</x:v>
      </x:c>
    </x:row>
    <x:row r="198" ht="18" customHeight="1">
      <x:c r="A198" s="36" t="n">
        <x:v>2800</x:v>
      </x:c>
      <x:c r="B198" s="36" t="str">
        <x:v>b7ab2ab7-6bbc-58fb-9a3f-7a1b10d9d35a</x:v>
      </x:c>
      <x:c r="C198" s="36" t="str">
        <x:v>Transportstyrelsen</x:v>
      </x:c>
      <x:c r="D198" s="36" t="str">
        <x:v>normalization-review-passenger-250-v1-rules-20260805T184409855703Z</x:v>
      </x:c>
      <x:c r="E198" s="36" t="str">
        <x:v>staging.transportstyrelsen_raw</x:v>
      </x:c>
      <x:c r="F198" s="36" t="n">
        <x:v>2918</x:v>
      </x:c>
      <x:c r="G198" s="36" t="str">
        <x:v>ts-mapping-v1</x:v>
      </x:c>
      <x:c r="H198" s="36" t="str">
        <x:v>ts-review-20260805T184254528647Z</x:v>
      </x:c>
      <x:c r="I198" s="36" t="str">
        <x:v>normalization-pipeline-v4</x:v>
      </x:c>
      <x:c r="J198" s="36" t="str">
        <x:v>provisional</x:v>
      </x:c>
      <x:c r="K198" s="39" t="n">
        <x:v>0.8</x:v>
      </x:c>
      <x:c r="L198" s="36" t="str">
        <x:v>Volvo</x:v>
      </x:c>
      <x:c r="M198" s="36" t="str">
        <x:v>XC40</x:v>
      </x:c>
      <x:c r="N198" s="36" t="str">
        <x:v>estate</x:v>
      </x:c>
      <x:c r="O198" s="38" t="str">
        <x:v>["petrol"]</x:v>
      </x:c>
      <x:c r="P198" s="36" t="str">
        <x:v>automatic</x:v>
      </x:c>
      <x:c r="Q198" s="36" t="n">
        <x:v>2020</x:v>
      </x:c>
      <x:c r="R198" s="38" t="str">
        <x:v>["MFR-102","DATE-REGISTRATION-V1","DATE-PRODUCTION-MONTH-V1","UNIT-POWER-KW-V1","UNIT-DISPLACEMENT-CCM-V1","TRN-002","BDY-110","FUEL-001"]</x:v>
      </x:c>
      <x:c r="S198" s="38" t="str">
        <x:v>[]</x:v>
      </x:c>
      <x:c r="T198" s="38" t="str">
        <x:v>[]</x:v>
      </x:c>
      <x:c r="U198" s="38" t="str">
        <x:v>{"market":["SE"],"power_kw":120,"manufacturer":"Volvo","bodywork_form":"estate","energy_sources":["petrol"],"displacement_cc":1477,"production_date":"2020-10","production_year":2020,"manufacturer_role":"vehicle_manufacturer","power_source_unit":"kw","registration_date":"2020-11-03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98" s="38" t="str">
        <x:v>{"model_family":"XC40"}</x:v>
      </x:c>
      <x:c r="W1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-10","field":"production_date","before":{"build_month":"202010","vehicle_year":2020,"registration_date":"20201103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20201103"},"target":"normalized","rule_ids":["DATE-REGISTRATION-V1","DATE-PRODUCTION-MONTH-V1"],"sequence":9,"transformer_id":"ts.dates","confidence_effect":0.1},{"after":2020,"field":"production_year","before":{"build_month":"202010","vehicle_year":2020,"registration_date":"20201103"},"target":"normalized","rule_ids":["DATE-REGISTRATION-V1","DATE-PRODUCTION-MONTH-V1"],"sequence":10,"transformer_id":"ts.dates","confidence_effect":0.1},{"after":"2020-11-03","field":"registration_date","before":{"build_month":"202010","vehicle_year":2020,"registration_date":"20201103"},"target":"normalized","rule_ids":["DATE-REGISTRATION-V1","DATE-PRODUCTION-MONTH-V1"],"sequence":11,"transformer_id":"ts.dates","confidence_effect":0.1},{"after":1477,"field":"displacement_cc","before":{"kw":120,"ccm":1477},"target":"normalized","rule_ids":["UNIT-POWER-KW-V1","UNIT-DISPLACEMENT-CCM-V1"],"sequence":12,"transformer_id":"ts.engine-measurements","confidence_effect":0.1},{"after":"ccm","field":"displacement_source_unit","before":{"kw":120,"ccm":1477},"target":"normalized","rule_ids":["UNIT-POWER-KW-V1","UNIT-DISPLACEMENT-CCM-V1"],"sequence":13,"transformer_id":"ts.engine-measurements","confidence_effect":0.1},{"after":120,"field":"power_kw","before":{"kw":120,"ccm":1477},"target":"normalized","rule_ids":["UNIT-POWER-KW-V1","UNIT-DISPLACEMENT-CCM-V1"],"sequence":14,"transformer_id":"ts.engine-measurements","confidence_effect":0.1},{"after":"kw","field":"power_source_unit","before":{"kw":120,"ccm":1477},"target":"normalized","rule_ids":["UNIT-POWER-KW-V1","UNIT-DISPLACEMENT-CCM-V1"],"sequence":15,"transformer_id":"ts.engine-measurements","confidence_effect":0.1},{"after":"automatic","field":"transmission_type","before":{"model":"XC40","gearbox":"A","variant":"XZ15","version":"XZ15BD0?"},"target":"normalized","rule_ids":["TRN-002"],"sequence":16,"transformer_id":"ts.transmission","confidence_effect":0.1},{"after":"estate","field":"bodywork_form","before":{"model":"XC40","variant":"XZ15","version":"XZ15B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15","version":"XZ15BD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15","version":"XZ15BD0?"},"target":"normalized","rule_ids":["FUEL-001"],"sequence":19,"transformer_id":"ts.fuel","confidence_effect":0.0}]</x:v>
      </x:c>
      <x:c r="X19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8" s="38" t="str">
        <x:v>{"candidates":{"model_family":"XC40"},"confidence":0.8,"normalized":{"market":["SE"],"power_kw":120,"manufacturer":"Volvo","bodywork_form":"estate","energy_sources":["petrol"],"displacement_cc":1477,"production_date":"2020-10","production_year":2020,"manufacturer_role":"vehicle_manufacturer","power_source_unit":"kw","registration_date":"2020-11-03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-10","field":"production_date","before":{"build_month":"202010","vehicle_year":2020,"registration_date":"20201103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20201103"},"target":"normalized","rule_ids":["DATE-REGISTRATION-V1","DATE-PRODUCTION-MONTH-V1"],"sequence":9,"transformer_id":"ts.dates","confidence_effect":0.1},{"after":2020,"field":"production_year","before":{"build_month":"202010","vehicle_year":2020,"registration_date":"20201103"},"target":"normalized","rule_ids":["DATE-REGISTRATION-V1","DATE-PRODUCTION-MONTH-V1"],"sequence":10,"transformer_id":"ts.dates","confidence_effect":0.1},{"after":"2020-11-03","field":"registration_date","before":{"build_month":"202010","vehicle_year":2020,"registration_date":"20201103"},"target":"normalized","rule_ids":["DATE-REGISTRATION-V1","DATE-PRODUCTION-MONTH-V1"],"sequence":11,"transformer_id":"ts.dates","confidence_effect":0.1},{"after":1477,"field":"displacement_cc","before":{"kw":120,"ccm":1477},"target":"normalized","rule_ids":["UNIT-POWER-KW-V1","UNIT-DISPLACEMENT-CCM-V1"],"sequence":12,"transformer_id":"ts.engine-measurements","confidence_effect":0.1},{"after":"ccm","field":"displacement_source_unit","before":{"kw":120,"ccm":1477},"target":"normalized","rule_ids":["UNIT-POWER-KW-V1","UNIT-DISPLACEMENT-CCM-V1"],"sequence":13,"transformer_id":"ts.engine-measurements","confidence_effect":0.1},{"after":120,"field":"power_kw","before":{"kw":120,"ccm":1477},"target":"normalized","rule_ids":["UNIT-POWER-KW-V1","UNIT-DISPLACEMENT-CCM-V1"],"sequence":14,"transformer_id":"ts.engine-measurements","confidence_effect":0.1},{"after":"kw","field":"power_source_unit","before":{"kw":120,"ccm":1477},"target":"normalized","rule_ids":["UNIT-POWER-KW-V1","UNIT-DISPLACEMENT-CCM-V1"],"sequence":15,"transformer_id":"ts.engine-measurements","confidence_effect":0.1},{"after":"automatic","field":"transmission_type","before":{"model":"XC40","gearbox":"A","variant":"XZ15","version":"XZ15BD0?"},"target":"normalized","rule_ids":["TRN-002"],"sequence":16,"transformer_id":"ts.transmission","confidence_effect":0.1},{"after":"estate","field":"bodywork_form","before":{"model":"XC40","variant":"XZ15","version":"XZ15B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15","version":"XZ15BD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15","version":"XZ15BD0?"},"target":"normalized","rule_ids":["FUEL-001"],"sequence":19,"transformer_id":"ts.fuel","confidence_effect":0.0}],"pipeline_version":"normalization-pipeline-v4","candidate_rule_ids":[]}</x:v>
      </x:c>
      <x:c r="Z198" s="36" t="n">
        <x:v>46239.78067015046</x:v>
      </x:c>
      <x:c r="AA198" s="36" t="n">
        <x:v>46239.78067015046</x:v>
      </x:c>
    </x:row>
    <x:row r="199" ht="18" customHeight="1">
      <x:c r="A199" s="36" t="n">
        <x:v>2801</x:v>
      </x:c>
      <x:c r="B199" s="36" t="str">
        <x:v>c2adfe1f-8778-52e3-b1c8-96afadbeb624</x:v>
      </x:c>
      <x:c r="C199" s="36" t="str">
        <x:v>Transportstyrelsen</x:v>
      </x:c>
      <x:c r="D199" s="36" t="str">
        <x:v>normalization-review-passenger-250-v1-rules-20260805T184409855703Z</x:v>
      </x:c>
      <x:c r="E199" s="36" t="str">
        <x:v>staging.transportstyrelsen_raw</x:v>
      </x:c>
      <x:c r="F199" s="36" t="n">
        <x:v>2919</x:v>
      </x:c>
      <x:c r="G199" s="36" t="str">
        <x:v>ts-mapping-v1</x:v>
      </x:c>
      <x:c r="H199" s="36" t="str">
        <x:v>ts-review-20260805T184254528647Z</x:v>
      </x:c>
      <x:c r="I199" s="36" t="str">
        <x:v>normalization-pipeline-v4</x:v>
      </x:c>
      <x:c r="J199" s="36" t="str">
        <x:v>provisional</x:v>
      </x:c>
      <x:c r="K199" s="39" t="n">
        <x:v>0.8</x:v>
      </x:c>
      <x:c r="L199" s="36" t="str">
        <x:v>SEAT</x:v>
      </x:c>
      <x:c r="M199" s="36" t="str">
        <x:v>FORMENTOR</x:v>
      </x:c>
      <x:c r="N199" s="36" t="str">
        <x:v>estate</x:v>
      </x:c>
      <x:c r="O199" s="38" t="str">
        <x:v>["petrol"]</x:v>
      </x:c>
      <x:c r="P199" s="36" t="str">
        <x:v>automatic</x:v>
      </x:c>
      <x:c r="Q199" s="36" t="n">
        <x:v>2023</x:v>
      </x:c>
      <x:c r="R199" s="38" t="str">
        <x:v>["MFR-102","DATE-REGISTRATION-V1","DATE-PRODUCTION-DAY-V1","UNIT-POWER-KW-V1","UNIT-DISPLACEMENT-CCM-V1","TRN-002","BDY-110","FUEL-001"]</x:v>
      </x:c>
      <x:c r="S199" s="38" t="str">
        <x:v>[]</x:v>
      </x:c>
      <x:c r="T199" s="38" t="str">
        <x:v>[]</x:v>
      </x:c>
      <x:c r="U199" s="38" t="str">
        <x:v>{"market":["SE"],"power_kw":110,"manufacturer":"SEAT","bodywork_form":"estate","energy_sources":["petrol"],"displacement_cc":1498,"production_date":"2023-06-19","production_year":2023,"manufacturer_role":"vehicle_manufacturer","power_source_unit":"kw","registration_date":"2023-09-25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99" s="38" t="str">
        <x:v>{"model_family":"FORMENTOR"}</x:v>
      </x:c>
      <x:c r="W1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UPRA","manufacturer":"SEAT, S.A."},"target":"normalized","rule_ids":["MFR-102"],"sequence":3,"transformer_id":"ts.manufacturer","confidence_effect":0.2},{"after":"SEAT","field":"manufacturer","before":{"brand":"CUPRA","manufacturer":"SEAT, S.A."},"target":"normalized","rule_ids":["MFR-102"],"sequence":4,"transformer_id":"ts.manufacturer","confidence_effect":0.2},{"after":"vehicle_manufacturer","field":"manufacturer_role","before":{"brand":"CUPRA","manufacturer":"SEAT, S.A."},"target":"normalized","rule_ids":["MFR-102"],"sequence":5,"transformer_id":"ts.manufacturer","confidence_effect":0.2},{"after":true,"field":"model_family_candidate","before":"FORMENTOR","target":"normalized","rule_ids":["MODEL-CANDIDATE-V1"],"sequence":6,"transformer_id":"ts.model-family","confidence_effect":0.0},{"after":"FORMENTOR","field":"model_family","before":"FORMENTOR","target":"candidate","rule_ids":["MODEL-CANDIDATE-V1"],"sequence":7,"transformer_id":"ts.model-family","confidence_effect":0.05},{"after":"2023-06-19","field":"production_date","before":{"build_date":"20230619","build_month":"202306","vehicle_year":2023,"registration_date":"20230925"},"target":"normalized","rule_ids":["DATE-REGISTRATION-V1","DATE-PRODUCTION-DAY-V1"],"sequence":8,"transformer_id":"ts.dates","confidence_effect":0.1},{"after":"day","field":"production_date_precision","before":{"build_date":"20230619","build_month":"202306","vehicle_year":2023,"registration_date":"20230925"},"target":"normalized","rule_ids":["DATE-REGISTRATION-V1","DATE-PRODUCTION-DAY-V1"],"sequence":9,"transformer_id":"ts.dates","confidence_effect":0.1},{"after":2023,"field":"production_year","before":{"build_date":"20230619","build_month":"202306","vehicle_year":2023,"registration_date":"20230925"},"target":"normalized","rule_ids":["DATE-REGISTRATION-V1","DATE-PRODUCTION-DAY-V1"],"sequence":10,"transformer_id":"ts.dates","confidence_effect":0.1},{"after":"2023-09-25","field":"registration_date","before":{"build_date":"20230619","build_month":"202306","vehicle_year":2023,"registration_date":"20230925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FORMENTOR","gearbox":"A","variant":"CXDPCAX0","version":"FD7CFD7GC0054BI1AAC"},"target":"normalized","rule_ids":["TRN-002"],"sequence":16,"transformer_id":"ts.transmission","confidence_effect":0.1},{"after":"estate","field":"bodywork_form","before":{"model":"FORMENTOR","variant":"CXDPCAX0","version":"FD7CFD7GC0054BI1AAC","body_code":"AC","eu_category":"M1","vehicle_type":"PB"},"target":"normalized","rule_ids":["BDY-110"],"sequence":17,"transformer_id":"ts.bodywork","confidence_effect":0.1},{"after":"Stationsvagn (kombivagn)","field":"bodywork_registry_label_sv","before":{"model":"FORMENTOR","variant":"CXDPCAX0","version":"FD7CFD7GC0054BI1AAC","body_code":"AC","eu_category":"M1","vehicle_type":"PB"},"target":"normalized","rule_ids":["BDY-110"],"sequence":18,"transformer_id":"ts.bodywork","confidence_effect":0.1},{"after":["petrol"],"field":"energy_sources","before":{"fuel1":"1","fuel2":"0","fuel3":"0","model":"FORMENTOR","variant":"CXDPCAX0","version":"FD7CFD7GC0054BI1AAC"},"target":"normalized","rule_ids":["FUEL-001"],"sequence":19,"transformer_id":"ts.fuel","confidence_effect":0.0}]</x:v>
      </x:c>
      <x:c r="X19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9" s="38" t="str">
        <x:v>{"candidates":{"model_family":"FORMENTOR"},"confidence":0.8,"normalized":{"market":["SE"],"power_kw":110,"manufacturer":"SEAT","bodywork_form":"estate","energy_sources":["petrol"],"displacement_cc":1498,"production_date":"2023-06-19","production_year":2023,"manufacturer_role":"vehicle_manufacturer","power_source_unit":"kw","registration_date":"2023-09-25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UPRA","manufacturer":"SEAT, S.A."},"target":"normalized","rule_ids":["MFR-102"],"sequence":3,"transformer_id":"ts.manufacturer","confidence_effect":0.2},{"after":"SEAT","field":"manufacturer","before":{"brand":"CUPRA","manufacturer":"SEAT, S.A."},"target":"normalized","rule_ids":["MFR-102"],"sequence":4,"transformer_id":"ts.manufacturer","confidence_effect":0.2},{"after":"vehicle_manufacturer","field":"manufacturer_role","before":{"brand":"CUPRA","manufacturer":"SEAT, S.A."},"target":"normalized","rule_ids":["MFR-102"],"sequence":5,"transformer_id":"ts.manufacturer","confidence_effect":0.2},{"after":true,"field":"model_family_candidate","before":"FORMENTOR","target":"normalized","rule_ids":["MODEL-CANDIDATE-V1"],"sequence":6,"transformer_id":"ts.model-family","confidence_effect":0.0},{"after":"FORMENTOR","field":"model_family","before":"FORMENTOR","target":"candidate","rule_ids":["MODEL-CANDIDATE-V1"],"sequence":7,"transformer_id":"ts.model-family","confidence_effect":0.05},{"after":"2023-06-19","field":"production_date","before":{"build_date":"20230619","build_month":"202306","vehicle_year":2023,"registration_date":"20230925"},"target":"normalized","rule_ids":["DATE-REGISTRATION-V1","DATE-PRODUCTION-DAY-V1"],"sequence":8,"transformer_id":"ts.dates","confidence_effect":0.1},{"after":"day","field":"production_date_precision","before":{"build_date":"20230619","build_month":"202306","vehicle_year":2023,"registration_date":"20230925"},"target":"normalized","rule_ids":["DATE-REGISTRATION-V1","DATE-PRODUCTION-DAY-V1"],"sequence":9,"transformer_id":"ts.dates","confidence_effect":0.1},{"after":2023,"field":"production_year","before":{"build_date":"20230619","build_month":"202306","vehicle_year":2023,"registration_date":"20230925"},"target":"normalized","rule_ids":["DATE-REGISTRATION-V1","DATE-PRODUCTION-DAY-V1"],"sequence":10,"transformer_id":"ts.dates","confidence_effect":0.1},{"after":"2023-09-25","field":"registration_date","before":{"build_date":"20230619","build_month":"202306","vehicle_year":2023,"registration_date":"20230925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FORMENTOR","gearbox":"A","variant":"CXDPCAX0","version":"FD7CFD7GC0054BI1AAC"},"target":"normalized","rule_ids":["TRN-002"],"sequence":16,"transformer_id":"ts.transmission","confidence_effect":0.1},{"after":"estate","field":"bodywork_form","before":{"model":"FORMENTOR","variant":"CXDPCAX0","version":"FD7CFD7GC0054BI1AAC","body_code":"AC","eu_category":"M1","vehicle_type":"PB"},"target":"normalized","rule_ids":["BDY-110"],"sequence":17,"transformer_id":"ts.bodywork","confidence_effect":0.1},{"after":"Stationsvagn (kombivagn)","field":"bodywork_registry_label_sv","before":{"model":"FORMENTOR","variant":"CXDPCAX0","version":"FD7CFD7GC0054BI1AAC","body_code":"AC","eu_category":"M1","vehicle_type":"PB"},"target":"normalized","rule_ids":["BDY-110"],"sequence":18,"transformer_id":"ts.bodywork","confidence_effect":0.1},{"after":["petrol"],"field":"energy_sources","before":{"fuel1":"1","fuel2":"0","fuel3":"0","model":"FORMENTOR","variant":"CXDPCAX0","version":"FD7CFD7GC0054BI1AAC"},"target":"normalized","rule_ids":["FUEL-001"],"sequence":19,"transformer_id":"ts.fuel","confidence_effect":0.0}],"pipeline_version":"normalization-pipeline-v4","candidate_rule_ids":[]}</x:v>
      </x:c>
      <x:c r="Z199" s="36" t="n">
        <x:v>46239.78067015046</x:v>
      </x:c>
      <x:c r="AA199" s="36" t="n">
        <x:v>46239.78067015046</x:v>
      </x:c>
    </x:row>
    <x:row r="200" ht="18" customHeight="1">
      <x:c r="A200" s="36" t="n">
        <x:v>2802</x:v>
      </x:c>
      <x:c r="B200" s="36" t="str">
        <x:v>c0866a81-c8b2-5c09-a5d7-80fa19a8e697</x:v>
      </x:c>
      <x:c r="C200" s="36" t="str">
        <x:v>Transportstyrelsen</x:v>
      </x:c>
      <x:c r="D200" s="36" t="str">
        <x:v>normalization-review-passenger-250-v1-rules-20260805T184409855703Z</x:v>
      </x:c>
      <x:c r="E200" s="36" t="str">
        <x:v>staging.transportstyrelsen_raw</x:v>
      </x:c>
      <x:c r="F200" s="36" t="n">
        <x:v>2920</x:v>
      </x:c>
      <x:c r="G200" s="36" t="str">
        <x:v>ts-mapping-v1</x:v>
      </x:c>
      <x:c r="H200" s="36" t="str">
        <x:v>ts-review-20260805T184254528647Z</x:v>
      </x:c>
      <x:c r="I200" s="36" t="str">
        <x:v>normalization-pipeline-v4</x:v>
      </x:c>
      <x:c r="J200" s="36" t="str">
        <x:v>provisional</x:v>
      </x:c>
      <x:c r="K200" s="39" t="n">
        <x:v>0.8</x:v>
      </x:c>
      <x:c r="L200" s="36" t="str">
        <x:v>Kia</x:v>
      </x:c>
      <x:c r="M200" s="36" t="str">
        <x:v>PICANTO</x:v>
      </x:c>
      <x:c r="N200" s="36" t="str">
        <x:v>multi_purpose_vehicle</x:v>
      </x:c>
      <x:c r="O200" s="38" t="str">
        <x:v>["petrol"]</x:v>
      </x:c>
      <x:c r="P200" s="36"/>
      <x:c r="Q200" s="36" t="n">
        <x:v>2014</x:v>
      </x:c>
      <x:c r="R200" s="38" t="str">
        <x:v>["MFR-BRAND-CONFIRMED","MFR-BRAND-VIN-WMI","DATE-REGISTRATION-V1","DATE-PRODUCTION-MONTH-V1","UNIT-POWER-KW-V1","UNIT-DISPLACEMENT-CCM-V1","BDY-113","FUEL-001"]</x:v>
      </x:c>
      <x:c r="S200" s="38" t="str">
        <x:v>[]</x:v>
      </x:c>
      <x:c r="T200" s="38" t="str">
        <x:v>[]</x:v>
      </x:c>
      <x:c r="U200" s="38" t="str">
        <x:v>{"market":["SE"],"power_kw":51,"manufacturer":"Kia","bodywork_form":"multi_purpose_vehicle","energy_sources":["petrol"],"displacement_cc":998,"production_date":"2014-08","production_year":2014,"manufacturer_role":"vehicle_manufacturer","power_source_unit":"kw","registration_date":"2014-12-17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00" s="38" t="str">
        <x:v>{"model_family":"PICANTO"}</x:v>
      </x:c>
      <x:c r="W2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SPORT ED","target":"normalized","rule_ids":["MFR-BRAND-CONFIRMED","MFR-BRAND-VIN-WMI"],"sequence":3,"transformer_id":"ts.manufacturer","confidence_effect":0.2},{"after":"Kia","field":"manufacturer","before":"KIA PICANTO 1,0 SPORT ED","target":"normalized","rule_ids":["MFR-BRAND-CONFIRMED","MFR-BRAND-VIN-WMI"],"sequence":4,"transformer_id":"ts.manufacturer","confidence_effect":0.2},{"after":"vehicle_manufacturer","field":"manufacturer_role","before":"KIA PICANTO 1,0 SPORT ED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2014-08","field":"production_date","before":{"build_month":"201408","vehicle_year":2014,"registration_date":"20141217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20141217"},"target":"normalized","rule_ids":["DATE-REGISTRATION-V1","DATE-PRODUCTION-MONTH-V1"],"sequence":9,"transformer_id":"ts.dates","confidence_effect":0.1},{"after":2014,"field":"production_year","before":{"build_month":"201408","vehicle_year":2014,"registration_date":"20141217"},"target":"normalized","rule_ids":["DATE-REGISTRATION-V1","DATE-PRODUCTION-MONTH-V1"],"sequence":10,"transformer_id":"ts.dates","confidence_effect":0.1},{"after":"2014-12-17","field":"registration_date","before":{"build_month":"201408","vehicle_year":2014,"registration_date":"20141217"},"target":"normalized","rule_ids":["DATE-REGISTRATION-V1","DATE-PRODUCTION-MONTH-V1"],"sequence":11,"transformer_id":"ts.dates","confidence_effect":0.1},{"after":998,"field":"displacement_cc","before":{"kw":51,"ccm":998},"target":"normalized","rule_ids":["UNIT-POWER-KW-V1","UNIT-DISPLACEMENT-CCM-V1"],"sequence":12,"transformer_id":"ts.engine-measurements","confidence_effect":0.1},{"after":"ccm","field":"displacement_source_unit","before":{"kw":51,"ccm":998},"target":"normalized","rule_ids":["UNIT-POWER-KW-V1","UNIT-DISPLACEMENT-CCM-V1"],"sequence":13,"transformer_id":"ts.engine-measurements","confidence_effect":0.1},{"after":51,"field":"power_kw","before":{"kw":51,"ccm":998},"target":"normalized","rule_ids":["UNIT-POWER-KW-V1","UNIT-DISPLACEMENT-CCM-V1"],"sequence":14,"transformer_id":"ts.engine-measurements","confidence_effect":0.1},{"after":"kw","field":"power_source_unit","before":{"kw":51,"ccm":998},"target":"normalized","rule_ids":["UNIT-POWER-KW-V1","UNIT-DISPLACEMENT-CCM-V1"],"sequence":15,"transformer_id":"ts.engine-measurements","confidence_effect":0.1},{"after":"multi_purpose_vehicle","field":"bodywork_form","before":{"model":"PICANTO","variant":"F5P11","version":"M51BZ1","body_code":"AF","eu_category":"M1","vehicle_type":"PB"},"target":"normalized","rule_ids":["BDY-113"],"sequence":16,"transformer_id":"ts.bodywork","confidence_effect":0.1},{"after":"Fordon avsett för flera ändamål","field":"bodywork_registry_label_sv","before":{"model":"PICANTO","variant":"F5P11","version":"M51BZ1","body_code":"AF","eu_category":"M1","vehicle_type":"PB"},"target":"normalized","rule_ids":["BDY-113"],"sequence":17,"transformer_id":"ts.bodywork","confidence_effect":0.1},{"after":["petrol"],"field":"energy_sources","before":{"fuel1":"1","fuel2":"0","fuel3":"0","model":"PICANTO","variant":"F5P11","version":"M51BZ1"},"target":"normalized","rule_ids":["FUEL-001"],"sequence":18,"transformer_id":"ts.fuel","confidence_effect":0.0}]</x:v>
      </x:c>
      <x:c r="X200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0" s="38" t="str">
        <x:v>{"candidates":{"model_family":"PICANTO"},"confidence":0.8,"normalized":{"market":["SE"],"power_kw":51,"manufacturer":"Kia","bodywork_form":"multi_purpose_vehicle","energy_sources":["petrol"],"displacement_cc":998,"production_date":"2014-08","production_year":2014,"manufacturer_role":"vehicle_manufacturer","power_source_unit":"kw","registration_date":"2014-12-17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SPORT ED","target":"normalized","rule_ids":["MFR-BRAND-CONFIRMED","MFR-BRAND-VIN-WMI"],"sequence":3,"transformer_id":"ts.manufacturer","confidence_effect":0.2},{"after":"Kia","field":"manufacturer","before":"KIA PICANTO 1,0 SPORT ED","target":"normalized","rule_ids":["MFR-BRAND-CONFIRMED","MFR-BRAND-VIN-WMI"],"sequence":4,"transformer_id":"ts.manufacturer","confidence_effect":0.2},{"after":"vehicle_manufacturer","field":"manufacturer_role","before":"KIA PICANTO 1,0 SPORT ED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2014-08","field":"production_date","before":{"build_month":"201408","vehicle_year":2014,"registration_date":"20141217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20141217"},"target":"normalized","rule_ids":["DATE-REGISTRATION-V1","DATE-PRODUCTION-MONTH-V1"],"sequence":9,"transformer_id":"ts.dates","confidence_effect":0.1},{"after":2014,"field":"production_year","before":{"build_month":"201408","vehicle_year":2014,"registration_date":"20141217"},"target":"normalized","rule_ids":["DATE-REGISTRATION-V1","DATE-PRODUCTION-MONTH-V1"],"sequence":10,"transformer_id":"ts.dates","confidence_effect":0.1},{"after":"2014-12-17","field":"registration_date","before":{"build_month":"201408","vehicle_year":2014,"registration_date":"20141217"},"target":"normalized","rule_ids":["DATE-REGISTRATION-V1","DATE-PRODUCTION-MONTH-V1"],"sequence":11,"transformer_id":"ts.dates","confidence_effect":0.1},{"after":998,"field":"displacement_cc","before":{"kw":51,"ccm":998},"target":"normalized","rule_ids":["UNIT-POWER-KW-V1","UNIT-DISPLACEMENT-CCM-V1"],"sequence":12,"transformer_id":"ts.engine-measurements","confidence_effect":0.1},{"after":"ccm","field":"displacement_source_unit","before":{"kw":51,"ccm":998},"target":"normalized","rule_ids":["UNIT-POWER-KW-V1","UNIT-DISPLACEMENT-CCM-V1"],"sequence":13,"transformer_id":"ts.engine-measurements","confidence_effect":0.1},{"after":51,"field":"power_kw","before":{"kw":51,"ccm":998},"target":"normalized","rule_ids":["UNIT-POWER-KW-V1","UNIT-DISPLACEMENT-CCM-V1"],"sequence":14,"transformer_id":"ts.engine-measurements","confidence_effect":0.1},{"after":"kw","field":"power_source_unit","before":{"kw":51,"ccm":998},"target":"normalized","rule_ids":["UNIT-POWER-KW-V1","UNIT-DISPLACEMENT-CCM-V1"],"sequence":15,"transformer_id":"ts.engine-measurements","confidence_effect":0.1},{"after":"multi_purpose_vehicle","field":"bodywork_form","before":{"model":"PICANTO","variant":"F5P11","version":"M51BZ1","body_code":"AF","eu_category":"M1","vehicle_type":"PB"},"target":"normalized","rule_ids":["BDY-113"],"sequence":16,"transformer_id":"ts.bodywork","confidence_effect":0.1},{"after":"Fordon avsett för flera ändamål","field":"bodywork_registry_label_sv","before":{"model":"PICANTO","variant":"F5P11","version":"M51BZ1","body_code":"AF","eu_category":"M1","vehicle_type":"PB"},"target":"normalized","rule_ids":["BDY-113"],"sequence":17,"transformer_id":"ts.bodywork","confidence_effect":0.1},{"after":["petrol"],"field":"energy_sources","before":{"fuel1":"1","fuel2":"0","fuel3":"0","model":"PICANTO","variant":"F5P11","version":"M51BZ1"},"target":"normalized","rule_ids":["FUEL-001"],"sequence":18,"transformer_id":"ts.fuel","confidence_effect":0.0}],"pipeline_version":"normalization-pipeline-v4","candidate_rule_ids":[]}</x:v>
      </x:c>
      <x:c r="Z200" s="36" t="n">
        <x:v>46239.78067015046</x:v>
      </x:c>
      <x:c r="AA200" s="36" t="n">
        <x:v>46239.78067015046</x:v>
      </x:c>
    </x:row>
    <x:row r="201" ht="18" customHeight="1">
      <x:c r="A201" s="36" t="n">
        <x:v>2803</x:v>
      </x:c>
      <x:c r="B201" s="36" t="str">
        <x:v>008038bd-49bb-5bca-b7a5-a082c30ba0e6</x:v>
      </x:c>
      <x:c r="C201" s="36" t="str">
        <x:v>Transportstyrelsen</x:v>
      </x:c>
      <x:c r="D201" s="36" t="str">
        <x:v>normalization-review-passenger-250-v1-rules-20260805T184409855703Z</x:v>
      </x:c>
      <x:c r="E201" s="36" t="str">
        <x:v>staging.transportstyrelsen_raw</x:v>
      </x:c>
      <x:c r="F201" s="36" t="n">
        <x:v>2921</x:v>
      </x:c>
      <x:c r="G201" s="36" t="str">
        <x:v>ts-mapping-v1</x:v>
      </x:c>
      <x:c r="H201" s="36" t="str">
        <x:v>ts-review-20260805T184254528647Z</x:v>
      </x:c>
      <x:c r="I201" s="36" t="str">
        <x:v>normalization-pipeline-v4</x:v>
      </x:c>
      <x:c r="J201" s="36" t="str">
        <x:v>provisional</x:v>
      </x:c>
      <x:c r="K201" s="39" t="n">
        <x:v>0.8</x:v>
      </x:c>
      <x:c r="L201" s="36" t="str">
        <x:v>Land Rover</x:v>
      </x:c>
      <x:c r="M201" s="36" t="str">
        <x:v>RANGE ROVER SPORT</x:v>
      </x:c>
      <x:c r="N201" s="36" t="str">
        <x:v>estate</x:v>
      </x:c>
      <x:c r="O201" s="38" t="str">
        <x:v>["diesel"]</x:v>
      </x:c>
      <x:c r="P201" s="36"/>
      <x:c r="Q201" s="36" t="n">
        <x:v>2013</x:v>
      </x:c>
      <x:c r="R201" s="38" t="str">
        <x:v>["MFE-F50057C156C9E4","DATE-REGISTRATION-V1","DATE-PRODUCTION-MONTH-V1","UNIT-POWER-KW-V1","UNIT-DISPLACEMENT-CCM-V1","BDY-110","FUEL-002"]</x:v>
      </x:c>
      <x:c r="S201" s="38" t="str">
        <x:v>["DRV-008"]</x:v>
      </x:c>
      <x:c r="T201" s="38" t="str">
        <x:v>[]</x:v>
      </x:c>
      <x:c r="U201" s="38" t="str">
        <x:v>{"market":["SE"],"power_kw":215,"manufacturer":"Land Rover","bodywork_form":"estate","energy_sources":["diesel"],"displacement_cc":2993,"production_date":"2013-12","production_year":2013,"manufacturer_role":"vehicle_manufacturer","power_source_unit":"kw","registration_date":"2014-01-31","alias_types_present":["plate","vin","model_name"],"model_family_candidate":true,"builder_converter_names":[],"displacement_source_unit":"ccm","production_date_precision":"month","bodywork_registry_label_sv":"Stationsvagn (kombivagn)"}</x:v>
      </x:c>
      <x:c r="V201" s="38" t="str">
        <x:v>{"drive_type":"awd","model_family":"RANGE ROVER SPORT"}</x:v>
      </x:c>
      <x:c r="W2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AND ROVERLW","target":"normalized","rule_ids":["MFE-F50057C156C9E4"],"sequence":3,"transformer_id":"ts.manufacturer","confidence_effect":0.2},{"after":"Land Rover","field":"manufacturer","before":"LAND ROVERLW","target":"normalized","rule_ids":["MFE-F50057C156C9E4"],"sequence":4,"transformer_id":"ts.manufacturer","confidence_effect":0.2},{"after":"vehicle_manufacturer","field":"manufacturer_role","before":"LAND ROVERLW","target":"normalized","rule_ids":["MFE-F50057C156C9E4"],"sequence":5,"transformer_id":"ts.manufacturer","confidence_effect":0.2},{"after":true,"field":"model_family_candidate","before":"RANGE ROVER SPORT","target":"normalized","rule_ids":["MODEL-CANDIDATE-V1"],"sequence":6,"transformer_id":"ts.model-family","confidence_effect":0.0},{"after":"RANGE ROVER SPORT","field":"model_family","before":"RANGE ROVER SPORT","target":"candidate","rule_ids":["MODEL-CANDIDATE-V1"],"sequence":7,"transformer_id":"ts.model-family","confidence_effect":0.05},{"after":"2013-12","field":"production_date","before":{"build_month":"201312","vehicle_year":2013,"registration_date":"20140131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20140131"},"target":"normalized","rule_ids":["DATE-REGISTRATION-V1","DATE-PRODUCTION-MONTH-V1"],"sequence":9,"transformer_id":"ts.dates","confidence_effect":0.1},{"after":2013,"field":"production_year","before":{"build_month":"201312","vehicle_year":2013,"registration_date":"20140131"},"target":"normalized","rule_ids":["DATE-REGISTRATION-V1","DATE-PRODUCTION-MONTH-V1"],"sequence":10,"transformer_id":"ts.dates","confidence_effect":0.1},{"after":"2014-01-31","field":"registration_date","before":{"build_month":"201312","vehicle_year":2013,"registration_date":"20140131"},"target":"normalized","rule_ids":["DATE-REGISTRATION-V1","DATE-PRODUCTION-MONTH-V1"],"sequence":11,"transformer_id":"ts.dates","confidence_effect":0.1},{"after":2993,"field":"displacement_cc","before":{"kw":215,"ccm":2993},"target":"normalized","rule_ids":["UNIT-POWER-KW-V1","UNIT-DISPLACEMENT-CCM-V1"],"sequence":12,"transformer_id":"ts.engine-measurements","confidence_effect":0.1},{"after":"ccm","field":"displacement_source_unit","before":{"kw":215,"ccm":2993},"target":"normalized","rule_ids":["UNIT-POWER-KW-V1","UNIT-DISPLACEMENT-CCM-V1"],"sequence":13,"transformer_id":"ts.engine-measurements","confidence_effect":0.1},{"after":215,"field":"power_kw","before":{"kw":215,"ccm":2993},"target":"normalized","rule_ids":["UNIT-POWER-KW-V1","UNIT-DISPLACEMENT-CCM-V1"],"sequence":14,"transformer_id":"ts.engine-measurements","confidence_effect":0.1},{"after":"kw","field":"power_source_unit","before":{"kw":215,"ccm":2993},"target":"normalized","rule_ids":["UNIT-POWER-KW-V1","UNIT-DISPLACEMENT-CCM-V1"],"sequence":15,"transformer_id":"ts.engine-measurements","confidence_effect":0.1},{"after":"estate","field":"bodywork_form","before":{"model":"RANGE ROVER SPORT","variant":"S5CF2F","version":"A5A1","body_code":"AC","eu_category":"M1G","vehicle_type":"PB"},"target":"normalized","rule_ids":["BDY-110"],"sequence":16,"transformer_id":"ts.bodywork","confidence_effect":0.1},{"after":"Stationsvagn (kombivagn)","field":"bodywork_registry_label_sv","before":{"model":"RANGE ROVER SPORT","variant":"S5CF2F","version":"A5A1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RANGE ROVER SPORT","variant":"S5CF2F","version":"A5A1"},"target":"normalized","rule_ids":["FUEL-002"],"sequence":19,"transformer_id":"ts.fuel","confidence_effect":0.0}]</x:v>
      </x:c>
      <x:c r="X201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01" s="38" t="str">
        <x:v>{"candidates":{"drive_type":"awd","model_family":"RANGE ROVER SPORT"},"confidence":0.8,"normalized":{"market":["SE"],"power_kw":215,"manufacturer":"Land Rover","bodywork_form":"estate","energy_sources":["diesel"],"displacement_cc":2993,"production_date":"2013-12","production_year":2013,"manufacturer_role":"vehicle_manufacturer","power_source_unit":"kw","registration_date":"2014-01-31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AND ROVERLW","target":"normalized","rule_ids":["MFE-F50057C156C9E4"],"sequence":3,"transformer_id":"ts.manufacturer","confidence_effect":0.2},{"after":"Land Rover","field":"manufacturer","before":"LAND ROVERLW","target":"normalized","rule_ids":["MFE-F50057C156C9E4"],"sequence":4,"transformer_id":"ts.manufacturer","confidence_effect":0.2},{"after":"vehicle_manufacturer","field":"manufacturer_role","before":"LAND ROVERLW","target":"normalized","rule_ids":["MFE-F50057C156C9E4"],"sequence":5,"transformer_id":"ts.manufacturer","confidence_effect":0.2},{"after":true,"field":"model_family_candidate","before":"RANGE ROVER SPORT","target":"normalized","rule_ids":["MODEL-CANDIDATE-V1"],"sequence":6,"transformer_id":"ts.model-family","confidence_effect":0.0},{"after":"RANGE ROVER SPORT","field":"model_family","before":"RANGE ROVER SPORT","target":"candidate","rule_ids":["MODEL-CANDIDATE-V1"],"sequence":7,"transformer_id":"ts.model-family","confidence_effect":0.05},{"after":"2013-12","field":"production_date","before":{"build_month":"201312","vehicle_year":2013,"registration_date":"20140131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20140131"},"target":"normalized","rule_ids":["DATE-REGISTRATION-V1","DATE-PRODUCTION-MONTH-V1"],"sequence":9,"transformer_id":"ts.dates","confidence_effect":0.1},{"after":2013,"field":"production_year","before":{"build_month":"201312","vehicle_year":2013,"registration_date":"20140131"},"target":"normalized","rule_ids":["DATE-REGISTRATION-V1","DATE-PRODUCTION-MONTH-V1"],"sequence":10,"transformer_id":"ts.dates","confidence_effect":0.1},{"after":"2014-01-31","field":"registration_date","before":{"build_month":"201312","vehicle_year":2013,"registration_date":"20140131"},"target":"normalized","rule_ids":["DATE-REGISTRATION-V1","DATE-PRODUCTION-MONTH-V1"],"sequence":11,"transformer_id":"ts.dates","confidence_effect":0.1},{"after":2993,"field":"displacement_cc","before":{"kw":215,"ccm":2993},"target":"normalized","rule_ids":["UNIT-POWER-KW-V1","UNIT-DISPLACEMENT-CCM-V1"],"sequence":12,"transformer_id":"ts.engine-measurements","confidence_effect":0.1},{"after":"ccm","field":"displacement_source_unit","before":{"kw":215,"ccm":2993},"target":"normalized","rule_ids":["UNIT-POWER-KW-V1","UNIT-DISPLACEMENT-CCM-V1"],"sequence":13,"transformer_id":"ts.engine-measurements","confidence_effect":0.1},{"after":215,"field":"power_kw","before":{"kw":215,"ccm":2993},"target":"normalized","rule_ids":["UNIT-POWER-KW-V1","UNIT-DISPLACEMENT-CCM-V1"],"sequence":14,"transformer_id":"ts.engine-measurements","confidence_effect":0.1},{"after":"kw","field":"power_source_unit","before":{"kw":215,"ccm":2993},"target":"normalized","rule_ids":["UNIT-POWER-KW-V1","UNIT-DISPLACEMENT-CCM-V1"],"sequence":15,"transformer_id":"ts.engine-measurements","confidence_effect":0.1},{"after":"estate","field":"bodywork_form","before":{"model":"RANGE ROVER SPORT","variant":"S5CF2F","version":"A5A1","body_code":"AC","eu_category":"M1G","vehicle_type":"PB"},"target":"normalized","rule_ids":["BDY-110"],"sequence":16,"transformer_id":"ts.bodywork","confidence_effect":0.1},{"after":"Stationsvagn (kombivagn)","field":"bodywork_registry_label_sv","before":{"model":"RANGE ROVER SPORT","variant":"S5CF2F","version":"A5A1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RANGE ROVER SPORT","variant":"S5CF2F","version":"A5A1"},"target":"normalized","rule_ids":["FUEL-002"],"sequence":19,"transformer_id":"ts.fuel","confidence_effect":0.0}],"pipeline_version":"normalization-pipeline-v4","candidate_rule_ids":["DRV-008"]}</x:v>
      </x:c>
      <x:c r="Z201" s="36" t="n">
        <x:v>46239.78067015046</x:v>
      </x:c>
      <x:c r="AA201" s="36" t="n">
        <x:v>46239.78067015046</x:v>
      </x:c>
    </x:row>
    <x:row r="202" ht="18" customHeight="1">
      <x:c r="A202" s="36" t="n">
        <x:v>2804</x:v>
      </x:c>
      <x:c r="B202" s="36" t="str">
        <x:v>b21ea020-db4b-57f3-8e49-a0840ad8b9ca</x:v>
      </x:c>
      <x:c r="C202" s="36" t="str">
        <x:v>Transportstyrelsen</x:v>
      </x:c>
      <x:c r="D202" s="36" t="str">
        <x:v>normalization-review-passenger-250-v1-rules-20260805T184409855703Z</x:v>
      </x:c>
      <x:c r="E202" s="36" t="str">
        <x:v>staging.transportstyrelsen_raw</x:v>
      </x:c>
      <x:c r="F202" s="36" t="n">
        <x:v>2922</x:v>
      </x:c>
      <x:c r="G202" s="36" t="str">
        <x:v>ts-mapping-v1</x:v>
      </x:c>
      <x:c r="H202" s="36" t="str">
        <x:v>ts-review-20260805T184254528647Z</x:v>
      </x:c>
      <x:c r="I202" s="36" t="str">
        <x:v>normalization-pipeline-v4</x:v>
      </x:c>
      <x:c r="J202" s="36" t="str">
        <x:v>provisional</x:v>
      </x:c>
      <x:c r="K202" s="39" t="n">
        <x:v>0.8</x:v>
      </x:c>
      <x:c r="L202" s="36" t="str">
        <x:v>Volkswagen</x:v>
      </x:c>
      <x:c r="M202" s="36" t="str">
        <x:v>TIGUAN</x:v>
      </x:c>
      <x:c r="N202" s="36" t="str">
        <x:v>estate</x:v>
      </x:c>
      <x:c r="O202" s="38" t="str">
        <x:v>["petrol"]</x:v>
      </x:c>
      <x:c r="P202" s="36" t="str">
        <x:v>manual</x:v>
      </x:c>
      <x:c r="Q202" s="36" t="n">
        <x:v>2012</x:v>
      </x:c>
      <x:c r="R202" s="38" t="str">
        <x:v>["MFR-BRAND-CONFIRMED","MFR-BRAND-MODEL","MFR-BRAND-VIN-WMI","DATE-REGISTRATION-V1","DATE-PRODUCTION-MONTH-V1","UNIT-POWER-KW-V1","UNIT-DISPLACEMENT-CCM-V1","TRN-001","BDY-110","FUEL-001"]</x:v>
      </x:c>
      <x:c r="S202" s="38" t="str">
        <x:v>["DRV-008"]</x:v>
      </x:c>
      <x:c r="T202" s="38" t="str">
        <x:v>[]</x:v>
      </x:c>
      <x:c r="U202" s="38" t="str">
        <x:v>{"market":["SE"],"power_kw":118,"manufacturer":"Volkswagen","bodywork_form":"estate","energy_sources":["petrol"],"displacement_cc":1390,"production_date":"2012-09","production_year":2012,"manufacturer_role":"vehicle_manufacturer","power_source_unit":"kw","registration_date":"2012-11-09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02" s="38" t="str">
        <x:v>{"drive_type":"awd","model_family":"TIGUAN"}</x:v>
      </x:c>
      <x:c r="W202" s="38" t="str">
        <x:v>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2012-09","field":"production_date","before":{"build_month":"201209","vehicle_year":2012,"registration_date":"20121109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20121109"},"target":"normalized","rule_ids":["DATE-REGISTRATION-V1","DATE-PRODUCTION-MONTH-V1"],"sequence":10,"transformer_id":"ts.dates","confidence_effect":0.1},{"after":2012,"field":"production_year","before":{"build_month":"201209","vehicle_year":2012,"registration_date":"20121109"},"target":"normalized","rule_ids":["DATE-REGISTRATION-V1","DATE-PRODUCTION-MONTH-V1"],"sequence":11,"transformer_id":"ts.dates","confidence_effect":0.1},{"after":"2012-11-09","field":"registration_date","before":{"build_month":"201209","vehicle_year":2012,"registration_date":"20121109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TIGUAN","gearbox":"M","variant":"ACCTHDX1","version":"AM6AM6A6009NDSTVR07MGO"},"target":"normalized","rule_ids":["TRN-001"],"sequence":17,"transformer_id":"ts.transmission","confidence_effect":0.1},{"after":"estate","field":"bodywork_form","before":{"model":"TIGUAN","variant":"ACCTHDX1","version":"AM6AM6A6009NDSTVR07MG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THDX1","version":"AM6AM6A6009NDSTVR07MG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THDX1","version":"AM6AM6A6009NDSTVR07MGO"},"target":"normalized","rule_ids":["FUEL-001"],"sequence":21,"transformer_id":"ts.fuel","confidence_effect":0.0}]</x:v>
      </x:c>
      <x:c r="X20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2" s="38" t="str">
        <x:v>{"candidates":{"drive_type":"awd","model_family":"TIGUAN"},"confidence":0.8,"normalized":{"market":["SE"],"power_kw":118,"manufacturer":"Volkswagen","bodywork_form":"estate","energy_sources":["petrol"],"displacement_cc":1390,"production_date":"2012-09","production_year":2012,"manufacturer_role":"vehicle_manufacturer","power_source_unit":"kw","registration_date":"2012-11-09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2012-09","field":"production_date","before":{"build_month":"201209","vehicle_year":2012,"registration_date":"20121109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20121109"},"target":"normalized","rule_ids":["DATE-REGISTRATION-V1","DATE-PRODUCTION-MONTH-V1"],"sequence":10,"transformer_id":"ts.dates","confidence_effect":0.1},{"after":2012,"field":"production_year","before":{"build_month":"201209","vehicle_year":2012,"registration_date":"20121109"},"target":"normalized","rule_ids":["DATE-REGISTRATION-V1","DATE-PRODUCTION-MONTH-V1"],"sequence":11,"transformer_id":"ts.dates","confidence_effect":0.1},{"after":"2012-11-09","field":"registration_date","before":{"build_month":"201209","vehicle_year":2012,"registration_date":"20121109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TIGUAN","gearbox":"M","variant":"ACCTHDX1","version":"AM6AM6A6009NDSTVR07MGO"},"target":"normalized","rule_ids":["TRN-001"],"sequence":17,"transformer_id":"ts.transmission","confidence_effect":0.1},{"after":"estate","field":"bodywork_form","before":{"model":"TIGUAN","variant":"ACCTHDX1","version":"AM6AM6A6009NDSTVR07MG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THDX1","version":"AM6AM6A6009NDSTVR07MG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THDX1","version":"AM6AM6A6009NDSTVR07MGO"},"target":"normalized","rule_ids":["FUEL-001"],"sequence":21,"transformer_id":"ts.fuel","confidence_effect":0.0}],"pipeline_version":"normalization-pipeline-v4","candidate_rule_ids":["DRV-008"]}</x:v>
      </x:c>
      <x:c r="Z202" s="36" t="n">
        <x:v>46239.78067015046</x:v>
      </x:c>
      <x:c r="AA202" s="36" t="n">
        <x:v>46239.78067015046</x:v>
      </x:c>
    </x:row>
    <x:row r="203" ht="18" customHeight="1">
      <x:c r="A203" s="36" t="n">
        <x:v>2805</x:v>
      </x:c>
      <x:c r="B203" s="36" t="str">
        <x:v>33277cb9-b154-5268-b046-05010c151e97</x:v>
      </x:c>
      <x:c r="C203" s="36" t="str">
        <x:v>Transportstyrelsen</x:v>
      </x:c>
      <x:c r="D203" s="36" t="str">
        <x:v>normalization-review-passenger-250-v1-rules-20260805T184409855703Z</x:v>
      </x:c>
      <x:c r="E203" s="36" t="str">
        <x:v>staging.transportstyrelsen_raw</x:v>
      </x:c>
      <x:c r="F203" s="36" t="n">
        <x:v>2923</x:v>
      </x:c>
      <x:c r="G203" s="36" t="str">
        <x:v>ts-mapping-v1</x:v>
      </x:c>
      <x:c r="H203" s="36" t="str">
        <x:v>ts-review-20260805T184254528647Z</x:v>
      </x:c>
      <x:c r="I203" s="36" t="str">
        <x:v>normalization-pipeline-v4</x:v>
      </x:c>
      <x:c r="J203" s="36" t="str">
        <x:v>provisional</x:v>
      </x:c>
      <x:c r="K203" s="39" t="n">
        <x:v>0.8</x:v>
      </x:c>
      <x:c r="L203" s="36" t="str">
        <x:v>Ford</x:v>
      </x:c>
      <x:c r="M203" s="36"/>
      <x:c r="N203" s="36" t="str">
        <x:v>covered_body</x:v>
      </x:c>
      <x:c r="O203" s="38" t="str">
        <x:v>["petrol"]</x:v>
      </x:c>
      <x:c r="P203" s="36" t="str">
        <x:v>manual</x:v>
      </x:c>
      <x:c r="Q203" s="36" t="n">
        <x:v>1998</x:v>
      </x:c>
      <x:c r="R203" s="38" t="str">
        <x:v>["DATE-REGISTRATION-V1","DATE-PRODUCTION-YEAR-V1","UNIT-POWER-KW-V1","TRN-001","BDY-102","FUEL-001"]</x:v>
      </x:c>
      <x:c r="S203" s="38" t="str">
        <x:v>["MFR-BRAND-PREFIX-FALLBACK"]</x:v>
      </x:c>
      <x:c r="T203" s="38" t="str">
        <x:v>[]</x:v>
      </x:c>
      <x:c r="U203" s="38" t="str">
        <x:v>{"market":["SE"],"power_kw":44,"manufacturer":"Ford","bodywork_form":"covered_body","energy_sources":["petrol"],"production_year":1998,"manufacturer_role":"vehicle_manufacturer","power_source_unit":"kw","registration_date":"1997-11-28","transmission_type":"manual","alias_types_present":["plate","vin"],"builder_converter_names":[],"production_date_precision":"model_year","bodywork_registry_label_sv":"Täckt"}</x:v>
      </x:c>
      <x:c r="V203" s="38" t="str">
        <x:v>{"manufacturer_confirmation":{"source_fields":["brand"],"canonical_name":"Ford"}}</x:v>
      </x:c>
      <x:c r="W203" s="38" t="str">
        <x:v>[{"after":"FORD RBT KA","field":"brand","before":"FORD RBT    K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RBT KA","target":"normalized","rule_ids":["MFR-CLASSIFY-V1"],"sequence":4,"transformer_id":"ts.manufacturer","confidence_effect":0.2},{"after":"Ford","field":"manufacturer","before":"FORD RBT KA","target":"normalized","rule_ids":["MFR-CLASSIFY-V1"],"sequence":5,"transformer_id":"ts.manufacturer","confidence_effect":0.2},{"after":"vehicle_manufacturer","field":"manufacturer_role","before":"FORD RBT KA","target":"normalized","rule_ids":["MFR-CLASSIFY-V1"],"sequence":6,"transformer_id":"ts.manufacturer","confidence_effect":0.2},{"after":{"source_fields":["brand"],"canonical_name":"Ford"},"field":"manufacturer_confirmation","before":"FORD RBT KA","target":"candidate","rule_ids":["MFR-BRAND-PREFIX-FALLBACK"],"sequence":7,"transformer_id":"ts.manufacturer","confidence_effect":0.05},{"after":"model_year","field":"production_date_precision","before":{"model_year":1998,"vehicle_year":1998,"registration_date":"19971128"},"target":"normalized","rule_ids":["DATE-REGISTRATION-V1","DATE-PRODUCTION-YEAR-V1"],"sequence":8,"transformer_id":"ts.dates","confidence_effect":0.1},{"after":1998,"field":"production_year","before":{"model_year":1998,"vehicle_year":1998,"registration_date":"19971128"},"target":"normalized","rule_ids":["DATE-REGISTRATION-V1","DATE-PRODUCTION-YEAR-V1"],"sequence":9,"transformer_id":"ts.dates","confidence_effect":0.1},{"after":"1997-11-28","field":"registration_date","before":{"model_year":1998,"vehicle_year":1998,"registration_date":"19971128"},"target":"normalized","rule_ids":["DATE-REGISTRATION-V1","DATE-PRODUCTION-YEAR-V1"],"sequence":10,"transformer_id":"ts.dates","confidence_effect":0.1},{"after":44,"field":"power_kw","before":44,"target":"normalized","rule_ids":["UNIT-POWER-KW-V1"],"sequence":11,"transformer_id":"ts.engine-measurements","confidence_effect":0.1},{"after":"kw","field":"power_source_unit","before":44,"target":"normalized","rule_ids":["UNIT-POWER-KW-V1"],"sequence":12,"transformer_id":"ts.engine-measurements","confidence_effect":0.1},{"after":"manual","field":"transmission_type","before":{"gearbox":"M","variant":"J4D1","version":"4C11"},"target":"normalized","rule_ids":["TRN-001"],"sequence":13,"transformer_id":"ts.transmission","confidence_effect":0.1},{"after":"covered_body","field":"bodywork_form","before":{"variant":"J4D1","version":"4C11","body_code":"01","eu_category":"M1","vehicle_type":"PB"},"target":"normalized","rule_ids":["BDY-102"],"sequence":14,"transformer_id":"ts.bodywork","confidence_effect":0.1},{"after":"Täckt","field":"bodywork_registry_label_sv","before":{"variant":"J4D1","version":"4C11","body_code":"01","eu_category":"M1","vehicle_type":"PB"},"target":"normalized","rule_ids":["BDY-102"],"sequence":15,"transformer_id":"ts.bodywork","confidence_effect":0.1},{"after":["petrol"],"field":"energy_sources","before":{"fuel1":"1","fuel2":"0","fuel3":"0","variant":"J4D1","version":"4C11"},"target":"normalized","rule_ids":["FUEL-001"],"sequence":16,"transformer_id":"ts.fuel","confidence_effect":0.0}]</x:v>
      </x:c>
      <x:c r="X20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3" s="38" t="str">
        <x:v>{"candidates":{"manufacturer_confirmation":{"source_fields":["brand"],"canonical_name":"Ford"}},"confidence":0.8,"normalized":{"market":["SE"],"power_kw":44,"manufacturer":"Ford","bodywork_form":"covered_body","energy_sources":["petrol"],"production_year":1998,"manufacturer_role":"vehicle_manufacturer","power_source_unit":"kw","registration_date":"1997-11-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RBT KA","field":"brand","before":"FORD RBT    K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RBT KA","target":"normalized","rule_ids":["MFR-CLASSIFY-V1"],"sequence":4,"transformer_id":"ts.manufacturer","confidence_effect":0.2},{"after":"Ford","field":"manufacturer","before":"FORD RBT KA","target":"normalized","rule_ids":["MFR-CLASSIFY-V1"],"sequence":5,"transformer_id":"ts.manufacturer","confidence_effect":0.2},{"after":"vehicle_manufacturer","field":"manufacturer_role","before":"FORD RBT KA","target":"normalized","rule_ids":["MFR-CLASSIFY-V1"],"sequence":6,"transformer_id":"ts.manufacturer","confidence_effect":0.2},{"after":{"source_fields":["brand"],"canonical_name":"Ford"},"field":"manufacturer_confirmation","before":"FORD RBT KA","target":"candidate","rule_ids":["MFR-BRAND-PREFIX-FALLBACK"],"sequence":7,"transformer_id":"ts.manufacturer","confidence_effect":0.05},{"after":"model_year","field":"production_date_precision","before":{"model_year":1998,"vehicle_year":1998,"registration_date":"19971128"},"target":"normalized","rule_ids":["DATE-REGISTRATION-V1","DATE-PRODUCTION-YEAR-V1"],"sequence":8,"transformer_id":"ts.dates","confidence_effect":0.1},{"after":1998,"field":"production_year","before":{"model_year":1998,"vehicle_year":1998,"registration_date":"19971128"},"target":"normalized","rule_ids":["DATE-REGISTRATION-V1","DATE-PRODUCTION-YEAR-V1"],"sequence":9,"transformer_id":"ts.dates","confidence_effect":0.1},{"after":"1997-11-28","field":"registration_date","before":{"model_year":1998,"vehicle_year":1998,"registration_date":"19971128"},"target":"normalized","rule_ids":["DATE-REGISTRATION-V1","DATE-PRODUCTION-YEAR-V1"],"sequence":10,"transformer_id":"ts.dates","confidence_effect":0.1},{"after":44,"field":"power_kw","before":44,"target":"normalized","rule_ids":["UNIT-POWER-KW-V1"],"sequence":11,"transformer_id":"ts.engine-measurements","confidence_effect":0.1},{"after":"kw","field":"power_source_unit","before":44,"target":"normalized","rule_ids":["UNIT-POWER-KW-V1"],"sequence":12,"transformer_id":"ts.engine-measurements","confidence_effect":0.1},{"after":"manual","field":"transmission_type","before":{"gearbox":"M","variant":"J4D1","version":"4C11"},"target":"normalized","rule_ids":["TRN-001"],"sequence":13,"transformer_id":"ts.transmission","confidence_effect":0.1},{"after":"covered_body","field":"bodywork_form","before":{"variant":"J4D1","version":"4C11","body_code":"01","eu_category":"M1","vehicle_type":"PB"},"target":"normalized","rule_ids":["BDY-102"],"sequence":14,"transformer_id":"ts.bodywork","confidence_effect":0.1},{"after":"Täckt","field":"bodywork_registry_label_sv","before":{"variant":"J4D1","version":"4C11","body_code":"01","eu_category":"M1","vehicle_type":"PB"},"target":"normalized","rule_ids":["BDY-102"],"sequence":15,"transformer_id":"ts.bodywork","confidence_effect":0.1},{"after":["petrol"],"field":"energy_sources","before":{"fuel1":"1","fuel2":"0","fuel3":"0","variant":"J4D1","version":"4C11"},"target":"normalized","rule_ids":["FUEL-001"],"sequence":16,"transformer_id":"ts.fuel","confidence_effect":0.0}],"pipeline_version":"normalization-pipeline-v4","candidate_rule_ids":["MFR-BRAND-PREFIX-FALLBACK"]}</x:v>
      </x:c>
      <x:c r="Z203" s="36" t="n">
        <x:v>46239.78067015046</x:v>
      </x:c>
      <x:c r="AA203" s="36" t="n">
        <x:v>46239.78067015046</x:v>
      </x:c>
    </x:row>
    <x:row r="204" ht="18" customHeight="1">
      <x:c r="A204" s="36" t="n">
        <x:v>2806</x:v>
      </x:c>
      <x:c r="B204" s="36" t="str">
        <x:v>2945f39f-4335-5ccd-bf2c-8202b7f63fb4</x:v>
      </x:c>
      <x:c r="C204" s="36" t="str">
        <x:v>Transportstyrelsen</x:v>
      </x:c>
      <x:c r="D204" s="36" t="str">
        <x:v>normalization-review-passenger-250-v1-rules-20260805T184409855703Z</x:v>
      </x:c>
      <x:c r="E204" s="36" t="str">
        <x:v>staging.transportstyrelsen_raw</x:v>
      </x:c>
      <x:c r="F204" s="36" t="n">
        <x:v>2924</x:v>
      </x:c>
      <x:c r="G204" s="36" t="str">
        <x:v>ts-mapping-v1</x:v>
      </x:c>
      <x:c r="H204" s="36" t="str">
        <x:v>ts-review-20260805T184254528647Z</x:v>
      </x:c>
      <x:c r="I204" s="36" t="str">
        <x:v>normalization-pipeline-v4</x:v>
      </x:c>
      <x:c r="J204" s="36" t="str">
        <x:v>provisional</x:v>
      </x:c>
      <x:c r="K204" s="39" t="n">
        <x:v>0.8</x:v>
      </x:c>
      <x:c r="L204" s="36" t="str">
        <x:v>Toyota</x:v>
      </x:c>
      <x:c r="M204" s="36" t="str">
        <x:v>TOYOTA AURIS</x:v>
      </x:c>
      <x:c r="N204" s="36" t="str">
        <x:v>estate</x:v>
      </x:c>
      <x:c r="O204" s="38" t="str">
        <x:v>["petrol"]</x:v>
      </x:c>
      <x:c r="P204" s="36" t="str">
        <x:v>manual</x:v>
      </x:c>
      <x:c r="Q204" s="36" t="n">
        <x:v>2013</x:v>
      </x:c>
      <x:c r="R204" s="38" t="str">
        <x:v>["MFR-BRAND-CONFIRMED","MFR-BRAND-MODEL","DATE-REGISTRATION-V1","DATE-PRODUCTION-MONTH-V1","UNIT-POWER-KW-V1","UNIT-DISPLACEMENT-CCM-V1","TRN-001","BDY-110","FUEL-001"]</x:v>
      </x:c>
      <x:c r="S204" s="38" t="str">
        <x:v>[]</x:v>
      </x:c>
      <x:c r="T204" s="38" t="str">
        <x:v>[]</x:v>
      </x:c>
      <x:c r="U204" s="38" t="str">
        <x:v>{"market":["SE"],"power_kw":97,"manufacturer":"Toyota","bodywork_form":"estate","energy_sources":["petrol"],"displacement_cc":1598,"production_date":"2013-07","production_year":2013,"manufacturer_role":"vehicle_manufacturer","power_source_unit":"kw","registration_date":"2013-10-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04" s="38" t="str">
        <x:v>{"model_family":"TOYOTA AURIS"}</x:v>
      </x:c>
      <x:c r="W2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2013-07","field":"production_date","before":{"build_month":"201307","vehicle_year":2013,"registration_date":"20131030"},"target":"normalized","rule_ids":["DATE-REGISTRATION-V1","DATE-PRODUCTION-MONTH-V1"],"sequence":8,"transformer_id":"ts.dates","confidence_effect":0.1},{"after":"month","field":"production_date_precision","before":{"build_month":"201307","vehicle_year":2013,"registration_date":"20131030"},"target":"normalized","rule_ids":["DATE-REGISTRATION-V1","DATE-PRODUCTION-MONTH-V1"],"sequence":9,"transformer_id":"ts.dates","confidence_effect":0.1},{"after":2013,"field":"production_year","before":{"build_month":"201307","vehicle_year":2013,"registration_date":"20131030"},"target":"normalized","rule_ids":["DATE-REGISTRATION-V1","DATE-PRODUCTION-MONTH-V1"],"sequence":10,"transformer_id":"ts.dates","confidence_effect":0.1},{"after":"2013-10-30","field":"registration_date","before":{"build_month":"201307","vehicle_year":2013,"registration_date":"20131030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AURIS","gearbox":"M","variant":"ZRE185(W)","version":"ZRE185L-DWFNPW(2R)"},"target":"normalized","rule_ids":["TRN-001"],"sequence":16,"transformer_id":"ts.transmission","confidence_effect":0.1},{"after":"estate","field":"bodywork_form","before":{"model":"TOYOTA AURIS","variant":"ZRE185(W)","version":"ZRE185L-DWFNPW(2R)","body_code":"AC","eu_category":"M1","vehicle_type":"PB"},"target":"normalized","rule_ids":["BDY-110"],"sequence":17,"transformer_id":"ts.bodywork","confidence_effect":0.1},{"after":"Stationsvagn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ZRE185(W)","version":"ZRE185L-DWFNPW(2R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AURIS","variant":"ZRE185(W)","version":"ZRE185L-DWFNPW(2R)"},"target":"normalized","rule_ids":["FUEL-001"],"sequence":19,"transformer_id":"ts.fuel","confidence_effect":0.0}]</x:v>
      </x:c>
      <x:c r="X20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4" s="38" t="str">
        <x:v>{"candidates":{"model_family":"TOYOTA AURIS"},"confidence":0.8,"normalized":{"market":["SE"],"power_kw":97,"manufacturer":"Toyota","bodywork_form":"estate","energy_sources":["petrol"],"displacement_cc":1598,"production_date":"2013-07","production_year":2013,"manufacturer_role":"vehicle_manufacturer","power_source_unit":"kw","registration_date":"2013-10-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2013-07","field":"production_date","before":{"build_month":"201307","vehicle_year":2013,"registration_date":"20131030"},"target":"normalized","rule_ids":["DATE-REGISTRATION-V1","DATE-PRODUCTION-MONTH-V1"],"sequence":8,"transformer_id":"ts.dates","confidence_effect":0.1},{"after":"month","field":"production_date_precision","before":{"build_month":"201307","vehicle_year":2013,"registration_date":"20131030"},"target":"normalized","rule_ids":["DATE-REGISTRATION-V1","DATE-PRODUCTION-MONTH-V1"],"sequence":9,"transformer_id":"ts.dates","confidence_effect":0.1},{"after":2013,"field":"production_year","before":{"build_month":"201307","vehicle_year":2013,"registration_date":"20131030"},"target":"normalized","rule_ids":["DATE-REGISTRATION-V1","DATE-PRODUCTION-MONTH-V1"],"sequence":10,"transformer_id":"ts.dates","confidence_effect":0.1},{"after":"2013-10-30","field":"registration_date","before":{"build_month":"201307","vehicle_year":2013,"registration_date":"20131030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AURIS","gearbox":"M","variant":"ZRE185(W)","version":"ZRE185L-DWFNPW(2R)"},"target":"normalized","rule_ids":["TRN-001"],"sequence":16,"transformer_id":"ts.transmission","confidence_effect":0.1},{"after":"estate","field":"bodywork_form","before":{"model":"TOYOTA AURIS","variant":"ZRE185(W)","version":"ZRE185L-DWFNPW(2R)","body_code":"AC","eu_category":"M1","vehicle_type":"PB"},"target":"normalized","rule_ids":["BDY-110"],"sequence":17,"transformer_id":"ts.bodywork","confidence_effect":0.1},{"after":"Stationsvagn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ZRE185(W)","version":"ZRE185L-DWFNPW(2R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AURIS","variant":"ZRE185(W)","version":"ZRE185L-DWFNPW(2R)"},"target":"normalized","rule_ids":["FUEL-001"],"sequence":19,"transformer_id":"ts.fuel","confidence_effect":0.0}],"pipeline_version":"normalization-pipeline-v4","candidate_rule_ids":[]}</x:v>
      </x:c>
      <x:c r="Z204" s="36" t="n">
        <x:v>46239.78067015046</x:v>
      </x:c>
      <x:c r="AA204" s="36" t="n">
        <x:v>46239.78067015046</x:v>
      </x:c>
    </x:row>
    <x:row r="205" ht="18" customHeight="1">
      <x:c r="A205" s="36" t="n">
        <x:v>2807</x:v>
      </x:c>
      <x:c r="B205" s="36" t="str">
        <x:v>a1e59aa6-1ce4-5c7d-9370-e6d4acab78e3</x:v>
      </x:c>
      <x:c r="C205" s="36" t="str">
        <x:v>Transportstyrelsen</x:v>
      </x:c>
      <x:c r="D205" s="36" t="str">
        <x:v>normalization-review-passenger-250-v1-rules-20260805T184409855703Z</x:v>
      </x:c>
      <x:c r="E205" s="36" t="str">
        <x:v>staging.transportstyrelsen_raw</x:v>
      </x:c>
      <x:c r="F205" s="36" t="n">
        <x:v>2925</x:v>
      </x:c>
      <x:c r="G205" s="36" t="str">
        <x:v>ts-mapping-v1</x:v>
      </x:c>
      <x:c r="H205" s="36" t="str">
        <x:v>ts-review-20260805T184254528647Z</x:v>
      </x:c>
      <x:c r="I205" s="36" t="str">
        <x:v>normalization-pipeline-v4</x:v>
      </x:c>
      <x:c r="J205" s="36" t="str">
        <x:v>provisional</x:v>
      </x:c>
      <x:c r="K205" s="39" t="n">
        <x:v>0.8</x:v>
      </x:c>
      <x:c r="L205" s="36" t="str">
        <x:v>Volkswagen</x:v>
      </x:c>
      <x:c r="M205" s="36" t="str">
        <x:v>PASSAT</x:v>
      </x:c>
      <x:c r="N205" s="36" t="str">
        <x:v>estate</x:v>
      </x:c>
      <x:c r="O205" s="38" t="str">
        <x:v>["petrol","ethanol"]</x:v>
      </x:c>
      <x:c r="P205" s="36" t="str">
        <x:v>manual</x:v>
      </x:c>
      <x:c r="Q205" s="36" t="n">
        <x:v>2014</x:v>
      </x:c>
      <x:c r="R205" s="38" t="str">
        <x:v>["MFR-BRAND-CONFIRMED","MFR-BRAND-MODEL","MFR-BRAND-VIN-WMI","DATE-REGISTRATION-V1","DATE-PRODUCTION-MONTH-V1","UNIT-POWER-KW-V1","UNIT-DISPLACEMENT-CCM-V1","TRN-001","BDY-110","FUEL-001","FUEL-007","FCOM-F"]</x:v>
      </x:c>
      <x:c r="S205" s="38" t="str">
        <x:v>[]</x:v>
      </x:c>
      <x:c r="T205" s="38" t="str">
        <x:v>[]</x:v>
      </x:c>
      <x:c r="U205" s="38" t="str">
        <x:v>{"market":["SE"],"power_kw":118,"manufacturer":"Volkswagen","bodywork_form":"estate","energy_sources":["petrol","ethanol"],"displacement_cc":1390,"production_date":"2014-07","production_year":2014,"fuel_combination":"flex_fuel","manufacturer_role":"vehicle_manufacturer","power_source_unit":"kw","registration_date":"2014-09-01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05" s="38" t="str">
        <x:v>{"model_family":"PASSAT"}</x:v>
      </x:c>
      <x:c r="W205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-07","field":"production_date","before":{"build_month":"201407","vehicle_year":2014,"registration_date":"20140901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20140901"},"target":"normalized","rule_ids":["DATE-REGISTRATION-V1","DATE-PRODUCTION-MONTH-V1"],"sequence":10,"transformer_id":"ts.dates","confidence_effect":0.1},{"after":2014,"field":"production_year","before":{"build_month":"201407","vehicle_year":2014,"registration_date":"20140901"},"target":"normalized","rule_ids":["DATE-REGISTRATION-V1","DATE-PRODUCTION-MONTH-V1"],"sequence":11,"transformer_id":"ts.dates","confidence_effect":0.1},{"after":"2014-09-01","field":"registration_date","before":{"build_month":"201407","vehicle_year":2014,"registration_date":"20140901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PASSAT","gearbox":"M","variant":"ACCKMAX0","version":"FM6FM62S022STP17MJSNVR4O"},"target":"normalized","rule_ids":["TRN-001"],"sequence":17,"transformer_id":"ts.transmission","confidence_effect":0.1},{"after":"estate","field":"bodywork_form","before":{"model":"PASSAT","variant":"ACCKMAX0","version":"FM6FM62S022STP17MJSNVR4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KMAX0","version":"FM6FM62S022STP17MJSNVR4O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PASSAT","variant":"ACCKMAX0","version":"FM6FM62S022STP17MJSNVR4O","fuel_combo":"F"},"target":"normalized","rule_ids":["FUEL-001","FUEL-007","FCOM-F"],"sequence":20,"transformer_id":"ts.fuel","confidence_effect":0.0},{"after":"flex_fuel","field":"fuel_combination","before":{"fuel1":"1","fuel2":"7","fuel3":"0","model":"PASSAT","variant":"ACCKMAX0","version":"FM6FM62S022STP17MJSNVR4O","fuel_combo":"F"},"target":"normalized","rule_ids":["FUEL-001","FUEL-007","FCOM-F"],"sequence":21,"transformer_id":"ts.fuel","confidence_effect":0.0}]</x:v>
      </x:c>
      <x:c r="X20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205" s="38" t="str">
        <x:v>{"candidates":{"model_family":"PASSAT"},"confidence":0.8,"normalized":{"market":["SE"],"power_kw":118,"manufacturer":"Volkswagen","bodywork_form":"estate","energy_sources":["petrol","ethanol"],"displacement_cc":1390,"production_date":"2014-07","production_year":2014,"fuel_combination":"flex_fuel","manufacturer_role":"vehicle_manufacturer","power_source_unit":"kw","registration_date":"2014-09-01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-07","field":"production_date","before":{"build_month":"201407","vehicle_year":2014,"registration_date":"20140901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20140901"},"target":"normalized","rule_ids":["DATE-REGISTRATION-V1","DATE-PRODUCTION-MONTH-V1"],"sequence":10,"transformer_id":"ts.dates","confidence_effect":0.1},{"after":2014,"field":"production_year","before":{"build_month":"201407","vehicle_year":2014,"registration_date":"20140901"},"target":"normalized","rule_ids":["DATE-REGISTRATION-V1","DATE-PRODUCTION-MONTH-V1"],"sequence":11,"transformer_id":"ts.dates","confidence_effect":0.1},{"after":"2014-09-01","field":"registration_date","before":{"build_month":"201407","vehicle_year":2014,"registration_date":"20140901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PASSAT","gearbox":"M","variant":"ACCKMAX0","version":"FM6FM62S022STP17MJSNVR4O"},"target":"normalized","rule_ids":["TRN-001"],"sequence":17,"transformer_id":"ts.transmission","confidence_effect":0.1},{"after":"estate","field":"bodywork_form","before":{"model":"PASSAT","variant":"ACCKMAX0","version":"FM6FM62S022STP17MJSNVR4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KMAX0","version":"FM6FM62S022STP17MJSNVR4O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PASSAT","variant":"ACCKMAX0","version":"FM6FM62S022STP17MJSNVR4O","fuel_combo":"F"},"target":"normalized","rule_ids":["FUEL-001","FUEL-007","FCOM-F"],"sequence":20,"transformer_id":"ts.fuel","confidence_effect":0.0},{"after":"flex_fuel","field":"fuel_combination","before":{"fuel1":"1","fuel2":"7","fuel3":"0","model":"PASSAT","variant":"ACCKMAX0","version":"FM6FM62S022STP17MJSNVR4O","fuel_combo":"F"},"target":"normalized","rule_ids":["FUEL-001","FUEL-007","FCOM-F"],"sequence":21,"transformer_id":"ts.fuel","confidence_effect":0.0}],"pipeline_version":"normalization-pipeline-v4","candidate_rule_ids":[]}</x:v>
      </x:c>
      <x:c r="Z205" s="36" t="n">
        <x:v>46239.78067015046</x:v>
      </x:c>
      <x:c r="AA205" s="36" t="n">
        <x:v>46239.78067015046</x:v>
      </x:c>
    </x:row>
    <x:row r="206" ht="18" customHeight="1">
      <x:c r="A206" s="36" t="n">
        <x:v>2808</x:v>
      </x:c>
      <x:c r="B206" s="36" t="str">
        <x:v>a34c2631-0497-5575-b102-13cb636c4afa</x:v>
      </x:c>
      <x:c r="C206" s="36" t="str">
        <x:v>Transportstyrelsen</x:v>
      </x:c>
      <x:c r="D206" s="36" t="str">
        <x:v>normalization-review-passenger-250-v1-rules-20260805T184409855703Z</x:v>
      </x:c>
      <x:c r="E206" s="36" t="str">
        <x:v>staging.transportstyrelsen_raw</x:v>
      </x:c>
      <x:c r="F206" s="36" t="n">
        <x:v>2926</x:v>
      </x:c>
      <x:c r="G206" s="36" t="str">
        <x:v>ts-mapping-v1</x:v>
      </x:c>
      <x:c r="H206" s="36" t="str">
        <x:v>ts-review-20260805T184254528647Z</x:v>
      </x:c>
      <x:c r="I206" s="36" t="str">
        <x:v>normalization-pipeline-v4</x:v>
      </x:c>
      <x:c r="J206" s="36" t="str">
        <x:v>provisional</x:v>
      </x:c>
      <x:c r="K206" s="39" t="n">
        <x:v>0.8</x:v>
      </x:c>
      <x:c r="L206" s="36" t="str">
        <x:v>Saab</x:v>
      </x:c>
      <x:c r="M206" s="36"/>
      <x:c r="N206" s="36" t="str">
        <x:v>estate</x:v>
      </x:c>
      <x:c r="O206" s="38" t="str">
        <x:v>["petrol","ethanol"]</x:v>
      </x:c>
      <x:c r="P206" s="36" t="str">
        <x:v>manual</x:v>
      </x:c>
      <x:c r="Q206" s="36" t="n">
        <x:v>2008</x:v>
      </x:c>
      <x:c r="R206" s="38" t="str">
        <x:v>["DATE-REGISTRATION-V1","DATE-PRODUCTION-MONTH-V1","UNIT-POWER-KW-V1","UNIT-DISPLACEMENT-CCM-V1","TRN-001","BDY-110","FUEL-001","FUEL-007"]</x:v>
      </x:c>
      <x:c r="S206" s="38" t="str">
        <x:v>["MFR-BRAND-PREFIX-FALLBACK","MFE-CC8089323A8D5F"]</x:v>
      </x:c>
      <x:c r="T206" s="38" t="str">
        <x:v>[]</x:v>
      </x:c>
      <x:c r="U206" s="38" t="str">
        <x:v>{"market":["SE"],"power_kw":110,"manufacturer":"Saab","bodywork_form":"estate","energy_sources":["petrol","ethanol"],"displacement_cc":1998,"production_date":"2008-01","production_year":2008,"manufacturer_role":"vehicle_manufacturer","power_source_unit":"kw","registration_date":"2008-01-31","transmission_type":"manual","alias_types_present":["plate","vin"],"builder_converter_names":[],"displacement_source_unit":"ccm","production_date_precision":"month","bodywork_registry_label_sv":"Stationsvagn (kombivagn)"}</x:v>
      </x:c>
      <x:c r="V206" s="38" t="str">
        <x:v>{"manufacturer_confirmation":{"source_fields":["brand"],"canonical_name":"Saab"}}</x:v>
      </x:c>
      <x:c r="W2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-01","field":"production_date","before":{"build_month":"200801","vehicle_year":2008,"registration_date":"20080131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20080131"},"target":"normalized","rule_ids":["DATE-REGISTRATION-V1","DATE-PRODUCTION-MONTH-V1"],"sequence":8,"transformer_id":"ts.dates","confidence_effect":0.1},{"after":2008,"field":"production_year","before":{"build_month":"200801","vehicle_year":2008,"registration_date":"20080131"},"target":"normalized","rule_ids":["DATE-REGISTRATION-V1","DATE-PRODUCTION-MONTH-V1"],"sequence":9,"transformer_id":"ts.dates","confidence_effect":0.1},{"after":"2008-01-31","field":"registration_date","before":{"build_month":"200801","vehicle_year":2008,"registration_date":"20080131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/BP","version":"M502"},"target":"normalized","rule_ids":["TRN-001"],"sequence":15,"transformer_id":"ts.transmission","confidence_effect":0.1},{"after":"estate","field":"bodywork_form","before":{"variant":"F5F/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F5F/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F5F/BP","version":"M502"},"target":"normalized","rule_ids":["FUEL-001","FUEL-007"],"sequence":18,"transformer_id":"ts.fuel","confidence_effect":0.0}]</x:v>
      </x:c>
      <x:c r="X20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06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1998,"production_date":"2008-01","production_year":2008,"manufacturer_role":"vehicle_manufacturer","power_source_unit":"kw","registration_date":"2008-01-31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-01","field":"production_date","before":{"build_month":"200801","vehicle_year":2008,"registration_date":"20080131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20080131"},"target":"normalized","rule_ids":["DATE-REGISTRATION-V1","DATE-PRODUCTION-MONTH-V1"],"sequence":8,"transformer_id":"ts.dates","confidence_effect":0.1},{"after":2008,"field":"production_year","before":{"build_month":"200801","vehicle_year":2008,"registration_date":"20080131"},"target":"normalized","rule_ids":["DATE-REGISTRATION-V1","DATE-PRODUCTION-MONTH-V1"],"sequence":9,"transformer_id":"ts.dates","confidence_effect":0.1},{"after":"2008-01-31","field":"registration_date","before":{"build_month":"200801","vehicle_year":2008,"registration_date":"20080131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/BP","version":"M502"},"target":"normalized","rule_ids":["TRN-001"],"sequence":15,"transformer_id":"ts.transmission","confidence_effect":0.1},{"after":"estate","field":"bodywork_form","before":{"variant":"F5F/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F5F/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F5F/BP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206" s="36" t="n">
        <x:v>46239.78067015046</x:v>
      </x:c>
      <x:c r="AA206" s="36" t="n">
        <x:v>46239.78067015046</x:v>
      </x:c>
    </x:row>
    <x:row r="207" ht="18" customHeight="1">
      <x:c r="A207" s="36" t="n">
        <x:v>2809</x:v>
      </x:c>
      <x:c r="B207" s="36" t="str">
        <x:v>20cc8701-b6e8-5ac4-aaf2-bd1c2245aedb</x:v>
      </x:c>
      <x:c r="C207" s="36" t="str">
        <x:v>Transportstyrelsen</x:v>
      </x:c>
      <x:c r="D207" s="36" t="str">
        <x:v>normalization-review-passenger-250-v1-rules-20260805T184409855703Z</x:v>
      </x:c>
      <x:c r="E207" s="36" t="str">
        <x:v>staging.transportstyrelsen_raw</x:v>
      </x:c>
      <x:c r="F207" s="36" t="n">
        <x:v>2927</x:v>
      </x:c>
      <x:c r="G207" s="36" t="str">
        <x:v>ts-mapping-v1</x:v>
      </x:c>
      <x:c r="H207" s="36" t="str">
        <x:v>ts-review-20260805T184254528647Z</x:v>
      </x:c>
      <x:c r="I207" s="36" t="str">
        <x:v>normalization-pipeline-v4</x:v>
      </x:c>
      <x:c r="J207" s="36" t="str">
        <x:v>provisional</x:v>
      </x:c>
      <x:c r="K207" s="39" t="n">
        <x:v>0.8</x:v>
      </x:c>
      <x:c r="L207" s="36" t="str">
        <x:v>Subaru</x:v>
      </x:c>
      <x:c r="M207" s="36"/>
      <x:c r="N207" s="36" t="str">
        <x:v>estate</x:v>
      </x:c>
      <x:c r="O207" s="38" t="str">
        <x:v>["petrol"]</x:v>
      </x:c>
      <x:c r="P207" s="36" t="str">
        <x:v>automatic</x:v>
      </x:c>
      <x:c r="Q207" s="36" t="n">
        <x:v>2008</x:v>
      </x:c>
      <x:c r="R207" s="38" t="str">
        <x:v>["DATE-REGISTRATION-V1","DATE-PRODUCTION-MONTH-V1","UNIT-POWER-KW-V1","UNIT-DISPLACEMENT-CCM-V1","TRN-002","BDY-110","FUEL-001"]</x:v>
      </x:c>
      <x:c r="S207" s="38" t="str">
        <x:v>["MFR-BRAND-PREFIX-FALLBACK","DRV-008"]</x:v>
      </x:c>
      <x:c r="T207" s="38" t="str">
        <x:v>[]</x:v>
      </x:c>
      <x:c r="U207" s="38" t="str">
        <x:v>{"market":["SE"],"power_kw":110,"manufacturer":"Subaru","bodywork_form":"estate","energy_sources":["petrol"],"displacement_cc":1994,"production_date":"2008-01","production_year":2008,"manufacturer_role":"vehicle_manufacturer","power_source_unit":"kw","registration_date":"2008-04-30","transmission_type":"automatic","alias_types_present":["plate","vin"],"builder_converter_names":[],"displacement_source_unit":"ccm","production_date_precision":"month","bodywork_registry_label_sv":"Stationsvagn (kombivagn)"}</x:v>
      </x:c>
      <x:c r="V207" s="38" t="str">
        <x:v>{"drive_type":"awd","manufacturer_confirmation":{"source_fields":["brand"],"canonical_name":"Subaru"}}</x:v>
      </x:c>
      <x:c r="W2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FORESTER","target":"normalized","rule_ids":["MFR-CLASSIFY-V1"],"sequence":3,"transformer_id":"ts.manufacturer","confidence_effect":0.2},{"after":"Subaru","field":"manufacturer","before":"SUBARU FORESTER","target":"normalized","rule_ids":["MFR-CLASSIFY-V1"],"sequence":4,"transformer_id":"ts.manufacturer","confidence_effect":0.2},{"after":"vehicle_manufacturer","field":"manufacturer_role","before":"SUBARU FORESTER","target":"normalized","rule_ids":["MFR-CLASSIFY-V1"],"sequence":5,"transformer_id":"ts.manufacturer","confidence_effect":0.2},{"after":{"source_fields":["brand"],"canonical_name":"Subaru"},"field":"manufacturer_confirmation","before":"SUBARU FORESTER","target":"candidate","rule_ids":["MFR-BRAND-PREFIX-FALLBACK"],"sequence":6,"transformer_id":"ts.manufacturer","confidence_effect":0.05},{"after":"2008-01","field":"production_date","before":{"build_month":"200801","vehicle_year":2008,"registration_date":"20080430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20080430"},"target":"normalized","rule_ids":["DATE-REGISTRATION-V1","DATE-PRODUCTION-MONTH-V1"],"sequence":8,"transformer_id":"ts.dates","confidence_effect":0.1},{"after":2008,"field":"production_year","before":{"build_month":"200801","vehicle_year":2008,"registration_date":"20080430"},"target":"normalized","rule_ids":["DATE-REGISTRATION-V1","DATE-PRODUCTION-MONTH-V1"],"sequence":9,"transformer_id":"ts.dates","confidence_effect":0.1},{"after":"2008-04-30","field":"registration_date","before":{"build_month":"200801","vehicle_year":2008,"registration_date":"20080430"},"target":"normalized","rule_ids":["DATE-REGISTRATION-V1","DATE-PRODUCTION-MONTH-V1"],"sequence":10,"transformer_id":"ts.dates","confidence_effect":0.1},{"after":1994,"field":"displacement_cc","before":{"kw":110,"ccm":1994},"target":"normalized","rule_ids":["UNIT-POWER-KW-V1","UNIT-DISPLACEMENT-CCM-V1"],"sequence":11,"transformer_id":"ts.engine-measurements","confidence_effect":0.1},{"after":"ccm","field":"displacement_source_unit","before":{"kw":110,"ccm":1994},"target":"normalized","rule_ids":["UNIT-POWER-KW-V1","UNIT-DISPLACEMENT-CCM-V1"],"sequence":12,"transformer_id":"ts.engine-measurements","confidence_effect":0.1},{"after":110,"field":"power_kw","before":{"kw":110,"ccm":1994},"target":"normalized","rule_ids":["UNIT-POWER-KW-V1","UNIT-DISPLACEMENT-CCM-V1"],"sequence":13,"transformer_id":"ts.engine-measurements","confidence_effect":0.1},{"after":"kw","field":"power_source_unit","before":{"kw":110,"ccm":1994},"target":"normalized","rule_ids":["UNIT-POWER-KW-V1","UNIT-DISPLACEMENT-CCM-V1"],"sequence":14,"transformer_id":"ts.engine-measurements","confidence_effect":0.1},{"after":"automatic","field":"transmission_type","before":{"gearbox":"A","variant":"SH5","version":"530"},"target":"normalized","rule_ids":["TRN-002"],"sequence":15,"transformer_id":"ts.transmission","confidence_effect":0.1},{"after":"estate","field":"bodywork_form","before":{"variant":"SH5","version":"530","body_code":"AC","eu_category":"M1","vehicle_type":"PB"},"target":"normalized","rule_ids":["BDY-110"],"sequence":16,"transformer_id":"ts.bodywork","confidence_effect":0.1},{"after":"Stationsvagn (kombivagn)","field":"bodywork_registry_label_sv","before":{"variant":"SH5","version":"530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SH5","version":"530"},"target":"normalized","rule_ids":["FUEL-001"],"sequence":19,"transformer_id":"ts.fuel","confidence_effect":0.0}]</x:v>
      </x:c>
      <x:c r="X20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7" s="38" t="str">
        <x:v>{"candidates":{"drive_type":"awd","manufacturer_confirmation":{"source_fields":["brand"],"canonical_name":"Subaru"}},"confidence":0.8,"normalized":{"market":["SE"],"power_kw":110,"manufacturer":"Subaru","bodywork_form":"estate","energy_sources":["petrol"],"displacement_cc":1994,"production_date":"2008-01","production_year":2008,"manufacturer_role":"vehicle_manufacturer","power_source_unit":"kw","registration_date":"2008-04-30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FORESTER","target":"normalized","rule_ids":["MFR-CLASSIFY-V1"],"sequence":3,"transformer_id":"ts.manufacturer","confidence_effect":0.2},{"after":"Subaru","field":"manufacturer","before":"SUBARU FORESTER","target":"normalized","rule_ids":["MFR-CLASSIFY-V1"],"sequence":4,"transformer_id":"ts.manufacturer","confidence_effect":0.2},{"after":"vehicle_manufacturer","field":"manufacturer_role","before":"SUBARU FORESTER","target":"normalized","rule_ids":["MFR-CLASSIFY-V1"],"sequence":5,"transformer_id":"ts.manufacturer","confidence_effect":0.2},{"after":{"source_fields":["brand"],"canonical_name":"Subaru"},"field":"manufacturer_confirmation","before":"SUBARU FORESTER","target":"candidate","rule_ids":["MFR-BRAND-PREFIX-FALLBACK"],"sequence":6,"transformer_id":"ts.manufacturer","confidence_effect":0.05},{"after":"2008-01","field":"production_date","before":{"build_month":"200801","vehicle_year":2008,"registration_date":"20080430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20080430"},"target":"normalized","rule_ids":["DATE-REGISTRATION-V1","DATE-PRODUCTION-MONTH-V1"],"sequence":8,"transformer_id":"ts.dates","confidence_effect":0.1},{"after":2008,"field":"production_year","before":{"build_month":"200801","vehicle_year":2008,"registration_date":"20080430"},"target":"normalized","rule_ids":["DATE-REGISTRATION-V1","DATE-PRODUCTION-MONTH-V1"],"sequence":9,"transformer_id":"ts.dates","confidence_effect":0.1},{"after":"2008-04-30","field":"registration_date","before":{"build_month":"200801","vehicle_year":2008,"registration_date":"20080430"},"target":"normalized","rule_ids":["DATE-REGISTRATION-V1","DATE-PRODUCTION-MONTH-V1"],"sequence":10,"transformer_id":"ts.dates","confidence_effect":0.1},{"after":1994,"field":"displacement_cc","before":{"kw":110,"ccm":1994},"target":"normalized","rule_ids":["UNIT-POWER-KW-V1","UNIT-DISPLACEMENT-CCM-V1"],"sequence":11,"transformer_id":"ts.engine-measurements","confidence_effect":0.1},{"after":"ccm","field":"displacement_source_unit","before":{"kw":110,"ccm":1994},"target":"normalized","rule_ids":["UNIT-POWER-KW-V1","UNIT-DISPLACEMENT-CCM-V1"],"sequence":12,"transformer_id":"ts.engine-measurements","confidence_effect":0.1},{"after":110,"field":"power_kw","before":{"kw":110,"ccm":1994},"target":"normalized","rule_ids":["UNIT-POWER-KW-V1","UNIT-DISPLACEMENT-CCM-V1"],"sequence":13,"transformer_id":"ts.engine-measurements","confidence_effect":0.1},{"after":"kw","field":"power_source_unit","before":{"kw":110,"ccm":1994},"target":"normalized","rule_ids":["UNIT-POWER-KW-V1","UNIT-DISPLACEMENT-CCM-V1"],"sequence":14,"transformer_id":"ts.engine-measurements","confidence_effect":0.1},{"after":"automatic","field":"transmission_type","before":{"gearbox":"A","variant":"SH5","version":"530"},"target":"normalized","rule_ids":["TRN-002"],"sequence":15,"transformer_id":"ts.transmission","confidence_effect":0.1},{"after":"estate","field":"bodywork_form","before":{"variant":"SH5","version":"530","body_code":"AC","eu_category":"M1","vehicle_type":"PB"},"target":"normalized","rule_ids":["BDY-110"],"sequence":16,"transformer_id":"ts.bodywork","confidence_effect":0.1},{"after":"Stationsvagn (kombivagn)","field":"bodywork_registry_label_sv","before":{"variant":"SH5","version":"530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SH5","version":"530"},"target":"normalized","rule_ids":["FUEL-001"],"sequence":19,"transformer_id":"ts.fuel","confidence_effect":0.0}],"pipeline_version":"normalization-pipeline-v4","candidate_rule_ids":["MFR-BRAND-PREFIX-FALLBACK","DRV-008"]}</x:v>
      </x:c>
      <x:c r="Z207" s="36" t="n">
        <x:v>46239.78067015046</x:v>
      </x:c>
      <x:c r="AA207" s="36" t="n">
        <x:v>46239.78067015046</x:v>
      </x:c>
    </x:row>
    <x:row r="208" ht="18" customHeight="1">
      <x:c r="A208" s="36" t="n">
        <x:v>2810</x:v>
      </x:c>
      <x:c r="B208" s="36" t="str">
        <x:v>cd2e6874-1409-531d-a5f6-60ca3a2b68a5</x:v>
      </x:c>
      <x:c r="C208" s="36" t="str">
        <x:v>Transportstyrelsen</x:v>
      </x:c>
      <x:c r="D208" s="36" t="str">
        <x:v>normalization-review-passenger-250-v1-rules-20260805T184409855703Z</x:v>
      </x:c>
      <x:c r="E208" s="36" t="str">
        <x:v>staging.transportstyrelsen_raw</x:v>
      </x:c>
      <x:c r="F208" s="36" t="n">
        <x:v>2928</x:v>
      </x:c>
      <x:c r="G208" s="36" t="str">
        <x:v>ts-mapping-v1</x:v>
      </x:c>
      <x:c r="H208" s="36" t="str">
        <x:v>ts-review-20260805T184254528647Z</x:v>
      </x:c>
      <x:c r="I208" s="36" t="str">
        <x:v>normalization-pipeline-v4</x:v>
      </x:c>
      <x:c r="J208" s="36" t="str">
        <x:v>provisional</x:v>
      </x:c>
      <x:c r="K208" s="39" t="n">
        <x:v>0.8</x:v>
      </x:c>
      <x:c r="L208" s="36" t="str">
        <x:v>Volvo</x:v>
      </x:c>
      <x:c r="M208" s="36" t="str">
        <x:v>V60</x:v>
      </x:c>
      <x:c r="N208" s="36" t="str">
        <x:v>estate</x:v>
      </x:c>
      <x:c r="O208" s="38" t="str">
        <x:v>["diesel"]</x:v>
      </x:c>
      <x:c r="P208" s="36" t="str">
        <x:v>automatic</x:v>
      </x:c>
      <x:c r="Q208" s="36" t="n">
        <x:v>2018</x:v>
      </x:c>
      <x:c r="R208" s="38" t="str">
        <x:v>["MFR-BRAND-CONFIRMED","MFR-BRAND-MODEL","MFR-BRAND-VIN-WMI","DATE-REGISTRATION-V1","DATE-PRODUCTION-MONTH-V1","UNIT-POWER-KW-V1","UNIT-DISPLACEMENT-CCM-V1","TRN-002","BDY-110","FUEL-002"]</x:v>
      </x:c>
      <x:c r="S208" s="38" t="str">
        <x:v>["DRV-008"]</x:v>
      </x:c>
      <x:c r="T208" s="38" t="str">
        <x:v>[]</x:v>
      </x:c>
      <x:c r="U208" s="38" t="str">
        <x:v>{"market":["SE"],"power_kw":140,"manufacturer":"Volvo","bodywork_form":"estate","energy_sources":["diesel"],"displacement_cc":1969,"production_date":"2018-12","production_year":2018,"manufacturer_role":"vehicle_manufacturer","power_source_unit":"kw","registration_date":"2019-03-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08" s="38" t="str">
        <x:v>{"drive_type":"awd","model_family":"V60"}</x:v>
      </x:c>
      <x:c r="W2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2018-12","field":"production_date","before":{"build_month":"201812","vehicle_year":2018,"registration_date":"20190326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20190326"},"target":"normalized","rule_ids":["DATE-REGISTRATION-V1","DATE-PRODUCTION-MONTH-V1"],"sequence":9,"transformer_id":"ts.dates","confidence_effect":0.1},{"after":2018,"field":"production_year","before":{"build_month":"201812","vehicle_year":2018,"registration_date":"20190326"},"target":"normalized","rule_ids":["DATE-REGISTRATION-V1","DATE-PRODUCTION-MONTH-V1"],"sequence":10,"transformer_id":"ts.dates","confidence_effect":0.1},{"after":"2019-03-26","field":"registration_date","before":{"build_month":"201812","vehicle_year":2018,"registration_date":"20190326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C0?"},"target":"normalized","rule_ids":["TRN-002"],"sequence":16,"transformer_id":"ts.transmission","confidence_effect":0.1},{"after":"estate","field":"bodywork_form","before":{"model":"V60","variant":"ZWA8","version":"ZWA8V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8","version":"ZWA8VC0?"},"target":"normalized","rule_ids":["FUEL-002"],"sequence":20,"transformer_id":"ts.fuel","confidence_effect":0.0}]</x:v>
      </x:c>
      <x:c r="X20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08" s="38" t="str">
        <x:v>{"candidates":{"drive_type":"awd","model_family":"V60"},"confidence":0.8,"normalized":{"market":["SE"],"power_kw":140,"manufacturer":"Volvo","bodywork_form":"estate","energy_sources":["diesel"],"displacement_cc":1969,"production_date":"2018-12","production_year":2018,"manufacturer_role":"vehicle_manufacturer","power_source_unit":"kw","registration_date":"2019-03-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2018-12","field":"production_date","before":{"build_month":"201812","vehicle_year":2018,"registration_date":"20190326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20190326"},"target":"normalized","rule_ids":["DATE-REGISTRATION-V1","DATE-PRODUCTION-MONTH-V1"],"sequence":9,"transformer_id":"ts.dates","confidence_effect":0.1},{"after":2018,"field":"production_year","before":{"build_month":"201812","vehicle_year":2018,"registration_date":"20190326"},"target":"normalized","rule_ids":["DATE-REGISTRATION-V1","DATE-PRODUCTION-MONTH-V1"],"sequence":10,"transformer_id":"ts.dates","confidence_effect":0.1},{"after":"2019-03-26","field":"registration_date","before":{"build_month":"201812","vehicle_year":2018,"registration_date":"20190326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C0?"},"target":"normalized","rule_ids":["TRN-002"],"sequence":16,"transformer_id":"ts.transmission","confidence_effect":0.1},{"after":"estate","field":"bodywork_form","before":{"model":"V60","variant":"ZWA8","version":"ZWA8V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8","version":"ZWA8VC0?"},"target":"normalized","rule_ids":["FUEL-002"],"sequence":20,"transformer_id":"ts.fuel","confidence_effect":0.0}],"pipeline_version":"normalization-pipeline-v4","candidate_rule_ids":["DRV-008"]}</x:v>
      </x:c>
      <x:c r="Z208" s="36" t="n">
        <x:v>46239.78067015046</x:v>
      </x:c>
      <x:c r="AA208" s="36" t="n">
        <x:v>46239.78067015046</x:v>
      </x:c>
    </x:row>
    <x:row r="209" ht="18" customHeight="1">
      <x:c r="A209" s="36" t="n">
        <x:v>2811</x:v>
      </x:c>
      <x:c r="B209" s="36" t="str">
        <x:v>b9f75cde-0303-5f1f-951b-85571b432b4a</x:v>
      </x:c>
      <x:c r="C209" s="36" t="str">
        <x:v>Transportstyrelsen</x:v>
      </x:c>
      <x:c r="D209" s="36" t="str">
        <x:v>normalization-review-passenger-250-v1-rules-20260805T184409855703Z</x:v>
      </x:c>
      <x:c r="E209" s="36" t="str">
        <x:v>staging.transportstyrelsen_raw</x:v>
      </x:c>
      <x:c r="F209" s="36" t="n">
        <x:v>2929</x:v>
      </x:c>
      <x:c r="G209" s="36" t="str">
        <x:v>ts-mapping-v1</x:v>
      </x:c>
      <x:c r="H209" s="36" t="str">
        <x:v>ts-review-20260805T184254528647Z</x:v>
      </x:c>
      <x:c r="I209" s="36" t="str">
        <x:v>normalization-pipeline-v4</x:v>
      </x:c>
      <x:c r="J209" s="36" t="str">
        <x:v>provisional</x:v>
      </x:c>
      <x:c r="K209" s="39" t="n">
        <x:v>0.8</x:v>
      </x:c>
      <x:c r="L209" s="36" t="str">
        <x:v>Toyota</x:v>
      </x:c>
      <x:c r="M209" s="36" t="str">
        <x:v>TOYOTA YARIS</x:v>
      </x:c>
      <x:c r="N209" s="36" t="str">
        <x:v>multi_purpose_vehicle</x:v>
      </x:c>
      <x:c r="O209" s="38" t="str">
        <x:v>["petrol"]</x:v>
      </x:c>
      <x:c r="P209" s="36" t="str">
        <x:v>manual</x:v>
      </x:c>
      <x:c r="Q209" s="36" t="n">
        <x:v>2014</x:v>
      </x:c>
      <x:c r="R209" s="38" t="str">
        <x:v>["MFR-BRAND-CONFIRMED","MFR-BRAND-MODEL","DATE-REGISTRATION-V1","DATE-PRODUCTION-MONTH-V1","UNIT-POWER-KW-V1","UNIT-DISPLACEMENT-CCM-V1","TRN-001","BDY-113","FUEL-001"]</x:v>
      </x:c>
      <x:c r="S209" s="38" t="str">
        <x:v>[]</x:v>
      </x:c>
      <x:c r="T209" s="38" t="str">
        <x:v>[]</x:v>
      </x:c>
      <x:c r="U209" s="38" t="str">
        <x:v>{"market":["SE"],"power_kw":73,"manufacturer":"Toyota","bodywork_form":"multi_purpose_vehicle","energy_sources":["petrol"],"displacement_cc":1329,"production_date":"2014-03","production_year":2014,"manufacturer_role":"vehicle_manufacturer","power_source_unit":"kw","registration_date":"2014-03-26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09" s="38" t="str">
        <x:v>{"model_family":"TOYOTA YARIS"}</x:v>
      </x:c>
      <x:c r="W2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2014-03","field":"production_date","before":{"build_month":"201403","vehicle_year":2014,"registration_date":"20140326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20140326"},"target":"normalized","rule_ids":["DATE-REGISTRATION-V1","DATE-PRODUCTION-MONTH-V1"],"sequence":9,"transformer_id":"ts.dates","confidence_effect":0.1},{"after":2014,"field":"production_year","before":{"build_month":"201403","vehicle_year":2014,"registration_date":"20140326"},"target":"normalized","rule_ids":["DATE-REGISTRATION-V1","DATE-PRODUCTION-MONTH-V1"],"sequence":10,"transformer_id":"ts.dates","confidence_effect":0.1},{"after":"2014-03-26","field":"registration_date","before":{"build_month":"201403","vehicle_year":2014,"registration_date":"20140326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YARIS","gearbox":"M","variant":"NSP13F(MH)","version":"NSP130L-CHFNKW(2G)"},"target":"normalized","rule_ids":["TRN-001"],"sequence":16,"transformer_id":"ts.transmission","confidence_effect":0.1},{"after":"multi_purpose_vehicle","field":"bodywork_form","before":{"model":"TOYOTA YARIS","variant":"NSP13F(MH)","version":"NSP130L-CHFNKW(2G)","body_code":"AF","eu_category":"M1","vehicle_type":"PB"},"target":"normalized","rule_ids":["BDY-113"],"sequence":17,"transformer_id":"ts.bodywork","confidence_effect":0.1},{"after":"Fordon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NKW(2G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YARIS","variant":"NSP13F(MH)","version":"NSP130L-CHFNKW(2G)"},"target":"normalized","rule_ids":["FUEL-001"],"sequence":19,"transformer_id":"ts.fuel","confidence_effect":0.0}]</x:v>
      </x:c>
      <x:c r="X20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9" s="38" t="str">
        <x:v>{"candidates":{"model_family":"TOYOTA YARIS"},"confidence":0.8,"normalized":{"market":["SE"],"power_kw":73,"manufacturer":"Toyota","bodywork_form":"multi_purpose_vehicle","energy_sources":["petrol"],"displacement_cc":1329,"production_date":"2014-03","production_year":2014,"manufacturer_role":"vehicle_manufacturer","power_source_unit":"kw","registration_date":"2014-03-26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2014-03","field":"production_date","before":{"build_month":"201403","vehicle_year":2014,"registration_date":"20140326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20140326"},"target":"normalized","rule_ids":["DATE-REGISTRATION-V1","DATE-PRODUCTION-MONTH-V1"],"sequence":9,"transformer_id":"ts.dates","confidence_effect":0.1},{"after":2014,"field":"production_year","before":{"build_month":"201403","vehicle_year":2014,"registration_date":"20140326"},"target":"normalized","rule_ids":["DATE-REGISTRATION-V1","DATE-PRODUCTION-MONTH-V1"],"sequence":10,"transformer_id":"ts.dates","confidence_effect":0.1},{"after":"2014-03-26","field":"registration_date","before":{"build_month":"201403","vehicle_year":2014,"registration_date":"20140326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YARIS","gearbox":"M","variant":"NSP13F(MH)","version":"NSP130L-CHFNKW(2G)"},"target":"normalized","rule_ids":["TRN-001"],"sequence":16,"transformer_id":"ts.transmission","confidence_effect":0.1},{"after":"multi_purpose_vehicle","field":"bodywork_form","before":{"model":"TOYOTA YARIS","variant":"NSP13F(MH)","version":"NSP130L-CHFNKW(2G)","body_code":"AF","eu_category":"M1","vehicle_type":"PB"},"target":"normalized","rule_ids":["BDY-113"],"sequence":17,"transformer_id":"ts.bodywork","confidence_effect":0.1},{"after":"Fordon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NKW(2G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YARIS","variant":"NSP13F(MH)","version":"NSP130L-CHFNKW(2G)"},"target":"normalized","rule_ids":["FUEL-001"],"sequence":19,"transformer_id":"ts.fuel","confidence_effect":0.0}],"pipeline_version":"normalization-pipeline-v4","candidate_rule_ids":[]}</x:v>
      </x:c>
      <x:c r="Z209" s="36" t="n">
        <x:v>46239.78067015046</x:v>
      </x:c>
      <x:c r="AA209" s="36" t="n">
        <x:v>46239.78067015046</x:v>
      </x:c>
    </x:row>
    <x:row r="210" ht="18" customHeight="1">
      <x:c r="A210" s="36" t="n">
        <x:v>2812</x:v>
      </x:c>
      <x:c r="B210" s="36" t="str">
        <x:v>1b052880-a07c-5391-a40a-cf3e88a655c0</x:v>
      </x:c>
      <x:c r="C210" s="36" t="str">
        <x:v>Transportstyrelsen</x:v>
      </x:c>
      <x:c r="D210" s="36" t="str">
        <x:v>normalization-review-passenger-250-v1-rules-20260805T184409855703Z</x:v>
      </x:c>
      <x:c r="E210" s="36" t="str">
        <x:v>staging.transportstyrelsen_raw</x:v>
      </x:c>
      <x:c r="F210" s="36" t="n">
        <x:v>2930</x:v>
      </x:c>
      <x:c r="G210" s="36" t="str">
        <x:v>ts-mapping-v1</x:v>
      </x:c>
      <x:c r="H210" s="36" t="str">
        <x:v>ts-review-20260805T184254528647Z</x:v>
      </x:c>
      <x:c r="I210" s="36" t="str">
        <x:v>normalization-pipeline-v4</x:v>
      </x:c>
      <x:c r="J210" s="36" t="str">
        <x:v>provisional</x:v>
      </x:c>
      <x:c r="K210" s="39" t="n">
        <x:v>0.8</x:v>
      </x:c>
      <x:c r="L210" s="36" t="str">
        <x:v>Volvo</x:v>
      </x:c>
      <x:c r="M210" s="36" t="str">
        <x:v>XC40</x:v>
      </x:c>
      <x:c r="N210" s="36" t="str">
        <x:v>estate</x:v>
      </x:c>
      <x:c r="O210" s="38" t="str">
        <x:v>["petrol","electricity"]</x:v>
      </x:c>
      <x:c r="P210" s="36" t="str">
        <x:v>automatic</x:v>
      </x:c>
      <x:c r="Q210" s="36" t="n">
        <x:v>2021</x:v>
      </x:c>
      <x:c r="R210" s="38" t="str">
        <x:v>["MFR-102","DATE-REGISTRATION-V1","DATE-PRODUCTION-DAY-V1","UNIT-POWER-KW-V1","UNIT-DISPLACEMENT-CCM-V1","TRN-002","BDY-110","FUEL-001","ELEC-002"]</x:v>
      </x:c>
      <x:c r="S210" s="38" t="str">
        <x:v>[]</x:v>
      </x:c>
      <x:c r="T210" s="38" t="str">
        <x:v>[]</x:v>
      </x:c>
      <x:c r="U210" s="38" t="str">
        <x:v>{"market":["SE"],"power_kw":145,"manufacturer":"Volvo","bodywork_form":"estate","energy_sources":["petrol","electricity"],"displacement_cc":1969,"production_date":"2021-01-12","production_year":2021,"manufacturer_role":"vehicle_manufacturer","power_source_unit":"kw","registration_date":"2021-02-09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210" s="38" t="str">
        <x:v>{"model_family":"XC40"}</x:v>
      </x:c>
      <x:c r="W2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-01-12","field":"production_date","before":{"build_date":"20210112","build_month":"202101","vehicle_year":2021,"registration_date":"20210209"},"target":"normalized","rule_ids":["DATE-REGISTRATION-V1","DATE-PRODUCTION-DAY-V1"],"sequence":8,"transformer_id":"ts.dates","confidence_effect":0.1},{"after":"day","field":"production_date_precision","before":{"build_date":"20210112","build_month":"202101","vehicle_year":2021,"registration_date":"20210209"},"target":"normalized","rule_ids":["DATE-REGISTRATION-V1","DATE-PRODUCTION-DAY-V1"],"sequence":9,"transformer_id":"ts.dates","confidence_effect":0.1},{"after":2021,"field":"production_year","before":{"build_date":"20210112","build_month":"202101","vehicle_year":2021,"registration_date":"20210209"},"target":"normalized","rule_ids":["DATE-REGISTRATION-V1","DATE-PRODUCTION-DAY-V1"],"sequence":10,"transformer_id":"ts.dates","confidence_effect":0.1},{"after":"2021-02-09","field":"registration_date","before":{"build_date":"20210112","build_month":"202101","vehicle_year":2021,"registration_date":"20210209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40","gearbox":"A","variant":"XZK9","version":"XZK9VD0?"},"target":"normalized","rule_ids":["TRN-002"],"sequence":16,"transformer_id":"ts.transmission","confidence_effect":0.1},{"after":"estate","field":"bodywork_form","before":{"model":"XC40","variant":"XZK9","version":"XZK9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9","version":"XZK9VD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9","version":"XZK9VD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9","version":"XZK9VD0?","ev_config":"ELHYBRID"},"target":"normalized","rule_ids":["FUEL-001","ELEC-002"],"sequence":20,"transformer_id":"ts.fuel","confidence_effect":0.0}]</x:v>
      </x:c>
      <x:c r="X21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10" s="38" t="str">
        <x:v>{"candidates":{"model_family":"XC40"},"confidence":0.8,"normalized":{"market":["SE"],"power_kw":145,"manufacturer":"Volvo","bodywork_form":"estate","energy_sources":["petrol","electricity"],"displacement_cc":1969,"production_date":"2021-01-12","production_year":2021,"manufacturer_role":"vehicle_manufacturer","power_source_unit":"kw","registration_date":"2021-02-09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-01-12","field":"production_date","before":{"build_date":"20210112","build_month":"202101","vehicle_year":2021,"registration_date":"20210209"},"target":"normalized","rule_ids":["DATE-REGISTRATION-V1","DATE-PRODUCTION-DAY-V1"],"sequence":8,"transformer_id":"ts.dates","confidence_effect":0.1},{"after":"day","field":"production_date_precision","before":{"build_date":"20210112","build_month":"202101","vehicle_year":2021,"registration_date":"20210209"},"target":"normalized","rule_ids":["DATE-REGISTRATION-V1","DATE-PRODUCTION-DAY-V1"],"sequence":9,"transformer_id":"ts.dates","confidence_effect":0.1},{"after":2021,"field":"production_year","before":{"build_date":"20210112","build_month":"202101","vehicle_year":2021,"registration_date":"20210209"},"target":"normalized","rule_ids":["DATE-REGISTRATION-V1","DATE-PRODUCTION-DAY-V1"],"sequence":10,"transformer_id":"ts.dates","confidence_effect":0.1},{"after":"2021-02-09","field":"registration_date","before":{"build_date":"20210112","build_month":"202101","vehicle_year":2021,"registration_date":"20210209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40","gearbox":"A","variant":"XZK9","version":"XZK9VD0?"},"target":"normalized","rule_ids":["TRN-002"],"sequence":16,"transformer_id":"ts.transmission","confidence_effect":0.1},{"after":"estate","field":"bodywork_form","before":{"model":"XC40","variant":"XZK9","version":"XZK9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9","version":"XZK9VD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9","version":"XZK9VD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9","version":"XZK9VD0?","ev_config":"ELHYBRID"},"target":"normalized","rule_ids":["FUEL-001","ELEC-002"],"sequence":20,"transformer_id":"ts.fuel","confidence_effect":0.0}],"pipeline_version":"normalization-pipeline-v4","candidate_rule_ids":[]}</x:v>
      </x:c>
      <x:c r="Z210" s="36" t="n">
        <x:v>46239.78067015046</x:v>
      </x:c>
      <x:c r="AA210" s="36" t="n">
        <x:v>46239.78067015046</x:v>
      </x:c>
    </x:row>
    <x:row r="211" ht="18" customHeight="1">
      <x:c r="A211" s="36" t="n">
        <x:v>2813</x:v>
      </x:c>
      <x:c r="B211" s="36" t="str">
        <x:v>50f08e14-b5c4-5d41-9cf2-fd9f71339547</x:v>
      </x:c>
      <x:c r="C211" s="36" t="str">
        <x:v>Transportstyrelsen</x:v>
      </x:c>
      <x:c r="D211" s="36" t="str">
        <x:v>normalization-review-passenger-250-v1-rules-20260805T184409855703Z</x:v>
      </x:c>
      <x:c r="E211" s="36" t="str">
        <x:v>staging.transportstyrelsen_raw</x:v>
      </x:c>
      <x:c r="F211" s="36" t="n">
        <x:v>2931</x:v>
      </x:c>
      <x:c r="G211" s="36" t="str">
        <x:v>ts-mapping-v1</x:v>
      </x:c>
      <x:c r="H211" s="36" t="str">
        <x:v>ts-review-20260805T184254528647Z</x:v>
      </x:c>
      <x:c r="I211" s="36" t="str">
        <x:v>normalization-pipeline-v4</x:v>
      </x:c>
      <x:c r="J211" s="36" t="str">
        <x:v>provisional</x:v>
      </x:c>
      <x:c r="K211" s="39" t="n">
        <x:v>0.8</x:v>
      </x:c>
      <x:c r="L211" s="36" t="str">
        <x:v>Mazda</x:v>
      </x:c>
      <x:c r="M211" s="36"/>
      <x:c r="N211" s="36" t="str">
        <x:v>hatchback</x:v>
      </x:c>
      <x:c r="O211" s="38" t="str">
        <x:v>["petrol"]</x:v>
      </x:c>
      <x:c r="P211" s="36" t="str">
        <x:v>automatic</x:v>
      </x:c>
      <x:c r="Q211" s="36" t="n">
        <x:v>2007</x:v>
      </x:c>
      <x:c r="R211" s="38" t="str">
        <x:v>["DATE-REGISTRATION-V1","DATE-PRODUCTION-MONTH-V1","UNIT-POWER-KW-V1","UNIT-DISPLACEMENT-CCM-V1","TRN-002","BDY-109","FUEL-001"]</x:v>
      </x:c>
      <x:c r="S211" s="38" t="str">
        <x:v>["MFR-BRAND-PREFIX-FALLBACK","MFE-93F566BF966539"]</x:v>
      </x:c>
      <x:c r="T211" s="38" t="str">
        <x:v>[]</x:v>
      </x:c>
      <x:c r="U211" s="38" t="str">
        <x:v>{"market":["SE"],"power_kw":77,"manufacturer":"Mazda","bodywork_form":"hatchback","energy_sources":["petrol"],"displacement_cc":1598,"production_date":"2007-12","production_year":2007,"manufacturer_role":"vehicle_manufacturer","power_source_unit":"kw","registration_date":"2008-03-31","transmission_type":"automatic","alias_types_present":["plate","vin"],"builder_converter_names":[],"displacement_source_unit":"ccm","production_date_precision":"month","bodywork_registry_label_sv":"Halvkombi"}</x:v>
      </x:c>
      <x:c r="V211" s="38" t="str">
        <x:v>{"manufacturer_confirmation":{"source_fields":["brand"],"canonical_name":"Mazda"}}</x:v>
      </x:c>
      <x:c r="W2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KOMBISEDAN 1.6 E","target":"normalized","rule_ids":["MFR-CLASSIFY-V1"],"sequence":3,"transformer_id":"ts.manufacturer","confidence_effect":0.2},{"after":"Mazda","field":"manufacturer","before":"MAZDA 3 KOMBISEDAN 1.6 E","target":"normalized","rule_ids":["MFR-CLASSIFY-V1"],"sequence":4,"transformer_id":"ts.manufacturer","confidence_effect":0.2},{"after":"vehicle_manufacturer","field":"manufacturer_role","before":"MAZDA 3 KOMBISEDAN 1.6 E","target":"normalized","rule_ids":["MFR-CLASSIFY-V1"],"sequence":5,"transformer_id":"ts.manufacturer","confidence_effect":0.2},{"after":{"source_fields":["brand"],"canonical_name":"Mazda"},"field":"manufacturer_confirmation","before":"MAZDA 3 KOMBISEDAN 1.6 E","target":"candidate","rule_ids":["MFR-BRAND-PREFIX-FALLBACK","MFE-93F566BF966539"],"sequence":6,"transformer_id":"ts.manufacturer","confidence_effect":0.05},{"after":"2007-12","field":"production_date","before":{"build_month":"200712","vehicle_year":2007,"registration_date":"20080331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20080331"},"target":"normalized","rule_ids":["DATE-REGISTRATION-V1","DATE-PRODUCTION-MONTH-V1"],"sequence":8,"transformer_id":"ts.dates","confidence_effect":0.1},{"after":2007,"field":"production_year","before":{"build_month":"200712","vehicle_year":2007,"registration_date":"20080331"},"target":"normalized","rule_ids":["DATE-REGISTRATION-V1","DATE-PRODUCTION-MONTH-V1"],"sequence":9,"transformer_id":"ts.dates","confidence_effect":0.1},{"after":"2008-03-31","field":"registration_date","before":{"build_month":"200712","vehicle_year":2007,"registration_date":"20080331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automatic","field":"transmission_type","before":{"gearbox":"A","variant":"14Z","version":"5"},"target":"normalized","rule_ids":["TRN-002"],"sequence":15,"transformer_id":"ts.transmission","confidence_effect":0.1},{"after":"hatchback","field":"bodywork_form","before":{"variant":"14Z","version":"5","body_code":"AB","eu_category":"M1","vehicle_type":"PB"},"target":"normalized","rule_ids":["BDY-109"],"sequence":16,"transformer_id":"ts.bodywork","confidence_effect":0.1},{"after":"Halvkombi","field":"bodywork_registry_label_sv","before":{"variant":"14Z","version":"5","body_code":"AB","eu_category":"M1","vehicle_type":"PB"},"target":"normalized","rule_ids":["BDY-109"],"sequence":17,"transformer_id":"ts.bodywork","confidence_effect":0.1},{"after":["petrol"],"field":"energy_sources","before":{"fuel1":"1","fuel2":"0","fuel3":"0","variant":"14Z","version":"5"},"target":"normalized","rule_ids":["FUEL-001"],"sequence":18,"transformer_id":"ts.fuel","confidence_effect":0.0}]</x:v>
      </x:c>
      <x:c r="X21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1" s="38" t="str">
        <x:v>{"candidates":{"manufacturer_confirmation":{"source_fields":["brand"],"canonical_name":"Mazda"}},"confidence":0.8,"normalized":{"market":["SE"],"power_kw":77,"manufacturer":"Mazda","bodywork_form":"hatchback","energy_sources":["petrol"],"displacement_cc":1598,"production_date":"2007-12","production_year":2007,"manufacturer_role":"vehicle_manufacturer","power_source_unit":"kw","registration_date":"2008-03-31","transmission_type":"automatic","alias_types_present":["plate","vin"]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KOMBISEDAN 1.6 E","target":"normalized","rule_ids":["MFR-CLASSIFY-V1"],"sequence":3,"transformer_id":"ts.manufacturer","confidence_effect":0.2},{"after":"Mazda","field":"manufacturer","before":"MAZDA 3 KOMBISEDAN 1.6 E","target":"normalized","rule_ids":["MFR-CLASSIFY-V1"],"sequence":4,"transformer_id":"ts.manufacturer","confidence_effect":0.2},{"after":"vehicle_manufacturer","field":"manufacturer_role","before":"MAZDA 3 KOMBISEDAN 1.6 E","target":"normalized","rule_ids":["MFR-CLASSIFY-V1"],"sequence":5,"transformer_id":"ts.manufacturer","confidence_effect":0.2},{"after":{"source_fields":["brand"],"canonical_name":"Mazda"},"field":"manufacturer_confirmation","before":"MAZDA 3 KOMBISEDAN 1.6 E","target":"candidate","rule_ids":["MFR-BRAND-PREFIX-FALLBACK","MFE-93F566BF966539"],"sequence":6,"transformer_id":"ts.manufacturer","confidence_effect":0.05},{"after":"2007-12","field":"production_date","before":{"build_month":"200712","vehicle_year":2007,"registration_date":"20080331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20080331"},"target":"normalized","rule_ids":["DATE-REGISTRATION-V1","DATE-PRODUCTION-MONTH-V1"],"sequence":8,"transformer_id":"ts.dates","confidence_effect":0.1},{"after":2007,"field":"production_year","before":{"build_month":"200712","vehicle_year":2007,"registration_date":"20080331"},"target":"normalized","rule_ids":["DATE-REGISTRATION-V1","DATE-PRODUCTION-MONTH-V1"],"sequence":9,"transformer_id":"ts.dates","confidence_effect":0.1},{"after":"2008-03-31","field":"registration_date","before":{"build_month":"200712","vehicle_year":2007,"registration_date":"20080331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automatic","field":"transmission_type","before":{"gearbox":"A","variant":"14Z","version":"5"},"target":"normalized","rule_ids":["TRN-002"],"sequence":15,"transformer_id":"ts.transmission","confidence_effect":0.1},{"after":"hatchback","field":"bodywork_form","before":{"variant":"14Z","version":"5","body_code":"AB","eu_category":"M1","vehicle_type":"PB"},"target":"normalized","rule_ids":["BDY-109"],"sequence":16,"transformer_id":"ts.bodywork","confidence_effect":0.1},{"after":"Halvkombi","field":"bodywork_registry_label_sv","before":{"variant":"14Z","version":"5","body_code":"AB","eu_category":"M1","vehicle_type":"PB"},"target":"normalized","rule_ids":["BDY-109"],"sequence":17,"transformer_id":"ts.bodywork","confidence_effect":0.1},{"after":["petrol"],"field":"energy_sources","before":{"fuel1":"1","fuel2":"0","fuel3":"0","variant":"14Z","version":"5"},"target":"normalized","rule_ids":["FUEL-001"],"sequence":18,"transformer_id":"ts.fuel","confidence_effect":0.0}],"pipeline_version":"normalization-pipeline-v4","candidate_rule_ids":["MFR-BRAND-PREFIX-FALLBACK","MFE-93F566BF966539"]}</x:v>
      </x:c>
      <x:c r="Z211" s="36" t="n">
        <x:v>46239.78067015046</x:v>
      </x:c>
      <x:c r="AA211" s="36" t="n">
        <x:v>46239.78067015046</x:v>
      </x:c>
    </x:row>
    <x:row r="212" ht="18" customHeight="1">
      <x:c r="A212" s="36" t="n">
        <x:v>2814</x:v>
      </x:c>
      <x:c r="B212" s="36" t="str">
        <x:v>d8f58081-8699-51a0-91e1-cabbe191c3ba</x:v>
      </x:c>
      <x:c r="C212" s="36" t="str">
        <x:v>Transportstyrelsen</x:v>
      </x:c>
      <x:c r="D212" s="36" t="str">
        <x:v>normalization-review-passenger-250-v1-rules-20260805T184409855703Z</x:v>
      </x:c>
      <x:c r="E212" s="36" t="str">
        <x:v>staging.transportstyrelsen_raw</x:v>
      </x:c>
      <x:c r="F212" s="36" t="n">
        <x:v>2932</x:v>
      </x:c>
      <x:c r="G212" s="36" t="str">
        <x:v>ts-mapping-v1</x:v>
      </x:c>
      <x:c r="H212" s="36" t="str">
        <x:v>ts-review-20260805T184254528647Z</x:v>
      </x:c>
      <x:c r="I212" s="36" t="str">
        <x:v>normalization-pipeline-v4</x:v>
      </x:c>
      <x:c r="J212" s="36" t="str">
        <x:v>provisional</x:v>
      </x:c>
      <x:c r="K212" s="39" t="n">
        <x:v>0.8</x:v>
      </x:c>
      <x:c r="L212" s="36" t="str">
        <x:v>Volkswagen</x:v>
      </x:c>
      <x:c r="M212" s="36" t="str">
        <x:v>GOLF SPORTSVAN</x:v>
      </x:c>
      <x:c r="N212" s="36" t="str">
        <x:v>estate</x:v>
      </x:c>
      <x:c r="O212" s="38" t="str">
        <x:v>["petrol"]</x:v>
      </x:c>
      <x:c r="P212" s="36" t="str">
        <x:v>automatic</x:v>
      </x:c>
      <x:c r="Q212" s="36" t="n">
        <x:v>2014</x:v>
      </x:c>
      <x:c r="R212" s="38" t="str">
        <x:v>["MFR-BRAND-CONFIRMED","MFR-BRAND-MODEL","MFR-BRAND-VIN-WMI","DATE-REGISTRATION-V1","DATE-PRODUCTION-MONTH-V1","UNIT-POWER-KW-V1","UNIT-DISPLACEMENT-CCM-V1","TRN-002","BDY-110","FUEL-001"]</x:v>
      </x:c>
      <x:c r="S212" s="38" t="str">
        <x:v>[]</x:v>
      </x:c>
      <x:c r="T212" s="38" t="str">
        <x:v>[]</x:v>
      </x:c>
      <x:c r="U212" s="38" t="str">
        <x:v>{"market":["SE"],"power_kw":92,"manufacturer":"Volkswagen","bodywork_form":"estate","energy_sources":["petrol"],"displacement_cc":1395,"production_date":"2014-11","production_year":2014,"manufacturer_role":"vehicle_manufacturer","power_source_unit":"kw","registration_date":"2015-05-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12" s="38" t="str">
        <x:v>{"model_family":"GOLF SPORTSVAN"}</x:v>
      </x:c>
      <x:c r="W212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 SPORTSVAN","target":"normalized","rule_ids":["MODEL-CANDIDATE-V1"],"sequence":7,"transformer_id":"ts.model-family","confidence_effect":0.0},{"after":"GOLF SPORTSVAN","field":"model_family","before":"GOLF SPORTSVAN","target":"candidate","rule_ids":["MODEL-CANDIDATE-V1"],"sequence":8,"transformer_id":"ts.model-family","confidence_effect":0.05},{"after":"2014-11","field":"production_date","before":{"build_month":"201411","vehicle_year":2014,"registration_date":"20150513"},"target":"normalized","rule_ids":["DATE-REGISTRATION-V1","DATE-PRODUCTION-MONTH-V1"],"sequence":9,"transformer_id":"ts.dates","confidence_effect":0.1},{"after":"month","field":"production_date_precision","before":{"build_month":"201411","vehicle_year":2014,"registration_date":"20150513"},"target":"normalized","rule_ids":["DATE-REGISTRATION-V1","DATE-PRODUCTION-MONTH-V1"],"sequence":10,"transformer_id":"ts.dates","confidence_effect":0.1},{"after":2014,"field":"production_year","before":{"build_month":"201411","vehicle_year":2014,"registration_date":"20150513"},"target":"normalized","rule_ids":["DATE-REGISTRATION-V1","DATE-PRODUCTION-MONTH-V1"],"sequence":11,"transformer_id":"ts.dates","confidence_effect":0.1},{"after":"2015-05-13","field":"registration_date","before":{"build_month":"201411","vehicle_year":2014,"registration_date":"20150513"},"target":"normalized","rule_ids":["DATE-REGISTRATION-V1","DATE-PRODUCTION-MONTH-V1"],"sequence":12,"transformer_id":"ts.dates","confidence_effect":0.1},{"after":1395,"field":"displacement_cc","before":{"kw":92,"ccm":1395},"target":"normalized","rule_ids":["UNIT-POWER-KW-V1","UNIT-DISPLACEMENT-CCM-V1"],"sequence":13,"transformer_id":"ts.engine-measurements","confidence_effect":0.1},{"after":"ccm","field":"displacement_source_unit","before":{"kw":92,"ccm":1395},"target":"normalized","rule_ids":["UNIT-POWER-KW-V1","UNIT-DISPLACEMENT-CCM-V1"],"sequence":14,"transformer_id":"ts.engine-measurements","confidence_effect":0.1},{"after":92,"field":"power_kw","before":{"kw":92,"ccm":1395},"target":"normalized","rule_ids":["UNIT-POWER-KW-V1","UNIT-DISPLACEMENT-CCM-V1"],"sequence":15,"transformer_id":"ts.engine-measurements","confidence_effect":0.1},{"after":"kw","field":"power_source_unit","before":{"kw":92,"ccm":1395},"target":"normalized","rule_ids":["UNIT-POWER-KW-V1","UNIT-DISPLACEMENT-CCM-V1"],"sequence":16,"transformer_id":"ts.engine-measurements","confidence_effect":0.1},{"after":"automatic","field":"transmission_type","before":{"model":"GOLF SPORTSVAN","gearbox":"A","variant":"SACCZCAX0","version":"FD7FD7CW001N7MMOML01VR2"},"target":"normalized","rule_ids":["TRN-002"],"sequence":17,"transformer_id":"ts.transmission","confidence_effect":0.1},{"after":"estate","field":"bodywork_form","before":{"model":"GOLF SPORTSVAN","variant":"SACCZCAX0","version":"FD7FD7CW001N7MMOML01VR2","body_code":"AC","eu_category":"M1","vehicle_type":"PB"},"target":"normalized","rule_ids":["BDY-110"],"sequence":18,"transformer_id":"ts.bodywork","confidence_effect":0.1},{"after":"Stationsvagn (kombivagn)","field":"bodywork_registry_label_sv","before":{"model":"GOLF SPORTSVAN","variant":"SACCZCAX0","version":"FD7FD7CW001N7MMOML01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 SPORTSVAN","variant":"SACCZCAX0","version":"FD7FD7CW001N7MMOML01VR2"},"target":"normalized","rule_ids":["FUEL-001"],"sequence":20,"transformer_id":"ts.fuel","confidence_effect":0.0}]</x:v>
      </x:c>
      <x:c r="X21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2" s="38" t="str">
        <x:v>{"candidates":{"model_family":"GOLF SPORTSVAN"},"confidence":0.8,"normalized":{"market":["SE"],"power_kw":92,"manufacturer":"Volkswagen","bodywork_form":"estate","energy_sources":["petrol"],"displacement_cc":1395,"production_date":"2014-11","production_year":2014,"manufacturer_role":"vehicle_manufacturer","power_source_unit":"kw","registration_date":"2015-05-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 SPORTSVAN","target":"normalized","rule_ids":["MODEL-CANDIDATE-V1"],"sequence":7,"transformer_id":"ts.model-family","confidence_effect":0.0},{"after":"GOLF SPORTSVAN","field":"model_family","before":"GOLF SPORTSVAN","target":"candidate","rule_ids":["MODEL-CANDIDATE-V1"],"sequence":8,"transformer_id":"ts.model-family","confidence_effect":0.05},{"after":"2014-11","field":"production_date","before":{"build_month":"201411","vehicle_year":2014,"registration_date":"20150513"},"target":"normalized","rule_ids":["DATE-REGISTRATION-V1","DATE-PRODUCTION-MONTH-V1"],"sequence":9,"transformer_id":"ts.dates","confidence_effect":0.1},{"after":"month","field":"production_date_precision","before":{"build_month":"201411","vehicle_year":2014,"registration_date":"20150513"},"target":"normalized","rule_ids":["DATE-REGISTRATION-V1","DATE-PRODUCTION-MONTH-V1"],"sequence":10,"transformer_id":"ts.dates","confidence_effect":0.1},{"after":2014,"field":"production_year","before":{"build_month":"201411","vehicle_year":2014,"registration_date":"20150513"},"target":"normalized","rule_ids":["DATE-REGISTRATION-V1","DATE-PRODUCTION-MONTH-V1"],"sequence":11,"transformer_id":"ts.dates","confidence_effect":0.1},{"after":"2015-05-13","field":"registration_date","before":{"build_month":"201411","vehicle_year":2014,"registration_date":"20150513"},"target":"normalized","rule_ids":["DATE-REGISTRATION-V1","DATE-PRODUCTION-MONTH-V1"],"sequence":12,"transformer_id":"ts.dates","confidence_effect":0.1},{"after":1395,"field":"displacement_cc","before":{"kw":92,"ccm":1395},"target":"normalized","rule_ids":["UNIT-POWER-KW-V1","UNIT-DISPLACEMENT-CCM-V1"],"sequence":13,"transformer_id":"ts.engine-measurements","confidence_effect":0.1},{"after":"ccm","field":"displacement_source_unit","before":{"kw":92,"ccm":1395},"target":"normalized","rule_ids":["UNIT-POWER-KW-V1","UNIT-DISPLACEMENT-CCM-V1"],"sequence":14,"transformer_id":"ts.engine-measurements","confidence_effect":0.1},{"after":92,"field":"power_kw","before":{"kw":92,"ccm":1395},"target":"normalized","rule_ids":["UNIT-POWER-KW-V1","UNIT-DISPLACEMENT-CCM-V1"],"sequence":15,"transformer_id":"ts.engine-measurements","confidence_effect":0.1},{"after":"kw","field":"power_source_unit","before":{"kw":92,"ccm":1395},"target":"normalized","rule_ids":["UNIT-POWER-KW-V1","UNIT-DISPLACEMENT-CCM-V1"],"sequence":16,"transformer_id":"ts.engine-measurements","confidence_effect":0.1},{"after":"automatic","field":"transmission_type","before":{"model":"GOLF SPORTSVAN","gearbox":"A","variant":"SACCZCAX0","version":"FD7FD7CW001N7MMOML01VR2"},"target":"normalized","rule_ids":["TRN-002"],"sequence":17,"transformer_id":"ts.transmission","confidence_effect":0.1},{"after":"estate","field":"bodywork_form","before":{"model":"GOLF SPORTSVAN","variant":"SACCZCAX0","version":"FD7FD7CW001N7MMOML01VR2","body_code":"AC","eu_category":"M1","vehicle_type":"PB"},"target":"normalized","rule_ids":["BDY-110"],"sequence":18,"transformer_id":"ts.bodywork","confidence_effect":0.1},{"after":"Stationsvagn (kombivagn)","field":"bodywork_registry_label_sv","before":{"model":"GOLF SPORTSVAN","variant":"SACCZCAX0","version":"FD7FD7CW001N7MMOML01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 SPORTSVAN","variant":"SACCZCAX0","version":"FD7FD7CW001N7MMOML01VR2"},"target":"normalized","rule_ids":["FUEL-001"],"sequence":20,"transformer_id":"ts.fuel","confidence_effect":0.0}],"pipeline_version":"normalization-pipeline-v4","candidate_rule_ids":[]}</x:v>
      </x:c>
      <x:c r="Z212" s="36" t="n">
        <x:v>46239.78067015046</x:v>
      </x:c>
      <x:c r="AA212" s="36" t="n">
        <x:v>46239.78067015046</x:v>
      </x:c>
    </x:row>
    <x:row r="213" ht="18" customHeight="1">
      <x:c r="A213" s="36" t="n">
        <x:v>2815</x:v>
      </x:c>
      <x:c r="B213" s="36" t="str">
        <x:v>3951c864-e126-57bf-a1af-f5451c4dc2ca</x:v>
      </x:c>
      <x:c r="C213" s="36" t="str">
        <x:v>Transportstyrelsen</x:v>
      </x:c>
      <x:c r="D213" s="36" t="str">
        <x:v>normalization-review-passenger-250-v1-rules-20260805T184409855703Z</x:v>
      </x:c>
      <x:c r="E213" s="36" t="str">
        <x:v>staging.transportstyrelsen_raw</x:v>
      </x:c>
      <x:c r="F213" s="36" t="n">
        <x:v>2933</x:v>
      </x:c>
      <x:c r="G213" s="36" t="str">
        <x:v>ts-mapping-v1</x:v>
      </x:c>
      <x:c r="H213" s="36" t="str">
        <x:v>ts-review-20260805T184254528647Z</x:v>
      </x:c>
      <x:c r="I213" s="36" t="str">
        <x:v>normalization-pipeline-v4</x:v>
      </x:c>
      <x:c r="J213" s="36" t="str">
        <x:v>provisional</x:v>
      </x:c>
      <x:c r="K213" s="39" t="n">
        <x:v>0.8</x:v>
      </x:c>
      <x:c r="L213" s="36" t="str">
        <x:v>Volvo</x:v>
      </x:c>
      <x:c r="M213" s="36"/>
      <x:c r="N213" s="36" t="str">
        <x:v>estate</x:v>
      </x:c>
      <x:c r="O213" s="38" t="str">
        <x:v>["petrol"]</x:v>
      </x:c>
      <x:c r="P213" s="36" t="str">
        <x:v>manual</x:v>
      </x:c>
      <x:c r="Q213" s="36" t="n">
        <x:v>1965</x:v>
      </x:c>
      <x:c r="R213" s="38" t="str">
        <x:v>["DATE-REGISTRATION-V1","DATE-PRODUCTION-YEAR-V1","UNIT-POWER-KW-V1","TRN-001","BDY-103","FUEL-001"]</x:v>
      </x:c>
      <x:c r="S213" s="38" t="str">
        <x:v>["MFR-BRAND-PREFIX-FALLBACK"]</x:v>
      </x:c>
      <x:c r="T213" s="38" t="str">
        <x:v>[]</x:v>
      </x:c>
      <x:c r="U213" s="38" t="str">
        <x:v>{"market":["SE"],"power_kw":55,"manufacturer":"Volvo","bodywork_form":"estate","energy_sources":["petrol"],"production_year":1965,"manufacturer_role":"vehicle_manufacturer","power_source_unit":"kw","registration_date":"1964-09-28","transmission_type":"manual","alias_types_present":["plate","vin"],"builder_converter_names":[],"production_date_precision":"model_year","bodywork_registry_label_sv":"Kombi"}</x:v>
      </x:c>
      <x:c r="V213" s="38" t="str">
        <x:v>{"manufacturer_confirmation":{"source_fields":["brand"],"canonical_name":"Volvo"}}</x:v>
      </x:c>
      <x:c r="W2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 VEE","target":"normalized","rule_ids":["MFR-CLASSIFY-V1"],"sequence":3,"transformer_id":"ts.manufacturer","confidence_effect":0.2},{"after":"Volvo","field":"manufacturer","before":"VOLVO 22134 VEE","target":"normalized","rule_ids":["MFR-CLASSIFY-V1"],"sequence":4,"transformer_id":"ts.manufacturer","confidence_effect":0.2},{"after":"vehicle_manufacturer","field":"manufacturer_role","before":"VOLVO 22134 VEE","target":"normalized","rule_ids":["MFR-CLASSIFY-V1"],"sequence":5,"transformer_id":"ts.manufacturer","confidence_effect":0.2},{"after":{"source_fields":["brand"],"canonical_name":"Volvo"},"field":"manufacturer_confirmation","before":"VOLVO 22134 VEE","target":"candidate","rule_ids":["MFR-BRAND-PREFIX-FALLBACK"],"sequence":6,"transformer_id":"ts.manufacturer","confidence_effect":0.05},{"after":"model_year","field":"production_date_precision","before":{"model_year":1965,"vehicle_year":1965,"registration_date":"19640928"},"target":"normalized","rule_ids":["DATE-REGISTRATION-V1","DATE-PRODUCTION-YEAR-V1"],"sequence":7,"transformer_id":"ts.dates","confidence_effect":0.1},{"after":1965,"field":"production_year","before":{"model_year":1965,"vehicle_year":1965,"registration_date":"19640928"},"target":"normalized","rule_ids":["DATE-REGISTRATION-V1","DATE-PRODUCTION-YEAR-V1"],"sequence":8,"transformer_id":"ts.dates","confidence_effect":0.1},{"after":"1964-09-28","field":"registration_date","before":{"model_year":1965,"vehicle_year":1965,"registration_date":"19640928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3" s="38" t="str">
        <x:v>{"candidates":{"manufacturer_confirmation":{"source_fields":["brand"],"canonical_name":"Volvo"}},"confidence":0.8,"normalized":{"market":["SE"],"power_kw":55,"manufacturer":"Volvo","bodywork_form":"estate","energy_sources":["petrol"],"production_year":1965,"manufacturer_role":"vehicle_manufacturer","power_source_unit":"kw","registration_date":"1964-09-28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 VEE","target":"normalized","rule_ids":["MFR-CLASSIFY-V1"],"sequence":3,"transformer_id":"ts.manufacturer","confidence_effect":0.2},{"after":"Volvo","field":"manufacturer","before":"VOLVO 22134 VEE","target":"normalized","rule_ids":["MFR-CLASSIFY-V1"],"sequence":4,"transformer_id":"ts.manufacturer","confidence_effect":0.2},{"after":"vehicle_manufacturer","field":"manufacturer_role","before":"VOLVO 22134 VEE","target":"normalized","rule_ids":["MFR-CLASSIFY-V1"],"sequence":5,"transformer_id":"ts.manufacturer","confidence_effect":0.2},{"after":{"source_fields":["brand"],"canonical_name":"Volvo"},"field":"manufacturer_confirmation","before":"VOLVO 22134 VEE","target":"candidate","rule_ids":["MFR-BRAND-PREFIX-FALLBACK"],"sequence":6,"transformer_id":"ts.manufacturer","confidence_effect":0.05},{"after":"model_year","field":"production_date_precision","before":{"model_year":1965,"vehicle_year":1965,"registration_date":"19640928"},"target":"normalized","rule_ids":["DATE-REGISTRATION-V1","DATE-PRODUCTION-YEAR-V1"],"sequence":7,"transformer_id":"ts.dates","confidence_effect":0.1},{"after":1965,"field":"production_year","before":{"model_year":1965,"vehicle_year":1965,"registration_date":"19640928"},"target":"normalized","rule_ids":["DATE-REGISTRATION-V1","DATE-PRODUCTION-YEAR-V1"],"sequence":8,"transformer_id":"ts.dates","confidence_effect":0.1},{"after":"1964-09-28","field":"registration_date","before":{"model_year":1965,"vehicle_year":1965,"registration_date":"19640928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3" s="36" t="n">
        <x:v>46239.78067015046</x:v>
      </x:c>
      <x:c r="AA213" s="36" t="n">
        <x:v>46239.78067015046</x:v>
      </x:c>
    </x:row>
    <x:row r="214" ht="18" customHeight="1">
      <x:c r="A214" s="36" t="n">
        <x:v>2816</x:v>
      </x:c>
      <x:c r="B214" s="36" t="str">
        <x:v>3b39e482-95f1-5cc4-9041-e176fc329688</x:v>
      </x:c>
      <x:c r="C214" s="36" t="str">
        <x:v>Transportstyrelsen</x:v>
      </x:c>
      <x:c r="D214" s="36" t="str">
        <x:v>normalization-review-passenger-250-v1-rules-20260805T184409855703Z</x:v>
      </x:c>
      <x:c r="E214" s="36" t="str">
        <x:v>staging.transportstyrelsen_raw</x:v>
      </x:c>
      <x:c r="F214" s="36" t="n">
        <x:v>2934</x:v>
      </x:c>
      <x:c r="G214" s="36" t="str">
        <x:v>ts-mapping-v1</x:v>
      </x:c>
      <x:c r="H214" s="36" t="str">
        <x:v>ts-review-20260805T184254528647Z</x:v>
      </x:c>
      <x:c r="I214" s="36" t="str">
        <x:v>normalization-pipeline-v4</x:v>
      </x:c>
      <x:c r="J214" s="36" t="str">
        <x:v>provisional</x:v>
      </x:c>
      <x:c r="K214" s="39" t="n">
        <x:v>0.8</x:v>
      </x:c>
      <x:c r="L214" s="36" t="str">
        <x:v>Volkswagen</x:v>
      </x:c>
      <x:c r="M214" s="36" t="str">
        <x:v>CC</x:v>
      </x:c>
      <x:c r="N214" s="36" t="str">
        <x:v>sedan</x:v>
      </x:c>
      <x:c r="O214" s="38" t="str">
        <x:v>["diesel"]</x:v>
      </x:c>
      <x:c r="P214" s="36" t="str">
        <x:v>automatic</x:v>
      </x:c>
      <x:c r="Q214" s="36" t="n">
        <x:v>2014</x:v>
      </x:c>
      <x:c r="R214" s="38" t="str">
        <x:v>["MFR-BRAND-CONFIRMED","MFR-BRAND-VIN-WMI","DATE-REGISTRATION-V1","DATE-PRODUCTION-MONTH-V1","UNIT-POWER-KW-V1","UNIT-DISPLACEMENT-CCM-V1","TRN-002","BDY-101","FUEL-002"]</x:v>
      </x:c>
      <x:c r="S214" s="38" t="str">
        <x:v>["DRV-008"]</x:v>
      </x:c>
      <x:c r="T214" s="38" t="str">
        <x:v>[]</x:v>
      </x:c>
      <x:c r="U214" s="38" t="str">
        <x:v>{"market":["SE"],"power_kw":130,"manufacturer":"Volkswagen","bodywork_form":"sedan","energy_sources":["diesel"],"displacement_cc":1968,"production_date":"2014-06","production_year":2014,"manufacturer_role":"vehicle_manufacturer","power_source_unit":"kw","registration_date":"2015-01-30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214" s="38" t="str">
        <x:v>{"drive_type":"awd","model_family":"CC"}</x:v>
      </x:c>
      <x:c r="W214" s="38" t="str">
        <x:v>[{"after":"VOLKSWAGEN, VW 3CC","field":"brand","before":"VOLKSWAGEN, VW  3C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3CC","target":"normalized","rule_ids":["MFR-BRAND-CONFIRMED","MFR-BRAND-VIN-WMI"],"sequence":4,"transformer_id":"ts.manufacturer","confidence_effect":0.2},{"after":"Volkswagen","field":"manufacturer","before":"VOLKSWAGEN, VW 3CC","target":"normalized","rule_ids":["MFR-BRAND-CONFIRMED","MFR-BRAND-VIN-WMI"],"sequence":5,"transformer_id":"ts.manufacturer","confidence_effect":0.2},{"after":"vehicle_manufacturer","field":"manufacturer_role","before":"VOLKSWAGEN, VW 3CC","target":"normalized","rule_ids":["MFR-BRAND-CONFIRMED","MFR-BRAND-VIN-WMI"],"sequence":6,"transformer_id":"ts.manufacturer","confidence_effect":0.2},{"after":true,"field":"model_family_candidate","before":"CC","target":"normalized","rule_ids":["MODEL-CANDIDATE-V1"],"sequence":7,"transformer_id":"ts.model-family","confidence_effect":0.0},{"after":"CC","field":"model_family","before":"CC","target":"candidate","rule_ids":["MODEL-CANDIDATE-V1"],"sequence":8,"transformer_id":"ts.model-family","confidence_effect":0.05},{"after":"2014-06","field":"production_date","before":{"build_month":"201406","vehicle_year":2014,"registration_date":"20150130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20150130"},"target":"normalized","rule_ids":["DATE-REGISTRATION-V1","DATE-PRODUCTION-MONTH-V1"],"sequence":10,"transformer_id":"ts.dates","confidence_effect":0.1},{"after":2014,"field":"production_year","before":{"build_month":"201406","vehicle_year":2014,"registration_date":"20150130"},"target":"normalized","rule_ids":["DATE-REGISTRATION-V1","DATE-PRODUCTION-MONTH-V1"],"sequence":11,"transformer_id":"ts.dates","confidence_effect":0.1},{"after":"2015-01-30","field":"registration_date","before":{"build_month":"201406","vehicle_year":2014,"registration_date":"20150130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CC","gearbox":"A","variant":"AACFGCX1","version":"AD6AD62E083ST7MJVR25O"},"target":"normalized","rule_ids":["TRN-002"],"sequence":17,"transformer_id":"ts.transmission","confidence_effect":0.1},{"after":"sedan","field":"bodywork_form","before":{"model":"CC","variant":"AACFGCX1","version":"AD6AD62E083ST7MJVR25O","body_code":"AA","eu_category":"M1","vehicle_type":"PB"},"target":"normalized","rule_ids":["BDY-101"],"sequence":18,"transformer_id":"ts.bodywork","confidence_effect":0.1},{"after":"Sedan","field":"bodywork_registry_label_sv","before":{"model":"CC","variant":"AACFGCX1","version":"AD6AD62E083ST7MJVR25O","body_code":"AA","eu_category":"M1","vehicle_type":"PB"},"target":"normalized","rule_ids":["BDY-101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CC","variant":"AACFGCX1","version":"AD6AD62E083ST7MJVR25O"},"target":"normalized","rule_ids":["FUEL-002"],"sequence":21,"transformer_id":"ts.fuel","confidence_effect":0.0}]</x:v>
      </x:c>
      <x:c r="X214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4" s="38" t="str">
        <x:v>{"candidates":{"drive_type":"awd","model_family":"CC"},"confidence":0.8,"normalized":{"market":["SE"],"power_kw":130,"manufacturer":"Volkswagen","bodywork_form":"sedan","energy_sources":["diesel"],"displacement_cc":1968,"production_date":"2014-06","production_year":2014,"manufacturer_role":"vehicle_manufacturer","power_source_unit":"kw","registration_date":"2015-01-30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3CC","field":"brand","before":"VOLKSWAGEN, VW  3C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3CC","target":"normalized","rule_ids":["MFR-BRAND-CONFIRMED","MFR-BRAND-VIN-WMI"],"sequence":4,"transformer_id":"ts.manufacturer","confidence_effect":0.2},{"after":"Volkswagen","field":"manufacturer","before":"VOLKSWAGEN, VW 3CC","target":"normalized","rule_ids":["MFR-BRAND-CONFIRMED","MFR-BRAND-VIN-WMI"],"sequence":5,"transformer_id":"ts.manufacturer","confidence_effect":0.2},{"after":"vehicle_manufacturer","field":"manufacturer_role","before":"VOLKSWAGEN, VW 3CC","target":"normalized","rule_ids":["MFR-BRAND-CONFIRMED","MFR-BRAND-VIN-WMI"],"sequence":6,"transformer_id":"ts.manufacturer","confidence_effect":0.2},{"after":true,"field":"model_family_candidate","before":"CC","target":"normalized","rule_ids":["MODEL-CANDIDATE-V1"],"sequence":7,"transformer_id":"ts.model-family","confidence_effect":0.0},{"after":"CC","field":"model_family","before":"CC","target":"candidate","rule_ids":["MODEL-CANDIDATE-V1"],"sequence":8,"transformer_id":"ts.model-family","confidence_effect":0.05},{"after":"2014-06","field":"production_date","before":{"build_month":"201406","vehicle_year":2014,"registration_date":"20150130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20150130"},"target":"normalized","rule_ids":["DATE-REGISTRATION-V1","DATE-PRODUCTION-MONTH-V1"],"sequence":10,"transformer_id":"ts.dates","confidence_effect":0.1},{"after":2014,"field":"production_year","before":{"build_month":"201406","vehicle_year":2014,"registration_date":"20150130"},"target":"normalized","rule_ids":["DATE-REGISTRATION-V1","DATE-PRODUCTION-MONTH-V1"],"sequence":11,"transformer_id":"ts.dates","confidence_effect":0.1},{"after":"2015-01-30","field":"registration_date","before":{"build_month":"201406","vehicle_year":2014,"registration_date":"20150130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CC","gearbox":"A","variant":"AACFGCX1","version":"AD6AD62E083ST7MJVR25O"},"target":"normalized","rule_ids":["TRN-002"],"sequence":17,"transformer_id":"ts.transmission","confidence_effect":0.1},{"after":"sedan","field":"bodywork_form","before":{"model":"CC","variant":"AACFGCX1","version":"AD6AD62E083ST7MJVR25O","body_code":"AA","eu_category":"M1","vehicle_type":"PB"},"target":"normalized","rule_ids":["BDY-101"],"sequence":18,"transformer_id":"ts.bodywork","confidence_effect":0.1},{"after":"Sedan","field":"bodywork_registry_label_sv","before":{"model":"CC","variant":"AACFGCX1","version":"AD6AD62E083ST7MJVR25O","body_code":"AA","eu_category":"M1","vehicle_type":"PB"},"target":"normalized","rule_ids":["BDY-101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CC","variant":"AACFGCX1","version":"AD6AD62E083ST7MJVR25O"},"target":"normalized","rule_ids":["FUEL-002"],"sequence":21,"transformer_id":"ts.fuel","confidence_effect":0.0}],"pipeline_version":"normalization-pipeline-v4","candidate_rule_ids":["DRV-008"]}</x:v>
      </x:c>
      <x:c r="Z214" s="36" t="n">
        <x:v>46239.78067015046</x:v>
      </x:c>
      <x:c r="AA214" s="36" t="n">
        <x:v>46239.78067015046</x:v>
      </x:c>
    </x:row>
    <x:row r="215" ht="18" customHeight="1">
      <x:c r="A215" s="36" t="n">
        <x:v>2817</x:v>
      </x:c>
      <x:c r="B215" s="36" t="str">
        <x:v>e31b5d48-4d85-5408-8271-3dc2f95c55bc</x:v>
      </x:c>
      <x:c r="C215" s="36" t="str">
        <x:v>Transportstyrelsen</x:v>
      </x:c>
      <x:c r="D215" s="36" t="str">
        <x:v>normalization-review-passenger-250-v1-rules-20260805T184409855703Z</x:v>
      </x:c>
      <x:c r="E215" s="36" t="str">
        <x:v>staging.transportstyrelsen_raw</x:v>
      </x:c>
      <x:c r="F215" s="36" t="n">
        <x:v>2935</x:v>
      </x:c>
      <x:c r="G215" s="36" t="str">
        <x:v>ts-mapping-v1</x:v>
      </x:c>
      <x:c r="H215" s="36" t="str">
        <x:v>ts-review-20260805T184254528647Z</x:v>
      </x:c>
      <x:c r="I215" s="36" t="str">
        <x:v>normalization-pipeline-v4</x:v>
      </x:c>
      <x:c r="J215" s="36" t="str">
        <x:v>resolved</x:v>
      </x:c>
      <x:c r="K215" s="39" t="n">
        <x:v>0.95</x:v>
      </x:c>
      <x:c r="L215" s="36" t="str">
        <x:v>Volvo</x:v>
      </x:c>
      <x:c r="M215" s="36"/>
      <x:c r="N215" s="36" t="str">
        <x:v>estate</x:v>
      </x:c>
      <x:c r="O215" s="38" t="str">
        <x:v>["petrol","ethanol"]</x:v>
      </x:c>
      <x:c r="P215" s="36" t="str">
        <x:v>manual</x:v>
      </x:c>
      <x:c r="Q215" s="36" t="n">
        <x:v>2008</x:v>
      </x:c>
      <x:c r="R215" s="38" t="str">
        <x:v>["MFR-BRAND-CONFIRMED","MFR-BRAND-VIN-WMI","DATE-REGISTRATION-V1","DATE-PRODUCTION-MONTH-V1","UNIT-POWER-KW-V1","UNIT-DISPLACEMENT-CCM-V1","TRN-001","BDY-110","FUEL-001","FUEL-007"]</x:v>
      </x:c>
      <x:c r="S215" s="38" t="str">
        <x:v>[]</x:v>
      </x:c>
      <x:c r="T215" s="38" t="str">
        <x:v>[]</x:v>
      </x:c>
      <x:c r="U215" s="38" t="str">
        <x:v>{"market":["SE"],"power_kw":92,"manufacturer":"Volvo","bodywork_form":"estate","energy_sources":["petrol","ethanol"],"displacement_cc":1798,"production_date":"2008-06","production_year":2008,"manufacturer_role":"vehicle_manufacturer","power_source_unit":"kw","registration_date":"2008-07-01","transmission_type":"manual","alias_types_present":["plate","vin"],"builder_converter_names":[],"displacement_source_unit":"ccm","production_date_precision":"month","bodywork_registry_label_sv":"Stationsvagn (kombivagn)"}</x:v>
      </x:c>
      <x:c r="V215" s="38" t="str">
        <x:v>{}</x:v>
      </x:c>
      <x:c r="W2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-06","field":"production_date","before":{"build_month":"200806","vehicle_year":2008,"registration_date":"20080701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20080701"},"target":"normalized","rule_ids":["DATE-REGISTRATION-V1","DATE-PRODUCTION-MONTH-V1"],"sequence":7,"transformer_id":"ts.dates","confidence_effect":0.1},{"after":2008,"field":"production_year","before":{"build_month":"200806","vehicle_year":2008,"registration_date":"20080701"},"target":"normalized","rule_ids":["DATE-REGISTRATION-V1","DATE-PRODUCTION-MONTH-V1"],"sequence":8,"transformer_id":"ts.dates","confidence_effect":0.1},{"after":"2008-07-01","field":"registration_date","before":{"build_month":"200806","vehicle_year":2008,"registration_date":"20080701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21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15" s="38" t="str">
        <x:v>{"candidates":{},"confidence":0.95,"normalized":{"market":["SE"],"power_kw":92,"manufacturer":"Volvo","bodywork_form":"estate","energy_sources":["petrol","ethanol"],"displacement_cc":1798,"production_date":"2008-06","production_year":2008,"manufacturer_role":"vehicle_manufacturer","power_source_unit":"kw","registration_date":"2008-07-01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-06","field":"production_date","before":{"build_month":"200806","vehicle_year":2008,"registration_date":"20080701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20080701"},"target":"normalized","rule_ids":["DATE-REGISTRATION-V1","DATE-PRODUCTION-MONTH-V1"],"sequence":7,"transformer_id":"ts.dates","confidence_effect":0.1},{"after":2008,"field":"production_year","before":{"build_month":"200806","vehicle_year":2008,"registration_date":"20080701"},"target":"normalized","rule_ids":["DATE-REGISTRATION-V1","DATE-PRODUCTION-MONTH-V1"],"sequence":8,"transformer_id":"ts.dates","confidence_effect":0.1},{"after":"2008-07-01","field":"registration_date","before":{"build_month":"200806","vehicle_year":2008,"registration_date":"20080701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215" s="36" t="n">
        <x:v>46239.78067015046</x:v>
      </x:c>
      <x:c r="AA215" s="36" t="n">
        <x:v>46239.78067015046</x:v>
      </x:c>
    </x:row>
    <x:row r="216" ht="18" customHeight="1">
      <x:c r="A216" s="36" t="n">
        <x:v>2818</x:v>
      </x:c>
      <x:c r="B216" s="36" t="str">
        <x:v>7bd4969e-1f8d-5815-8f23-ab9bcb9bd58d</x:v>
      </x:c>
      <x:c r="C216" s="36" t="str">
        <x:v>Transportstyrelsen</x:v>
      </x:c>
      <x:c r="D216" s="36" t="str">
        <x:v>normalization-review-passenger-250-v1-rules-20260805T184409855703Z</x:v>
      </x:c>
      <x:c r="E216" s="36" t="str">
        <x:v>staging.transportstyrelsen_raw</x:v>
      </x:c>
      <x:c r="F216" s="36" t="n">
        <x:v>2936</x:v>
      </x:c>
      <x:c r="G216" s="36" t="str">
        <x:v>ts-mapping-v1</x:v>
      </x:c>
      <x:c r="H216" s="36" t="str">
        <x:v>ts-review-20260805T184254528647Z</x:v>
      </x:c>
      <x:c r="I216" s="36" t="str">
        <x:v>normalization-pipeline-v4</x:v>
      </x:c>
      <x:c r="J216" s="36" t="str">
        <x:v>provisional</x:v>
      </x:c>
      <x:c r="K216" s="39" t="n">
        <x:v>0.8</x:v>
      </x:c>
      <x:c r="L216" s="36" t="str">
        <x:v>Toyota</x:v>
      </x:c>
      <x:c r="M216" s="36"/>
      <x:c r="N216" s="36" t="str">
        <x:v>covered_body</x:v>
      </x:c>
      <x:c r="O216" s="38" t="str">
        <x:v>["petrol"]</x:v>
      </x:c>
      <x:c r="P216" s="36" t="str">
        <x:v>manual</x:v>
      </x:c>
      <x:c r="Q216" s="36" t="n">
        <x:v>1982</x:v>
      </x:c>
      <x:c r="R216" s="38" t="str">
        <x:v>["DATE-REGISTRATION-V1","DATE-PRODUCTION-YEAR-V1","UNIT-POWER-KW-V1","TRN-001","BDY-102","FUEL-001"]</x:v>
      </x:c>
      <x:c r="S216" s="38" t="str">
        <x:v>["MFR-BRAND-PREFIX-FALLBACK"]</x:v>
      </x:c>
      <x:c r="T216" s="38" t="str">
        <x:v>[]</x:v>
      </x:c>
      <x:c r="U216" s="38" t="str">
        <x:v>{"market":["SE"],"power_kw":43,"manufacturer":"Toyota","bodywork_form":"covered_body","energy_sources":["petrol"],"production_year":1982,"manufacturer_role":"vehicle_manufacturer","power_source_unit":"kw","registration_date":"1982-02-23","transmission_type":"manual","alias_types_present":["plate","vin"],"builder_converter_names":[],"production_date_precision":"model_year","bodywork_registry_label_sv":"Täckt"}</x:v>
      </x:c>
      <x:c r="V216" s="38" t="str">
        <x:v>{"manufacturer_confirmation":{"source_fields":["brand"],"canonical_name":"Toyota"}}</x:v>
      </x:c>
      <x:c r="W2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 DL","target":"normalized","rule_ids":["MFR-CLASSIFY-V1"],"sequence":3,"transformer_id":"ts.manufacturer","confidence_effect":0.2},{"after":"Toyota","field":"manufacturer","before":"TOYOTA STARLET DL","target":"normalized","rule_ids":["MFR-CLASSIFY-V1"],"sequence":4,"transformer_id":"ts.manufacturer","confidence_effect":0.2},{"after":"vehicle_manufacturer","field":"manufacturer_role","before":"TOYOTA STARLET DL","target":"normalized","rule_ids":["MFR-CLASSIFY-V1"],"sequence":5,"transformer_id":"ts.manufacturer","confidence_effect":0.2},{"after":{"source_fields":["brand"],"canonical_name":"Toyota"},"field":"manufacturer_confirmation","before":"TOYOTA STARLET DL","target":"candidate","rule_ids":["MFR-BRAND-PREFIX-FALLBACK"],"sequence":6,"transformer_id":"ts.manufacturer","confidence_effect":0.05},{"after":"model_year","field":"production_date_precision","before":{"model_year":1982,"vehicle_year":1982,"registration_date":"19820223"},"target":"normalized","rule_ids":["DATE-REGISTRATION-V1","DATE-PRODUCTION-YEAR-V1"],"sequence":7,"transformer_id":"ts.dates","confidence_effect":0.1},{"after":1982,"field":"production_year","before":{"model_year":1982,"vehicle_year":1982,"registration_date":"19820223"},"target":"normalized","rule_ids":["DATE-REGISTRATION-V1","DATE-PRODUCTION-YEAR-V1"],"sequence":8,"transformer_id":"ts.dates","confidence_effect":0.1},{"after":"1982-02-23","field":"registration_date","before":{"model_year":1982,"vehicle_year":1982,"registration_date":"19820223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6" s="38" t="str">
        <x:v>{"candidates":{"manufacturer_confirmation":{"source_fields":["brand"],"canonical_name":"Toyota"}},"confidence":0.8,"normalized":{"market":["SE"],"power_kw":43,"manufacturer":"Toyota","bodywork_form":"covered_body","energy_sources":["petrol"],"production_year":1982,"manufacturer_role":"vehicle_manufacturer","power_source_unit":"kw","registration_date":"1982-02-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 DL","target":"normalized","rule_ids":["MFR-CLASSIFY-V1"],"sequence":3,"transformer_id":"ts.manufacturer","confidence_effect":0.2},{"after":"Toyota","field":"manufacturer","before":"TOYOTA STARLET DL","target":"normalized","rule_ids":["MFR-CLASSIFY-V1"],"sequence":4,"transformer_id":"ts.manufacturer","confidence_effect":0.2},{"after":"vehicle_manufacturer","field":"manufacturer_role","before":"TOYOTA STARLET DL","target":"normalized","rule_ids":["MFR-CLASSIFY-V1"],"sequence":5,"transformer_id":"ts.manufacturer","confidence_effect":0.2},{"after":{"source_fields":["brand"],"canonical_name":"Toyota"},"field":"manufacturer_confirmation","before":"TOYOTA STARLET DL","target":"candidate","rule_ids":["MFR-BRAND-PREFIX-FALLBACK"],"sequence":6,"transformer_id":"ts.manufacturer","confidence_effect":0.05},{"after":"model_year","field":"production_date_precision","before":{"model_year":1982,"vehicle_year":1982,"registration_date":"19820223"},"target":"normalized","rule_ids":["DATE-REGISTRATION-V1","DATE-PRODUCTION-YEAR-V1"],"sequence":7,"transformer_id":"ts.dates","confidence_effect":0.1},{"after":1982,"field":"production_year","before":{"model_year":1982,"vehicle_year":1982,"registration_date":"19820223"},"target":"normalized","rule_ids":["DATE-REGISTRATION-V1","DATE-PRODUCTION-YEAR-V1"],"sequence":8,"transformer_id":"ts.dates","confidence_effect":0.1},{"after":"1982-02-23","field":"registration_date","before":{"model_year":1982,"vehicle_year":1982,"registration_date":"19820223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6" s="36" t="n">
        <x:v>46239.78067015046</x:v>
      </x:c>
      <x:c r="AA216" s="36" t="n">
        <x:v>46239.78067015046</x:v>
      </x:c>
    </x:row>
    <x:row r="217" ht="18" customHeight="1">
      <x:c r="A217" s="36" t="n">
        <x:v>2819</x:v>
      </x:c>
      <x:c r="B217" s="36" t="str">
        <x:v>0ac9cad1-0903-59a5-9929-3417d9a99882</x:v>
      </x:c>
      <x:c r="C217" s="36" t="str">
        <x:v>Transportstyrelsen</x:v>
      </x:c>
      <x:c r="D217" s="36" t="str">
        <x:v>normalization-review-passenger-250-v1-rules-20260805T184409855703Z</x:v>
      </x:c>
      <x:c r="E217" s="36" t="str">
        <x:v>staging.transportstyrelsen_raw</x:v>
      </x:c>
      <x:c r="F217" s="36" t="n">
        <x:v>2937</x:v>
      </x:c>
      <x:c r="G217" s="36" t="str">
        <x:v>ts-mapping-v1</x:v>
      </x:c>
      <x:c r="H217" s="36" t="str">
        <x:v>ts-review-20260805T184254528647Z</x:v>
      </x:c>
      <x:c r="I217" s="36" t="str">
        <x:v>normalization-pipeline-v4</x:v>
      </x:c>
      <x:c r="J217" s="36" t="str">
        <x:v>provisional</x:v>
      </x:c>
      <x:c r="K217" s="39" t="n">
        <x:v>0.8</x:v>
      </x:c>
      <x:c r="L217" s="36" t="str">
        <x:v>BMW</x:v>
      </x:c>
      <x:c r="M217" s="36" t="str">
        <x:v>520D XDRIVE</x:v>
      </x:c>
      <x:c r="N217" s="36" t="str">
        <x:v>estate</x:v>
      </x:c>
      <x:c r="O217" s="38" t="str">
        <x:v>["diesel"]</x:v>
      </x:c>
      <x:c r="P217" s="36" t="str">
        <x:v>automatic</x:v>
      </x:c>
      <x:c r="Q217" s="36" t="n">
        <x:v>2018</x:v>
      </x:c>
      <x:c r="R217" s="38" t="str">
        <x:v>["MFR-BRAND-CONFIRMED","MFR-BRAND-VIN-WMI","DATE-REGISTRATION-V1","DATE-PRODUCTION-MONTH-V1","UNIT-POWER-KW-V1","UNIT-DISPLACEMENT-CCM-V1","TRN-002","BDY-110","FUEL-002"]</x:v>
      </x:c>
      <x:c r="S217" s="38" t="str">
        <x:v>["DRV-008"]</x:v>
      </x:c>
      <x:c r="T217" s="38" t="str">
        <x:v>[]</x:v>
      </x:c>
      <x:c r="U217" s="38" t="str">
        <x:v>{"market":["SE"],"power_kw":140,"manufacturer":"BMW","bodywork_form":"estate","energy_sources":["diesel"],"displacement_cc":1995,"production_date":"2018-03","production_year":2018,"manufacturer_role":"vehicle_manufacturer","power_source_unit":"kw","registration_date":"2018-05-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17" s="38" t="str">
        <x:v>{"drive_type":"awd","model_family":"520D XDRIVE"}</x:v>
      </x:c>
      <x:c r="W2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520D XDRIVE","target":"normalized","rule_ids":["MODEL-CANDIDATE-V1"],"sequence":6,"transformer_id":"ts.model-family","confidence_effect":0.0},{"after":"520D XDRIVE","field":"model_family","before":"520D XDRIVE","target":"candidate","rule_ids":["MODEL-CANDIDATE-V1"],"sequence":7,"transformer_id":"ts.model-family","confidence_effect":0.05},{"after":"2018-03","field":"production_date","before":{"build_month":"201803","vehicle_year":2018,"registration_date":"20180507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20180507"},"target":"normalized","rule_ids":["DATE-REGISTRATION-V1","DATE-PRODUCTION-MONTH-V1"],"sequence":9,"transformer_id":"ts.dates","confidence_effect":0.1},{"after":2018,"field":"production_year","before":{"build_month":"201803","vehicle_year":2018,"registration_date":"20180507"},"target":"normalized","rule_ids":["DATE-REGISTRATION-V1","DATE-PRODUCTION-MONTH-V1"],"sequence":10,"transformer_id":"ts.dates","confidence_effect":0.1},{"after":"2018-05-07","field":"registration_date","before":{"build_month":"201803","vehicle_year":2018,"registration_date":"20180507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520D XDRIVE","gearbox":"A","variant":"JM91","version":"CAW500L0"},"target":"normalized","rule_ids":["TRN-002"],"sequence":16,"transformer_id":"ts.transmission","confidence_effect":0.1},{"after":"estate","field":"bodywork_form","before":{"model":"520D XDRIVE","variant":"JM91","version":"CAW500L0","body_code":"AC","eu_category":"M1","vehicle_type":"PB"},"target":"normalized","rule_ids":["BDY-110"],"sequence":17,"transformer_id":"ts.bodywork","confidence_effect":0.1},{"after":"Stationsvagn (kombivagn)","field":"bodywork_registry_label_sv","before":{"model":"520D XDRIVE","variant":"JM91","version":"CAW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520D XDRIVE","variant":"JM91","version":"CAW500L0"},"target":"normalized","rule_ids":["FUEL-002"],"sequence":20,"transformer_id":"ts.fuel","confidence_effect":0.0}]</x:v>
      </x:c>
      <x:c r="X21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7" s="38" t="str">
        <x:v>{"candidates":{"drive_type":"awd","model_family":"520D XDRIVE"},"confidence":0.8,"normalized":{"market":["SE"],"power_kw":140,"manufacturer":"BMW","bodywork_form":"estate","energy_sources":["diesel"],"displacement_cc":1995,"production_date":"2018-03","production_year":2018,"manufacturer_role":"vehicle_manufacturer","power_source_unit":"kw","registration_date":"2018-05-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520D XDRIVE","target":"normalized","rule_ids":["MODEL-CANDIDATE-V1"],"sequence":6,"transformer_id":"ts.model-family","confidence_effect":0.0},{"after":"520D XDRIVE","field":"model_family","before":"520D XDRIVE","target":"candidate","rule_ids":["MODEL-CANDIDATE-V1"],"sequence":7,"transformer_id":"ts.model-family","confidence_effect":0.05},{"after":"2018-03","field":"production_date","before":{"build_month":"201803","vehicle_year":2018,"registration_date":"20180507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20180507"},"target":"normalized","rule_ids":["DATE-REGISTRATION-V1","DATE-PRODUCTION-MONTH-V1"],"sequence":9,"transformer_id":"ts.dates","confidence_effect":0.1},{"after":2018,"field":"production_year","before":{"build_month":"201803","vehicle_year":2018,"registration_date":"20180507"},"target":"normalized","rule_ids":["DATE-REGISTRATION-V1","DATE-PRODUCTION-MONTH-V1"],"sequence":10,"transformer_id":"ts.dates","confidence_effect":0.1},{"after":"2018-05-07","field":"registration_date","before":{"build_month":"201803","vehicle_year":2018,"registration_date":"20180507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520D XDRIVE","gearbox":"A","variant":"JM91","version":"CAW500L0"},"target":"normalized","rule_ids":["TRN-002"],"sequence":16,"transformer_id":"ts.transmission","confidence_effect":0.1},{"after":"estate","field":"bodywork_form","before":{"model":"520D XDRIVE","variant":"JM91","version":"CAW500L0","body_code":"AC","eu_category":"M1","vehicle_type":"PB"},"target":"normalized","rule_ids":["BDY-110"],"sequence":17,"transformer_id":"ts.bodywork","confidence_effect":0.1},{"after":"Stationsvagn (kombivagn)","field":"bodywork_registry_label_sv","before":{"model":"520D XDRIVE","variant":"JM91","version":"CAW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520D XDRIVE","variant":"JM91","version":"CAW500L0"},"target":"normalized","rule_ids":["FUEL-002"],"sequence":20,"transformer_id":"ts.fuel","confidence_effect":0.0}],"pipeline_version":"normalization-pipeline-v4","candidate_rule_ids":["DRV-008"]}</x:v>
      </x:c>
      <x:c r="Z217" s="36" t="n">
        <x:v>46239.78067015046</x:v>
      </x:c>
      <x:c r="AA217" s="36" t="n">
        <x:v>46239.78067015046</x:v>
      </x:c>
    </x:row>
    <x:row r="218" ht="18" customHeight="1">
      <x:c r="A218" s="36" t="n">
        <x:v>2820</x:v>
      </x:c>
      <x:c r="B218" s="36" t="str">
        <x:v>b5405f05-d39a-5764-a528-561e59575c9a</x:v>
      </x:c>
      <x:c r="C218" s="36" t="str">
        <x:v>Transportstyrelsen</x:v>
      </x:c>
      <x:c r="D218" s="36" t="str">
        <x:v>normalization-review-passenger-250-v1-rules-20260805T184409855703Z</x:v>
      </x:c>
      <x:c r="E218" s="36" t="str">
        <x:v>staging.transportstyrelsen_raw</x:v>
      </x:c>
      <x:c r="F218" s="36" t="n">
        <x:v>2938</x:v>
      </x:c>
      <x:c r="G218" s="36" t="str">
        <x:v>ts-mapping-v1</x:v>
      </x:c>
      <x:c r="H218" s="36" t="str">
        <x:v>ts-review-20260805T184254528647Z</x:v>
      </x:c>
      <x:c r="I218" s="36" t="str">
        <x:v>normalization-pipeline-v4</x:v>
      </x:c>
      <x:c r="J218" s="36" t="str">
        <x:v>provisional</x:v>
      </x:c>
      <x:c r="K218" s="39" t="n">
        <x:v>0.8</x:v>
      </x:c>
      <x:c r="L218" s="36" t="str">
        <x:v>Volvo</x:v>
      </x:c>
      <x:c r="M218" s="36"/>
      <x:c r="N218" s="36" t="str">
        <x:v>covered_body</x:v>
      </x:c>
      <x:c r="O218" s="38" t="str">
        <x:v>["petrol"]</x:v>
      </x:c>
      <x:c r="P218" s="36" t="str">
        <x:v>manual</x:v>
      </x:c>
      <x:c r="Q218" s="36" t="n">
        <x:v>1966</x:v>
      </x:c>
      <x:c r="R218" s="38" t="str">
        <x:v>["DATE-REGISTRATION-V1","DATE-PRODUCTION-YEAR-V1","UNIT-POWER-KW-V1","TRN-001","BDY-102","FUEL-001"]</x:v>
      </x:c>
      <x:c r="S218" s="38" t="str">
        <x:v>["MFR-BRAND-PREFIX-FALLBACK"]</x:v>
      </x:c>
      <x:c r="T218" s="38" t="str">
        <x:v>[]</x:v>
      </x:c>
      <x:c r="U218" s="38" t="str">
        <x:v>{"market":["SE"],"power_kw":55,"manufacturer":"Volvo","bodywork_form":"covered_body","energy_sources":["petrol"],"production_year":1966,"manufacturer_role":"vehicle_manufacturer","power_source_unit":"kw","registration_date":"1966-05-31","transmission_type":"manual","alias_types_present":["plate","vin"],"builder_converter_names":[],"production_date_precision":"model_year","bodywork_registry_label_sv":"Täckt"}</x:v>
      </x:c>
      <x:c r="V218" s="38" t="str">
        <x:v>{"manufacturer_confirmation":{"source_fields":["brand"],"canonical_name":"Volvo"}}</x:v>
      </x:c>
      <x:c r="W2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VL","target":"normalized","rule_ids":["MFR-CLASSIFY-V1"],"sequence":3,"transformer_id":"ts.manufacturer","confidence_effect":0.2},{"after":"Volvo","field":"manufacturer","before":"VOLVO 12134 VL","target":"normalized","rule_ids":["MFR-CLASSIFY-V1"],"sequence":4,"transformer_id":"ts.manufacturer","confidence_effect":0.2},{"after":"vehicle_manufacturer","field":"manufacturer_role","before":"VOLVO 12134 VL","target":"normalized","rule_ids":["MFR-CLASSIFY-V1"],"sequence":5,"transformer_id":"ts.manufacturer","confidence_effect":0.2},{"after":{"source_fields":["brand"],"canonical_name":"Volvo"},"field":"manufacturer_confirmation","before":"VOLVO 12134 VL","target":"candidate","rule_ids":["MFR-BRAND-PREFIX-FALLBACK"],"sequence":6,"transformer_id":"ts.manufacturer","confidence_effect":0.05},{"after":"model_year","field":"production_date_precision","before":{"model_year":1966,"vehicle_year":1966,"registration_date":"19660531"},"target":"normalized","rule_ids":["DATE-REGISTRATION-V1","DATE-PRODUCTION-YEAR-V1"],"sequence":7,"transformer_id":"ts.dates","confidence_effect":0.1},{"after":1966,"field":"production_year","before":{"model_year":1966,"vehicle_year":1966,"registration_date":"19660531"},"target":"normalized","rule_ids":["DATE-REGISTRATION-V1","DATE-PRODUCTION-YEAR-V1"],"sequence":8,"transformer_id":"ts.dates","confidence_effect":0.1},{"after":"1966-05-31","field":"registration_date","before":{"model_year":1966,"vehicle_year":1966,"registration_date":"19660531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8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-05-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VL","target":"normalized","rule_ids":["MFR-CLASSIFY-V1"],"sequence":3,"transformer_id":"ts.manufacturer","confidence_effect":0.2},{"after":"Volvo","field":"manufacturer","before":"VOLVO 12134 VL","target":"normalized","rule_ids":["MFR-CLASSIFY-V1"],"sequence":4,"transformer_id":"ts.manufacturer","confidence_effect":0.2},{"after":"vehicle_manufacturer","field":"manufacturer_role","before":"VOLVO 12134 VL","target":"normalized","rule_ids":["MFR-CLASSIFY-V1"],"sequence":5,"transformer_id":"ts.manufacturer","confidence_effect":0.2},{"after":{"source_fields":["brand"],"canonical_name":"Volvo"},"field":"manufacturer_confirmation","before":"VOLVO 12134 VL","target":"candidate","rule_ids":["MFR-BRAND-PREFIX-FALLBACK"],"sequence":6,"transformer_id":"ts.manufacturer","confidence_effect":0.05},{"after":"model_year","field":"production_date_precision","before":{"model_year":1966,"vehicle_year":1966,"registration_date":"19660531"},"target":"normalized","rule_ids":["DATE-REGISTRATION-V1","DATE-PRODUCTION-YEAR-V1"],"sequence":7,"transformer_id":"ts.dates","confidence_effect":0.1},{"after":1966,"field":"production_year","before":{"model_year":1966,"vehicle_year":1966,"registration_date":"19660531"},"target":"normalized","rule_ids":["DATE-REGISTRATION-V1","DATE-PRODUCTION-YEAR-V1"],"sequence":8,"transformer_id":"ts.dates","confidence_effect":0.1},{"after":"1966-05-31","field":"registration_date","before":{"model_year":1966,"vehicle_year":1966,"registration_date":"19660531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8" s="36" t="n">
        <x:v>46239.78067015046</x:v>
      </x:c>
      <x:c r="AA218" s="36" t="n">
        <x:v>46239.78067015046</x:v>
      </x:c>
    </x:row>
    <x:row r="219" ht="18" customHeight="1">
      <x:c r="A219" s="36" t="n">
        <x:v>2821</x:v>
      </x:c>
      <x:c r="B219" s="36" t="str">
        <x:v>7035c42f-20ba-5f0e-945a-f4e97cfe0c67</x:v>
      </x:c>
      <x:c r="C219" s="36" t="str">
        <x:v>Transportstyrelsen</x:v>
      </x:c>
      <x:c r="D219" s="36" t="str">
        <x:v>normalization-review-passenger-250-v1-rules-20260805T184409855703Z</x:v>
      </x:c>
      <x:c r="E219" s="36" t="str">
        <x:v>staging.transportstyrelsen_raw</x:v>
      </x:c>
      <x:c r="F219" s="36" t="n">
        <x:v>2939</x:v>
      </x:c>
      <x:c r="G219" s="36" t="str">
        <x:v>ts-mapping-v1</x:v>
      </x:c>
      <x:c r="H219" s="36" t="str">
        <x:v>ts-review-20260805T184254528647Z</x:v>
      </x:c>
      <x:c r="I219" s="36" t="str">
        <x:v>normalization-pipeline-v4</x:v>
      </x:c>
      <x:c r="J219" s="36" t="str">
        <x:v>provisional</x:v>
      </x:c>
      <x:c r="K219" s="39" t="n">
        <x:v>0.8</x:v>
      </x:c>
      <x:c r="L219" s="36" t="str">
        <x:v>BMW</x:v>
      </x:c>
      <x:c r="M219" s="36" t="str">
        <x:v>540D XDRIVE</x:v>
      </x:c>
      <x:c r="N219" s="36" t="str">
        <x:v>sedan</x:v>
      </x:c>
      <x:c r="O219" s="38" t="str">
        <x:v>["diesel"]</x:v>
      </x:c>
      <x:c r="P219" s="36" t="str">
        <x:v>automatic</x:v>
      </x:c>
      <x:c r="Q219" s="36" t="n">
        <x:v>2018</x:v>
      </x:c>
      <x:c r="R219" s="38" t="str">
        <x:v>["MFR-BRAND-CONFIRMED","MFR-BRAND-VIN-WMI","DATE-REGISTRATION-V1","DATE-PRODUCTION-MONTH-V1","UNIT-POWER-KW-V1","UNIT-DISPLACEMENT-CCM-V1","TRN-002","BDY-101","FUEL-002"]</x:v>
      </x:c>
      <x:c r="S219" s="38" t="str">
        <x:v>["DRV-008"]</x:v>
      </x:c>
      <x:c r="T219" s="38" t="str">
        <x:v>[]</x:v>
      </x:c>
      <x:c r="U219" s="38" t="str">
        <x:v>{"market":["SE"],"power_kw":235,"manufacturer":"BMW","bodywork_form":"sedan","energy_sources":["diesel"],"displacement_cc":2993,"production_date":"2018-03","production_year":2018,"manufacturer_role":"vehicle_manufacturer","power_source_unit":"kw","registration_date":"2018-05-15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219" s="38" t="str">
        <x:v>{"drive_type":"awd","model_family":"540D XDRIVE"}</x:v>
      </x:c>
      <x:c r="W2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540D XDRIVE","target":"normalized","rule_ids":["MODEL-CANDIDATE-V1"],"sequence":6,"transformer_id":"ts.model-family","confidence_effect":0.0},{"after":"540D XDRIVE","field":"model_family","before":"540D XDRIVE","target":"candidate","rule_ids":["MODEL-CANDIDATE-V1"],"sequence":7,"transformer_id":"ts.model-family","confidence_effect":0.05},{"after":"2018-03","field":"production_date","before":{"build_month":"201803","vehicle_year":2018,"registration_date":"20180515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20180515"},"target":"normalized","rule_ids":["DATE-REGISTRATION-V1","DATE-PRODUCTION-MONTH-V1"],"sequence":9,"transformer_id":"ts.dates","confidence_effect":0.1},{"after":2018,"field":"production_year","before":{"build_month":"201803","vehicle_year":2018,"registration_date":"20180515"},"target":"normalized","rule_ids":["DATE-REGISTRATION-V1","DATE-PRODUCTION-MONTH-V1"],"sequence":10,"transformer_id":"ts.dates","confidence_effect":0.1},{"after":"2018-05-15","field":"registration_date","before":{"build_month":"201803","vehicle_year":2018,"registration_date":"20180515"},"target":"normalized","rule_ids":["DATE-REGISTRATION-V1","DATE-PRODUCTION-MONTH-V1"],"sequence":11,"transformer_id":"ts.dates","confidence_effect":0.1},{"after":2993,"field":"displacement_cc","before":{"kw":235,"ccm":2993},"target":"normalized","rule_ids":["UNIT-POWER-KW-V1","UNIT-DISPLACEMENT-CCM-V1"],"sequence":12,"transformer_id":"ts.engine-measurements","confidence_effect":0.1},{"after":"ccm","field":"displacement_source_unit","before":{"kw":235,"ccm":2993},"target":"normalized","rule_ids":["UNIT-POWER-KW-V1","UNIT-DISPLACEMENT-CCM-V1"],"sequence":13,"transformer_id":"ts.engine-measurements","confidence_effect":0.1},{"after":235,"field":"power_kw","before":{"kw":235,"ccm":2993},"target":"normalized","rule_ids":["UNIT-POWER-KW-V1","UNIT-DISPLACEMENT-CCM-V1"],"sequence":14,"transformer_id":"ts.engine-measurements","confidence_effect":0.1},{"after":"kw","field":"power_source_unit","before":{"kw":235,"ccm":2993},"target":"normalized","rule_ids":["UNIT-POWER-KW-V1","UNIT-DISPLACEMENT-CCM-V1"],"sequence":15,"transformer_id":"ts.engine-measurements","confidence_effect":0.1},{"after":"automatic","field":"transmission_type","before":{"model":"540D XDRIVE","gearbox":"A","variant":"JD51","version":"CAW508N0"},"target":"normalized","rule_ids":["TRN-002"],"sequence":16,"transformer_id":"ts.transmission","confidence_effect":0.1},{"after":"sedan","field":"bodywork_form","before":{"model":"540D XDRIVE","variant":"JD51","version":"CAW508N0","body_code":"AA","eu_category":"M1","vehicle_type":"PB"},"target":"normalized","rule_ids":["BDY-101"],"sequence":17,"transformer_id":"ts.bodywork","confidence_effect":0.1},{"after":"Sedan","field":"bodywork_registry_label_sv","before":{"model":"540D XDRIVE","variant":"JD51","version":"CAW508N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540D XDRIVE","variant":"JD51","version":"CAW508N0"},"target":"normalized","rule_ids":["FUEL-002"],"sequence":20,"transformer_id":"ts.fuel","confidence_effect":0.0}]</x:v>
      </x:c>
      <x:c r="X21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9" s="38" t="str">
        <x:v>{"candidates":{"drive_type":"awd","model_family":"540D XDRIVE"},"confidence":0.8,"normalized":{"market":["SE"],"power_kw":235,"manufacturer":"BMW","bodywork_form":"sedan","energy_sources":["diesel"],"displacement_cc":2993,"production_date":"2018-03","production_year":2018,"manufacturer_role":"vehicle_manufacturer","power_source_unit":"kw","registration_date":"2018-05-15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540D XDRIVE","target":"normalized","rule_ids":["MODEL-CANDIDATE-V1"],"sequence":6,"transformer_id":"ts.model-family","confidence_effect":0.0},{"after":"540D XDRIVE","field":"model_family","before":"540D XDRIVE","target":"candidate","rule_ids":["MODEL-CANDIDATE-V1"],"sequence":7,"transformer_id":"ts.model-family","confidence_effect":0.05},{"after":"2018-03","field":"production_date","before":{"build_month":"201803","vehicle_year":2018,"registration_date":"20180515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20180515"},"target":"normalized","rule_ids":["DATE-REGISTRATION-V1","DATE-PRODUCTION-MONTH-V1"],"sequence":9,"transformer_id":"ts.dates","confidence_effect":0.1},{"after":2018,"field":"production_year","before":{"build_month":"201803","vehicle_year":2018,"registration_date":"20180515"},"target":"normalized","rule_ids":["DATE-REGISTRATION-V1","DATE-PRODUCTION-MONTH-V1"],"sequence":10,"transformer_id":"ts.dates","confidence_effect":0.1},{"after":"2018-05-15","field":"registration_date","before":{"build_month":"201803","vehicle_year":2018,"registration_date":"20180515"},"target":"normalized","rule_ids":["DATE-REGISTRATION-V1","DATE-PRODUCTION-MONTH-V1"],"sequence":11,"transformer_id":"ts.dates","confidence_effect":0.1},{"after":2993,"field":"displacement_cc","before":{"kw":235,"ccm":2993},"target":"normalized","rule_ids":["UNIT-POWER-KW-V1","UNIT-DISPLACEMENT-CCM-V1"],"sequence":12,"transformer_id":"ts.engine-measurements","confidence_effect":0.1},{"after":"ccm","field":"displacement_source_unit","before":{"kw":235,"ccm":2993},"target":"normalized","rule_ids":["UNIT-POWER-KW-V1","UNIT-DISPLACEMENT-CCM-V1"],"sequence":13,"transformer_id":"ts.engine-measurements","confidence_effect":0.1},{"after":235,"field":"power_kw","before":{"kw":235,"ccm":2993},"target":"normalized","rule_ids":["UNIT-POWER-KW-V1","UNIT-DISPLACEMENT-CCM-V1"],"sequence":14,"transformer_id":"ts.engine-measurements","confidence_effect":0.1},{"after":"kw","field":"power_source_unit","before":{"kw":235,"ccm":2993},"target":"normalized","rule_ids":["UNIT-POWER-KW-V1","UNIT-DISPLACEMENT-CCM-V1"],"sequence":15,"transformer_id":"ts.engine-measurements","confidence_effect":0.1},{"after":"automatic","field":"transmission_type","before":{"model":"540D XDRIVE","gearbox":"A","variant":"JD51","version":"CAW508N0"},"target":"normalized","rule_ids":["TRN-002"],"sequence":16,"transformer_id":"ts.transmission","confidence_effect":0.1},{"after":"sedan","field":"bodywork_form","before":{"model":"540D XDRIVE","variant":"JD51","version":"CAW508N0","body_code":"AA","eu_category":"M1","vehicle_type":"PB"},"target":"normalized","rule_ids":["BDY-101"],"sequence":17,"transformer_id":"ts.bodywork","confidence_effect":0.1},{"after":"Sedan","field":"bodywork_registry_label_sv","before":{"model":"540D XDRIVE","variant":"JD51","version":"CAW508N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540D XDRIVE","variant":"JD51","version":"CAW508N0"},"target":"normalized","rule_ids":["FUEL-002"],"sequence":20,"transformer_id":"ts.fuel","confidence_effect":0.0}],"pipeline_version":"normalization-pipeline-v4","candidate_rule_ids":["DRV-008"]}</x:v>
      </x:c>
      <x:c r="Z219" s="36" t="n">
        <x:v>46239.78067015046</x:v>
      </x:c>
      <x:c r="AA219" s="36" t="n">
        <x:v>46239.78067015046</x:v>
      </x:c>
    </x:row>
    <x:row r="220" ht="18" customHeight="1">
      <x:c r="A220" s="36" t="n">
        <x:v>2822</x:v>
      </x:c>
      <x:c r="B220" s="36" t="str">
        <x:v>dc741035-4f47-55a5-86a1-d038fe3165db</x:v>
      </x:c>
      <x:c r="C220" s="36" t="str">
        <x:v>Transportstyrelsen</x:v>
      </x:c>
      <x:c r="D220" s="36" t="str">
        <x:v>normalization-review-passenger-250-v1-rules-20260805T184409855703Z</x:v>
      </x:c>
      <x:c r="E220" s="36" t="str">
        <x:v>staging.transportstyrelsen_raw</x:v>
      </x:c>
      <x:c r="F220" s="36" t="n">
        <x:v>2940</x:v>
      </x:c>
      <x:c r="G220" s="36" t="str">
        <x:v>ts-mapping-v1</x:v>
      </x:c>
      <x:c r="H220" s="36" t="str">
        <x:v>ts-review-20260805T184254528647Z</x:v>
      </x:c>
      <x:c r="I220" s="36" t="str">
        <x:v>normalization-pipeline-v4</x:v>
      </x:c>
      <x:c r="J220" s="36" t="str">
        <x:v>provisional</x:v>
      </x:c>
      <x:c r="K220" s="39" t="n">
        <x:v>0.8</x:v>
      </x:c>
      <x:c r="L220" s="36" t="str">
        <x:v>Volkswagen</x:v>
      </x:c>
      <x:c r="M220" s="36" t="str">
        <x:v>PASSAT</x:v>
      </x:c>
      <x:c r="N220" s="36" t="str">
        <x:v>estate</x:v>
      </x:c>
      <x:c r="O220" s="38" t="str">
        <x:v>["petrol"]</x:v>
      </x:c>
      <x:c r="P220" s="36" t="str">
        <x:v>automatic</x:v>
      </x:c>
      <x:c r="Q220" s="36" t="n">
        <x:v>2018</x:v>
      </x:c>
      <x:c r="R220" s="38" t="str">
        <x:v>["MFR-BRAND-CONFIRMED","MFR-BRAND-MODEL","MFR-BRAND-VIN-WMI","DATE-REGISTRATION-V1","DATE-PRODUCTION-MONTH-V1","UNIT-POWER-KW-V1","UNIT-DISPLACEMENT-CCM-V1","TRN-002","BDY-110","FUEL-001"]</x:v>
      </x:c>
      <x:c r="S220" s="38" t="str">
        <x:v>[]</x:v>
      </x:c>
      <x:c r="T220" s="38" t="str">
        <x:v>[]</x:v>
      </x:c>
      <x:c r="U220" s="38" t="str">
        <x:v>{"market":["SE"],"power_kw":110,"manufacturer":"Volkswagen","bodywork_form":"estate","energy_sources":["petrol"],"displacement_cc":1395,"production_date":"2018-01","production_year":2018,"manufacturer_role":"vehicle_manufacturer","power_source_unit":"kw","registration_date":"2018-03-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20" s="38" t="str">
        <x:v>{"model_family":"PASSAT"}</x:v>
      </x:c>
      <x:c r="W2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-01","field":"production_date","before":{"build_month":"201801","vehicle_year":2018,"registration_date":"20180314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20180314"},"target":"normalized","rule_ids":["DATE-REGISTRATION-V1","DATE-PRODUCTION-MONTH-V1"],"sequence":9,"transformer_id":"ts.dates","confidence_effect":0.1},{"after":2018,"field":"production_year","before":{"build_month":"201801","vehicle_year":2018,"registration_date":"20180314"},"target":"normalized","rule_ids":["DATE-REGISTRATION-V1","DATE-PRODUCTION-MONTH-V1"],"sequence":10,"transformer_id":"ts.dates","confidence_effect":0.1},{"after":"2018-03-14","field":"registration_date","before":{"build_month":"201801","vehicle_year":2018,"registration_date":"20180314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PASSAT","gearbox":"A","variant":"ACCZEAX0","version":"FD7FD7CW002SV7MMVR261"},"target":"normalized","rule_ids":["TRN-002"],"sequence":16,"transformer_id":"ts.transmission","confidence_effect":0.1},{"after":"estate","field":"bodywork_form","before":{"model":"PASSAT","variant":"ACCZEAX0","version":"FD7FD7CW002SV7MMVR261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ZEAX0","version":"FD7FD7CW002SV7MMVR261","body_code":"AC","eu_category":"M1","vehicle_type":"PB"},"target":"normalized","rule_ids":["BDY-110"],"sequence":18,"transformer_id":"ts.bodywork","confidence_effect":0.1},{"after":["petrol"],"field":"energy_sources","before":{"fuel1":"1","fuel2":"0","fuel3":"0","model":"PASSAT","variant":"ACCZEAX0","version":"FD7FD7CW002SV7MMVR261"},"target":"normalized","rule_ids":["FUEL-001"],"sequence":19,"transformer_id":"ts.fuel","confidence_effect":0.0}]</x:v>
      </x:c>
      <x:c r="X2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0" s="38" t="str">
        <x:v>{"candidates":{"model_family":"PASSAT"},"confidence":0.8,"normalized":{"market":["SE"],"power_kw":110,"manufacturer":"Volkswagen","bodywork_form":"estate","energy_sources":["petrol"],"displacement_cc":1395,"production_date":"2018-01","production_year":2018,"manufacturer_role":"vehicle_manufacturer","power_source_unit":"kw","registration_date":"2018-03-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-01","field":"production_date","before":{"build_month":"201801","vehicle_year":2018,"registration_date":"20180314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20180314"},"target":"normalized","rule_ids":["DATE-REGISTRATION-V1","DATE-PRODUCTION-MONTH-V1"],"sequence":9,"transformer_id":"ts.dates","confidence_effect":0.1},{"after":2018,"field":"production_year","before":{"build_month":"201801","vehicle_year":2018,"registration_date":"20180314"},"target":"normalized","rule_ids":["DATE-REGISTRATION-V1","DATE-PRODUCTION-MONTH-V1"],"sequence":10,"transformer_id":"ts.dates","confidence_effect":0.1},{"after":"2018-03-14","field":"registration_date","before":{"build_month":"201801","vehicle_year":2018,"registration_date":"20180314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PASSAT","gearbox":"A","variant":"ACCZEAX0","version":"FD7FD7CW002SV7MMVR261"},"target":"normalized","rule_ids":["TRN-002"],"sequence":16,"transformer_id":"ts.transmission","confidence_effect":0.1},{"after":"estate","field":"bodywork_form","before":{"model":"PASSAT","variant":"ACCZEAX0","version":"FD7FD7CW002SV7MMVR261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ZEAX0","version":"FD7FD7CW002SV7MMVR261","body_code":"AC","eu_category":"M1","vehicle_type":"PB"},"target":"normalized","rule_ids":["BDY-110"],"sequence":18,"transformer_id":"ts.bodywork","confidence_effect":0.1},{"after":["petrol"],"field":"energy_sources","before":{"fuel1":"1","fuel2":"0","fuel3":"0","model":"PASSAT","variant":"ACCZEAX0","version":"FD7FD7CW002SV7MMVR261"},"target":"normalized","rule_ids":["FUEL-001"],"sequence":19,"transformer_id":"ts.fuel","confidence_effect":0.0}],"pipeline_version":"normalization-pipeline-v4","candidate_rule_ids":[]}</x:v>
      </x:c>
      <x:c r="Z220" s="36" t="n">
        <x:v>46239.78067015046</x:v>
      </x:c>
      <x:c r="AA220" s="36" t="n">
        <x:v>46239.78067015046</x:v>
      </x:c>
    </x:row>
    <x:row r="221" ht="18" customHeight="1">
      <x:c r="A221" s="36" t="n">
        <x:v>2823</x:v>
      </x:c>
      <x:c r="B221" s="36" t="str">
        <x:v>a3cf8cbf-ca33-50eb-b56e-7417e2a94b56</x:v>
      </x:c>
      <x:c r="C221" s="36" t="str">
        <x:v>Transportstyrelsen</x:v>
      </x:c>
      <x:c r="D221" s="36" t="str">
        <x:v>normalization-review-passenger-250-v1-rules-20260805T184409855703Z</x:v>
      </x:c>
      <x:c r="E221" s="36" t="str">
        <x:v>staging.transportstyrelsen_raw</x:v>
      </x:c>
      <x:c r="F221" s="36" t="n">
        <x:v>2941</x:v>
      </x:c>
      <x:c r="G221" s="36" t="str">
        <x:v>ts-mapping-v1</x:v>
      </x:c>
      <x:c r="H221" s="36" t="str">
        <x:v>ts-review-20260805T184254528647Z</x:v>
      </x:c>
      <x:c r="I221" s="36" t="str">
        <x:v>normalization-pipeline-v4</x:v>
      </x:c>
      <x:c r="J221" s="36" t="str">
        <x:v>provisional</x:v>
      </x:c>
      <x:c r="K221" s="39" t="n">
        <x:v>0.8</x:v>
      </x:c>
      <x:c r="L221" s="36" t="str">
        <x:v>Opel</x:v>
      </x:c>
      <x:c r="M221" s="36"/>
      <x:c r="N221" s="36" t="str">
        <x:v>covered_body</x:v>
      </x:c>
      <x:c r="O221" s="38" t="str">
        <x:v>["petrol"]</x:v>
      </x:c>
      <x:c r="P221" s="36" t="str">
        <x:v>manual</x:v>
      </x:c>
      <x:c r="Q221" s="36" t="n">
        <x:v>1984</x:v>
      </x:c>
      <x:c r="R221" s="38" t="str">
        <x:v>["DATE-REGISTRATION-V1","DATE-PRODUCTION-YEAR-V1","UNIT-POWER-KW-V1","TRN-001","BDY-104","FUEL-001"]</x:v>
      </x:c>
      <x:c r="S221" s="38" t="str">
        <x:v>["MFR-BRAND-PREFIX-FALLBACK"]</x:v>
      </x:c>
      <x:c r="T221" s="38" t="str">
        <x:v>[]</x:v>
      </x:c>
      <x:c r="U221" s="38" t="str">
        <x:v>{"market":["SE"],"power_kw":81,"manufacturer":"Opel","bodywork_form":"covered_body","energy_sources":["petrol"],"production_year":1984,"manufacturer_role":"vehicle_manufacturer","power_source_unit":"kw","registration_date":"1984-07-04","transmission_type":"manual","alias_types_present":["plate","vin"],"builder_converter_names":[],"production_date_precision":"model_year","bodywork_registry_label_sv":"Täckt, taklucka"}</x:v>
      </x:c>
      <x:c r="V221" s="38" t="str">
        <x:v>{"manufacturer_confirmation":{"source_fields":["brand"],"canonical_name":"Opel"}}</x:v>
      </x:c>
      <x:c r="W2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CD 172C4","target":"normalized","rule_ids":["MFR-CLASSIFY-V1"],"sequence":3,"transformer_id":"ts.manufacturer","confidence_effect":0.2},{"after":"Opel","field":"manufacturer","before":"OPEL REKORD CD 172C4","target":"normalized","rule_ids":["MFR-CLASSIFY-V1"],"sequence":4,"transformer_id":"ts.manufacturer","confidence_effect":0.2},{"after":"vehicle_manufacturer","field":"manufacturer_role","before":"OPEL REKORD CD 172C4","target":"normalized","rule_ids":["MFR-CLASSIFY-V1"],"sequence":5,"transformer_id":"ts.manufacturer","confidence_effect":0.2},{"after":{"source_fields":["brand"],"canonical_name":"Opel"},"field":"manufacturer_confirmation","before":"OPEL REKORD CD 172C4","target":"candidate","rule_ids":["MFR-BRAND-PREFIX-FALLBACK"],"sequence":6,"transformer_id":"ts.manufacturer","confidence_effect":0.05},{"after":"model_year","field":"production_date_precision","before":{"model_year":1984,"vehicle_year":1984,"registration_date":"19840704"},"target":"normalized","rule_ids":["DATE-REGISTRATION-V1","DATE-PRODUCTION-YEAR-V1"],"sequence":7,"transformer_id":"ts.dates","confidence_effect":0.1},{"after":1984,"field":"production_year","before":{"model_year":1984,"vehicle_year":1984,"registration_date":"19840704"},"target":"normalized","rule_ids":["DATE-REGISTRATION-V1","DATE-PRODUCTION-YEAR-V1"],"sequence":8,"transformer_id":"ts.dates","confidence_effect":0.1},{"after":"1984-07-04","field":"registration_date","before":{"model_year":1984,"vehicle_year":1984,"registration_date":"19840704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21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1" s="38" t="str">
        <x:v>{"candidates":{"manufacturer_confirmation":{"source_fields":["brand"],"canonical_name":"Opel"}},"confidence":0.8,"normalized":{"market":["SE"],"power_kw":81,"manufacturer":"Opel","bodywork_form":"covered_body","energy_sources":["petrol"],"production_year":1984,"manufacturer_role":"vehicle_manufacturer","power_source_unit":"kw","registration_date":"1984-07-04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CD 172C4","target":"normalized","rule_ids":["MFR-CLASSIFY-V1"],"sequence":3,"transformer_id":"ts.manufacturer","confidence_effect":0.2},{"after":"Opel","field":"manufacturer","before":"OPEL REKORD CD 172C4","target":"normalized","rule_ids":["MFR-CLASSIFY-V1"],"sequence":4,"transformer_id":"ts.manufacturer","confidence_effect":0.2},{"after":"vehicle_manufacturer","field":"manufacturer_role","before":"OPEL REKORD CD 172C4","target":"normalized","rule_ids":["MFR-CLASSIFY-V1"],"sequence":5,"transformer_id":"ts.manufacturer","confidence_effect":0.2},{"after":{"source_fields":["brand"],"canonical_name":"Opel"},"field":"manufacturer_confirmation","before":"OPEL REKORD CD 172C4","target":"candidate","rule_ids":["MFR-BRAND-PREFIX-FALLBACK"],"sequence":6,"transformer_id":"ts.manufacturer","confidence_effect":0.05},{"after":"model_year","field":"production_date_precision","before":{"model_year":1984,"vehicle_year":1984,"registration_date":"19840704"},"target":"normalized","rule_ids":["DATE-REGISTRATION-V1","DATE-PRODUCTION-YEAR-V1"],"sequence":7,"transformer_id":"ts.dates","confidence_effect":0.1},{"after":1984,"field":"production_year","before":{"model_year":1984,"vehicle_year":1984,"registration_date":"19840704"},"target":"normalized","rule_ids":["DATE-REGISTRATION-V1","DATE-PRODUCTION-YEAR-V1"],"sequence":8,"transformer_id":"ts.dates","confidence_effect":0.1},{"after":"1984-07-04","field":"registration_date","before":{"model_year":1984,"vehicle_year":1984,"registration_date":"19840704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21" s="36" t="n">
        <x:v>46239.78067015046</x:v>
      </x:c>
      <x:c r="AA221" s="36" t="n">
        <x:v>46239.78067015046</x:v>
      </x:c>
    </x:row>
    <x:row r="222" ht="18" customHeight="1">
      <x:c r="A222" s="36" t="n">
        <x:v>2824</x:v>
      </x:c>
      <x:c r="B222" s="36" t="str">
        <x:v>43a12c6c-171e-566e-9047-eb62c0a6e7bf</x:v>
      </x:c>
      <x:c r="C222" s="36" t="str">
        <x:v>Transportstyrelsen</x:v>
      </x:c>
      <x:c r="D222" s="36" t="str">
        <x:v>normalization-review-passenger-250-v1-rules-20260805T184409855703Z</x:v>
      </x:c>
      <x:c r="E222" s="36" t="str">
        <x:v>staging.transportstyrelsen_raw</x:v>
      </x:c>
      <x:c r="F222" s="36" t="n">
        <x:v>2942</x:v>
      </x:c>
      <x:c r="G222" s="36" t="str">
        <x:v>ts-mapping-v1</x:v>
      </x:c>
      <x:c r="H222" s="36" t="str">
        <x:v>ts-review-20260805T184254528647Z</x:v>
      </x:c>
      <x:c r="I222" s="36" t="str">
        <x:v>normalization-pipeline-v4</x:v>
      </x:c>
      <x:c r="J222" s="36" t="str">
        <x:v>provisional</x:v>
      </x:c>
      <x:c r="K222" s="39" t="n">
        <x:v>0.8</x:v>
      </x:c>
      <x:c r="L222" s="36" t="str">
        <x:v>Škoda</x:v>
      </x:c>
      <x:c r="M222" s="36" t="str">
        <x:v>OCTAVIA</x:v>
      </x:c>
      <x:c r="N222" s="36" t="str">
        <x:v>estate</x:v>
      </x:c>
      <x:c r="O222" s="38" t="str">
        <x:v>["diesel"]</x:v>
      </x:c>
      <x:c r="P222" s="36" t="str">
        <x:v>automatic</x:v>
      </x:c>
      <x:c r="Q222" s="36" t="n">
        <x:v>2014</x:v>
      </x:c>
      <x:c r="R222" s="38" t="str">
        <x:v>["DATE-REGISTRATION-V1","DATE-PRODUCTION-MONTH-V1","UNIT-POWER-KW-V1","UNIT-DISPLACEMENT-CCM-V1","TRN-002","BDY-110","FUEL-002"]</x:v>
      </x:c>
      <x:c r="S222" s="38" t="str">
        <x:v>["MFR-BRAND-PREFIX-FALLBACK","MFE-241A4A6B11D7C9"]</x:v>
      </x:c>
      <x:c r="T222" s="38" t="str">
        <x:v>[]</x:v>
      </x:c>
      <x:c r="U222" s="38" t="str">
        <x:v>{"market":["SE"],"power_kw":110,"manufacturer":"Škoda","bodywork_form":"estate","energy_sources":["diesel"],"displacement_cc":1968,"production_date":"2014-01","production_year":2014,"manufacturer_role":"vehicle_manufacturer","power_source_unit":"kw","registration_date":"2014-03-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22" s="38" t="str">
        <x:v>{"model_family":"OCTAVIA","manufacturer_confirmation":{"source_fields":["brand"],"canonical_name":"Škoda"}}</x:v>
      </x:c>
      <x:c r="W222" s="38" t="str">
        <x:v>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2014-01","field":"production_date","before":{"build_month":"201401","vehicle_year":2014,"registration_date":"20140331"},"target":"normalized","rule_ids":["DATE-REGISTRATION-V1","DATE-PRODUCTION-MONTH-V1"],"sequence":10,"transformer_id":"ts.dates","confidence_effect":0.1},{"after":"month","field":"production_date_precision","before":{"build_month":"201401","vehicle_year":2014,"registration_date":"20140331"},"target":"normalized","rule_ids":["DATE-REGISTRATION-V1","DATE-PRODUCTION-MONTH-V1"],"sequence":11,"transformer_id":"ts.dates","confidence_effect":0.1},{"after":2014,"field":"production_year","before":{"build_month":"201401","vehicle_year":2014,"registration_date":"20140331"},"target":"normalized","rule_ids":["DATE-REGISTRATION-V1","DATE-PRODUCTION-MONTH-V1"],"sequence":12,"transformer_id":"ts.dates","confidence_effect":0.1},{"after":"2014-03-31","field":"registration_date","before":{"build_month":"201401","vehicle_year":2014,"registration_date":"20140331"},"target":"normalized","rule_ids":["DATE-REGISTRATION-V1","DATE-PRODUCTION-MONTH-V1"],"sequence":13,"transformer_id":"ts.dates","confidence_effect":0.1},{"after":1968,"field":"displacement_cc","before":{"kw":110,"ccm":1968},"target":"normalized","rule_ids":["UNIT-POWER-KW-V1","UNIT-DISPLACEMENT-CCM-V1"],"sequence":14,"transformer_id":"ts.engine-measurements","confidence_effect":0.1},{"after":"ccm","field":"displacement_source_unit","before":{"kw":110,"ccm":1968},"target":"normalized","rule_ids":["UNIT-POWER-KW-V1","UNIT-DISPLACEMENT-CCM-V1"],"sequence":15,"transformer_id":"ts.engine-measurements","confidence_effect":0.1},{"after":110,"field":"power_kw","before":{"kw":110,"ccm":1968},"target":"normalized","rule_ids":["UNIT-POWER-KW-V1","UNIT-DISPLACEMENT-CCM-V1"],"sequence":16,"transformer_id":"ts.engine-measurements","confidence_effect":0.1},{"after":"kw","field":"power_source_unit","before":{"kw":110,"ccm":1968},"target":"normalized","rule_ids":["UNIT-POWER-KW-V1","UNIT-DISPLACEMENT-CCM-V1"],"sequence":17,"transformer_id":"ts.engine-measurements","confidence_effect":0.1},{"after":"automatic","field":"transmission_type","before":{"model":"OCTAVIA","gearbox":"A","variant":"ACCKFCX0","version":"NFD6FD6D9004STVL7"},"target":"normalized","rule_ids":["TRN-002"],"sequence":18,"transformer_id":"ts.transmission","confidence_effect":0.1},{"after":"estate","field":"bodywork_form","before":{"model":"OCTAVIA","variant":"ACCKFCX0","version":"NFD6FD6D9004STVL7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KFCX0","version":"NFD6FD6D9004STVL7","body_code":"AC","eu_category":"M1","vehicle_type":"PB"},"target":"normalized","rule_ids":["BDY-110"],"sequence":20,"transformer_id":"ts.bodywork","confidence_effect":0.1},{"after":["diesel"],"field":"energy_sources","before":{"fuel1":"2","fuel2":"0","fuel3":"0","model":"OCTAVIA","variant":"ACCKFCX0","version":"NFD6FD6D9004STVL7"},"target":"normalized","rule_ids":["FUEL-002"],"sequence":21,"transformer_id":"ts.fuel","confidence_effect":0.0}]</x:v>
      </x:c>
      <x:c r="X2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2" s="38" t="str">
        <x:v>{"candidates":{"model_family":"OCTAVIA","manufacturer_confirmation":{"source_fields":["brand"],"canonical_name":"Škoda"}},"confidence":0.8,"normalized":{"market":["SE"],"power_kw":110,"manufacturer":"Škoda","bodywork_form":"estate","energy_sources":["diesel"],"displacement_cc":1968,"production_date":"2014-01","production_year":2014,"manufacturer_role":"vehicle_manufacturer","power_source_unit":"kw","registration_date":"2014-03-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2014-01","field":"production_date","before":{"build_month":"201401","vehicle_year":2014,"registration_date":"20140331"},"target":"normalized","rule_ids":["DATE-REGISTRATION-V1","DATE-PRODUCTION-MONTH-V1"],"sequence":10,"transformer_id":"ts.dates","confidence_effect":0.1},{"after":"month","field":"production_date_precision","before":{"build_month":"201401","vehicle_year":2014,"registration_date":"20140331"},"target":"normalized","rule_ids":["DATE-REGISTRATION-V1","DATE-PRODUCTION-MONTH-V1"],"sequence":11,"transformer_id":"ts.dates","confidence_effect":0.1},{"after":2014,"field":"production_year","before":{"build_month":"201401","vehicle_year":2014,"registration_date":"20140331"},"target":"normalized","rule_ids":["DATE-REGISTRATION-V1","DATE-PRODUCTION-MONTH-V1"],"sequence":12,"transformer_id":"ts.dates","confidence_effect":0.1},{"after":"2014-03-31","field":"registration_date","before":{"build_month":"201401","vehicle_year":2014,"registration_date":"20140331"},"target":"normalized","rule_ids":["DATE-REGISTRATION-V1","DATE-PRODUCTION-MONTH-V1"],"sequence":13,"transformer_id":"ts.dates","confidence_effect":0.1},{"after":1968,"field":"displacement_cc","before":{"kw":110,"ccm":1968},"target":"normalized","rule_ids":["UNIT-POWER-KW-V1","UNIT-DISPLACEMENT-CCM-V1"],"sequence":14,"transformer_id":"ts.engine-measurements","confidence_effect":0.1},{"after":"ccm","field":"displacement_source_unit","before":{"kw":110,"ccm":1968},"target":"normalized","rule_ids":["UNIT-POWER-KW-V1","UNIT-DISPLACEMENT-CCM-V1"],"sequence":15,"transformer_id":"ts.engine-measurements","confidence_effect":0.1},{"after":110,"field":"power_kw","before":{"kw":110,"ccm":1968},"target":"normalized","rule_ids":["UNIT-POWER-KW-V1","UNIT-DISPLACEMENT-CCM-V1"],"sequence":16,"transformer_id":"ts.engine-measurements","confidence_effect":0.1},{"after":"kw","field":"power_source_unit","before":{"kw":110,"ccm":1968},"target":"normalized","rule_ids":["UNIT-POWER-KW-V1","UNIT-DISPLACEMENT-CCM-V1"],"sequence":17,"transformer_id":"ts.engine-measurements","confidence_effect":0.1},{"after":"automatic","field":"transmission_type","before":{"model":"OCTAVIA","gearbox":"A","variant":"ACCKFCX0","version":"NFD6FD6D9004STVL7"},"target":"normalized","rule_ids":["TRN-002"],"sequence":18,"transformer_id":"ts.transmission","confidence_effect":0.1},{"after":"estate","field":"bodywork_form","before":{"model":"OCTAVIA","variant":"ACCKFCX0","version":"NFD6FD6D9004STVL7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KFCX0","version":"NFD6FD6D9004STVL7","body_code":"AC","eu_category":"M1","vehicle_type":"PB"},"target":"normalized","rule_ids":["BDY-110"],"sequence":20,"transformer_id":"ts.bodywork","confidence_effect":0.1},{"after":["diesel"],"field":"energy_sources","before":{"fuel1":"2","fuel2":"0","fuel3":"0","model":"OCTAVIA","variant":"ACCKFCX0","version":"NFD6FD6D9004STVL7"},"target":"normalized","rule_ids":["FUEL-002"],"sequence":21,"transformer_id":"ts.fuel","confidence_effect":0.0}],"pipeline_version":"normalization-pipeline-v4","candidate_rule_ids":["MFR-BRAND-PREFIX-FALLBACK","MFE-241A4A6B11D7C9"]}</x:v>
      </x:c>
      <x:c r="Z222" s="36" t="n">
        <x:v>46239.78067015046</x:v>
      </x:c>
      <x:c r="AA222" s="36" t="n">
        <x:v>46239.78067015046</x:v>
      </x:c>
    </x:row>
    <x:row r="223" ht="18" customHeight="1">
      <x:c r="A223" s="36" t="n">
        <x:v>2825</x:v>
      </x:c>
      <x:c r="B223" s="36" t="str">
        <x:v>92f65858-e49b-5890-b5b4-ba273568d57d</x:v>
      </x:c>
      <x:c r="C223" s="36" t="str">
        <x:v>Transportstyrelsen</x:v>
      </x:c>
      <x:c r="D223" s="36" t="str">
        <x:v>normalization-review-passenger-250-v1-rules-20260805T184409855703Z</x:v>
      </x:c>
      <x:c r="E223" s="36" t="str">
        <x:v>staging.transportstyrelsen_raw</x:v>
      </x:c>
      <x:c r="F223" s="36" t="n">
        <x:v>2943</x:v>
      </x:c>
      <x:c r="G223" s="36" t="str">
        <x:v>ts-mapping-v1</x:v>
      </x:c>
      <x:c r="H223" s="36" t="str">
        <x:v>ts-review-20260805T184254528647Z</x:v>
      </x:c>
      <x:c r="I223" s="36" t="str">
        <x:v>normalization-pipeline-v4</x:v>
      </x:c>
      <x:c r="J223" s="36" t="str">
        <x:v>provisional</x:v>
      </x:c>
      <x:c r="K223" s="39" t="n">
        <x:v>0.8</x:v>
      </x:c>
      <x:c r="L223" s="36" t="str">
        <x:v>Volkswagen</x:v>
      </x:c>
      <x:c r="M223" s="36" t="str">
        <x:v>GOLF</x:v>
      </x:c>
      <x:c r="N223" s="36" t="str">
        <x:v>estate</x:v>
      </x:c>
      <x:c r="O223" s="38" t="str">
        <x:v>["petrol"]</x:v>
      </x:c>
      <x:c r="P223" s="36" t="str">
        <x:v>manual</x:v>
      </x:c>
      <x:c r="Q223" s="36" t="n">
        <x:v>2013</x:v>
      </x:c>
      <x:c r="R223" s="38" t="str">
        <x:v>["MFR-BRAND-CONFIRMED","MFR-BRAND-MODEL","MFR-BRAND-VIN-WMI","DATE-REGISTRATION-V1","DATE-PRODUCTION-MONTH-V1","UNIT-POWER-KW-V1","UNIT-DISPLACEMENT-CCM-V1","TRN-001","BDY-110","FUEL-001"]</x:v>
      </x:c>
      <x:c r="S223" s="38" t="str">
        <x:v>[]</x:v>
      </x:c>
      <x:c r="T223" s="38" t="str">
        <x:v>[]</x:v>
      </x:c>
      <x:c r="U223" s="38" t="str">
        <x:v>{"market":["SE"],"power_kw":77,"manufacturer":"Volkswagen","bodywork_form":"estate","energy_sources":["petrol"],"displacement_cc":1197,"production_date":"2013-11","production_year":2013,"manufacturer_role":"vehicle_manufacturer","power_source_unit":"kw","registration_date":"2013-12-13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23" s="38" t="str">
        <x:v>{"model_family":"GOLF"}</x:v>
      </x:c>
      <x:c r="W223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-11","field":"production_date","before":{"build_month":"201311","vehicle_year":2013,"registration_date":"20131213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20131213"},"target":"normalized","rule_ids":["DATE-REGISTRATION-V1","DATE-PRODUCTION-MONTH-V1"],"sequence":10,"transformer_id":"ts.dates","confidence_effect":0.1},{"after":2013,"field":"production_year","before":{"build_month":"201311","vehicle_year":2013,"registration_date":"20131213"},"target":"normalized","rule_ids":["DATE-REGISTRATION-V1","DATE-PRODUCTION-MONTH-V1"],"sequence":11,"transformer_id":"ts.dates","confidence_effect":0.1},{"after":"2013-12-13","field":"registration_date","before":{"build_month":"201311","vehicle_year":2013,"registration_date":"20131213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CJZAX0","version":"FM6FM6AJ009N7MJOVLVR2"},"target":"normalized","rule_ids":["TRN-001"],"sequence":17,"transformer_id":"ts.transmission","confidence_effect":0.1},{"after":"estate","field":"bodywork_form","before":{"model":"GOLF","variant":"AC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JZAX0","version":"FM6FM6AJ009N7MJOVLVR2"},"target":"normalized","rule_ids":["FUEL-001"],"sequence":20,"transformer_id":"ts.fuel","confidence_effect":0.0}]</x:v>
      </x:c>
      <x:c r="X22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3" s="38" t="str">
        <x:v>{"candidates":{"model_family":"GOLF"},"confidence":0.8,"normalized":{"market":["SE"],"power_kw":77,"manufacturer":"Volkswagen","bodywork_form":"estate","energy_sources":["petrol"],"displacement_cc":1197,"production_date":"2013-11","production_year":2013,"manufacturer_role":"vehicle_manufacturer","power_source_unit":"kw","registration_date":"2013-12-13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-11","field":"production_date","before":{"build_month":"201311","vehicle_year":2013,"registration_date":"20131213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20131213"},"target":"normalized","rule_ids":["DATE-REGISTRATION-V1","DATE-PRODUCTION-MONTH-V1"],"sequence":10,"transformer_id":"ts.dates","confidence_effect":0.1},{"after":2013,"field":"production_year","before":{"build_month":"201311","vehicle_year":2013,"registration_date":"20131213"},"target":"normalized","rule_ids":["DATE-REGISTRATION-V1","DATE-PRODUCTION-MONTH-V1"],"sequence":11,"transformer_id":"ts.dates","confidence_effect":0.1},{"after":"2013-12-13","field":"registration_date","before":{"build_month":"201311","vehicle_year":2013,"registration_date":"20131213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CJZAX0","version":"FM6FM6AJ009N7MJOVLVR2"},"target":"normalized","rule_ids":["TRN-001"],"sequence":17,"transformer_id":"ts.transmission","confidence_effect":0.1},{"after":"estate","field":"bodywork_form","before":{"model":"GOLF","variant":"AC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JZAX0","version":"FM6FM6AJ009N7MJOVLVR2"},"target":"normalized","rule_ids":["FUEL-001"],"sequence":20,"transformer_id":"ts.fuel","confidence_effect":0.0}],"pipeline_version":"normalization-pipeline-v4","candidate_rule_ids":[]}</x:v>
      </x:c>
      <x:c r="Z223" s="36" t="n">
        <x:v>46239.78067015046</x:v>
      </x:c>
      <x:c r="AA223" s="36" t="n">
        <x:v>46239.78067015046</x:v>
      </x:c>
    </x:row>
    <x:row r="224" ht="18" customHeight="1">
      <x:c r="A224" s="36" t="n">
        <x:v>2826</x:v>
      </x:c>
      <x:c r="B224" s="36" t="str">
        <x:v>f911718e-5ebb-53b2-8874-5c082d6d7159</x:v>
      </x:c>
      <x:c r="C224" s="36" t="str">
        <x:v>Transportstyrelsen</x:v>
      </x:c>
      <x:c r="D224" s="36" t="str">
        <x:v>normalization-review-passenger-250-v1-rules-20260805T184409855703Z</x:v>
      </x:c>
      <x:c r="E224" s="36" t="str">
        <x:v>staging.transportstyrelsen_raw</x:v>
      </x:c>
      <x:c r="F224" s="36" t="n">
        <x:v>2944</x:v>
      </x:c>
      <x:c r="G224" s="36" t="str">
        <x:v>ts-mapping-v1</x:v>
      </x:c>
      <x:c r="H224" s="36" t="str">
        <x:v>ts-review-20260805T184254528647Z</x:v>
      </x:c>
      <x:c r="I224" s="36" t="str">
        <x:v>normalization-pipeline-v4</x:v>
      </x:c>
      <x:c r="J224" s="36" t="str">
        <x:v>provisional</x:v>
      </x:c>
      <x:c r="K224" s="39" t="n">
        <x:v>0.8</x:v>
      </x:c>
      <x:c r="L224" s="36" t="str">
        <x:v>Audi</x:v>
      </x:c>
      <x:c r="M224" s="36" t="str">
        <x:v>A1 SPORTBACK</x:v>
      </x:c>
      <x:c r="N224" s="36" t="str">
        <x:v>hatchback</x:v>
      </x:c>
      <x:c r="O224" s="38" t="str">
        <x:v>["diesel"]</x:v>
      </x:c>
      <x:c r="P224" s="36" t="str">
        <x:v>manual</x:v>
      </x:c>
      <x:c r="Q224" s="36" t="n">
        <x:v>2013</x:v>
      </x:c>
      <x:c r="R224" s="38" t="str">
        <x:v>["MFR-BRAND-CONFIRMED","MFR-BRAND-VIN-WMI","DATE-REGISTRATION-V1","DATE-PRODUCTION-MONTH-V1","UNIT-POWER-KW-V1","UNIT-DISPLACEMENT-CCM-V1","TRN-001","BDY-109","FUEL-002"]</x:v>
      </x:c>
      <x:c r="S224" s="38" t="str">
        <x:v>[]</x:v>
      </x:c>
      <x:c r="T224" s="38" t="str">
        <x:v>[]</x:v>
      </x:c>
      <x:c r="U224" s="38" t="str">
        <x:v>{"market":["SE"],"power_kw":77,"manufacturer":"Audi","bodywork_form":"hatchback","energy_sources":["diesel"],"displacement_cc":1598,"production_date":"2013-09","production_year":2013,"manufacturer_role":"vehicle_manufacturer","power_source_unit":"kw","registration_date":"2013-12-12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24" s="38" t="str">
        <x:v>{"model_family":"A1 SPORTBACK"}</x:v>
      </x:c>
      <x:c r="W224" s="38" t="str">
        <x:v>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2013-09","field":"production_date","before":{"build_month":"201309","vehicle_year":2013,"registration_date":"20131212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20131212"},"target":"normalized","rule_ids":["DATE-REGISTRATION-V1","DATE-PRODUCTION-MONTH-V1"],"sequence":10,"transformer_id":"ts.dates","confidence_effect":0.1},{"after":2013,"field":"production_year","before":{"build_month":"201309","vehicle_year":2013,"registration_date":"20131212"},"target":"normalized","rule_ids":["DATE-REGISTRATION-V1","DATE-PRODUCTION-MONTH-V1"],"sequence":11,"transformer_id":"ts.dates","confidence_effect":0.1},{"after":"2013-12-12","field":"registration_date","before":{"build_month":"201309","vehicle_year":2013,"registration_date":"20131212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A1 SPORTBACK","gearbox":"M","variant":"SCAYCF1","version":"FM52R029R8X52LLS57MJEM3"},"target":"normalized","rule_ids":["TRN-001"],"sequence":17,"transformer_id":"ts.transmission","confidence_effect":0.1},{"after":"hatchback","field":"bodywork_form","before":{"model":"A1 SPORTBACK","variant":"SCAYCF1","version":"FM52R029R8X52LLS57MJEM3","body_code":"AB","eu_category":"M1","vehicle_type":"PB"},"target":"normalized","rule_ids":["BDY-109"],"sequence":18,"transformer_id":"ts.bodywork","confidence_effect":0.1},{"after":"Halvkombi","field":"bodywork_registry_label_sv","before":{"model":"A1 SPORTBACK","variant":"SCAYCF1","version":"FM52R029R8X52LLS57MJEM3","body_code":"AB","eu_category":"M1","vehicle_type":"PB"},"target":"normalized","rule_ids":["BDY-109"],"sequence":19,"transformer_id":"ts.bodywork","confidence_effect":0.1},{"after":["diesel"],"field":"energy_sources","before":{"fuel1":"2","fuel2":"0","fuel3":"0","model":"A1 SPORTBACK","variant":"SCAYCF1","version":"FM52R029R8X52LLS57MJEM3"},"target":"normalized","rule_ids":["FUEL-002"],"sequence":20,"transformer_id":"ts.fuel","confidence_effect":0.0}]</x:v>
      </x:c>
      <x:c r="X22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4" s="38" t="str">
        <x:v>{"candidates":{"model_family":"A1 SPORTBACK"},"confidence":0.8,"normalized":{"market":["SE"],"power_kw":77,"manufacturer":"Audi","bodywork_form":"hatchback","energy_sources":["diesel"],"displacement_cc":1598,"production_date":"2013-09","production_year":2013,"manufacturer_role":"vehicle_manufacturer","power_source_unit":"kw","registration_date":"2013-12-12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2013-09","field":"production_date","before":{"build_month":"201309","vehicle_year":2013,"registration_date":"20131212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20131212"},"target":"normalized","rule_ids":["DATE-REGISTRATION-V1","DATE-PRODUCTION-MONTH-V1"],"sequence":10,"transformer_id":"ts.dates","confidence_effect":0.1},{"after":2013,"field":"production_year","before":{"build_month":"201309","vehicle_year":2013,"registration_date":"20131212"},"target":"normalized","rule_ids":["DATE-REGISTRATION-V1","DATE-PRODUCTION-MONTH-V1"],"sequence":11,"transformer_id":"ts.dates","confidence_effect":0.1},{"after":"2013-12-12","field":"registration_date","before":{"build_month":"201309","vehicle_year":2013,"registration_date":"20131212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A1 SPORTBACK","gearbox":"M","variant":"SCAYCF1","version":"FM52R029R8X52LLS57MJEM3"},"target":"normalized","rule_ids":["TRN-001"],"sequence":17,"transformer_id":"ts.transmission","confidence_effect":0.1},{"after":"hatchback","field":"bodywork_form","before":{"model":"A1 SPORTBACK","variant":"SCAYCF1","version":"FM52R029R8X52LLS57MJEM3","body_code":"AB","eu_category":"M1","vehicle_type":"PB"},"target":"normalized","rule_ids":["BDY-109"],"sequence":18,"transformer_id":"ts.bodywork","confidence_effect":0.1},{"after":"Halvkombi","field":"bodywork_registry_label_sv","before":{"model":"A1 SPORTBACK","variant":"SCAYCF1","version":"FM52R029R8X52LLS57MJEM3","body_code":"AB","eu_category":"M1","vehicle_type":"PB"},"target":"normalized","rule_ids":["BDY-109"],"sequence":19,"transformer_id":"ts.bodywork","confidence_effect":0.1},{"after":["diesel"],"field":"energy_sources","before":{"fuel1":"2","fuel2":"0","fuel3":"0","model":"A1 SPORTBACK","variant":"SCAYCF1","version":"FM52R029R8X52LLS57MJEM3"},"target":"normalized","rule_ids":["FUEL-002"],"sequence":20,"transformer_id":"ts.fuel","confidence_effect":0.0}],"pipeline_version":"normalization-pipeline-v4","candidate_rule_ids":[]}</x:v>
      </x:c>
      <x:c r="Z224" s="36" t="n">
        <x:v>46239.78067015046</x:v>
      </x:c>
      <x:c r="AA224" s="36" t="n">
        <x:v>46239.78067015046</x:v>
      </x:c>
    </x:row>
    <x:row r="225" ht="18" customHeight="1">
      <x:c r="A225" s="36" t="n">
        <x:v>2827</x:v>
      </x:c>
      <x:c r="B225" s="36" t="str">
        <x:v>e9c19485-2480-51d0-8fea-12e3a9bc3858</x:v>
      </x:c>
      <x:c r="C225" s="36" t="str">
        <x:v>Transportstyrelsen</x:v>
      </x:c>
      <x:c r="D225" s="36" t="str">
        <x:v>normalization-review-passenger-250-v1-rules-20260805T184409855703Z</x:v>
      </x:c>
      <x:c r="E225" s="36" t="str">
        <x:v>staging.transportstyrelsen_raw</x:v>
      </x:c>
      <x:c r="F225" s="36" t="n">
        <x:v>2945</x:v>
      </x:c>
      <x:c r="G225" s="36" t="str">
        <x:v>ts-mapping-v1</x:v>
      </x:c>
      <x:c r="H225" s="36" t="str">
        <x:v>ts-review-20260805T184254528647Z</x:v>
      </x:c>
      <x:c r="I225" s="36" t="str">
        <x:v>normalization-pipeline-v4</x:v>
      </x:c>
      <x:c r="J225" s="36" t="str">
        <x:v>provisional</x:v>
      </x:c>
      <x:c r="K225" s="39" t="n">
        <x:v>0.8</x:v>
      </x:c>
      <x:c r="L225" s="36" t="str">
        <x:v>BMW</x:v>
      </x:c>
      <x:c r="M225" s="36"/>
      <x:c r="N225" s="36" t="str">
        <x:v>covered_body</x:v>
      </x:c>
      <x:c r="O225" s="38" t="str">
        <x:v>["petrol"]</x:v>
      </x:c>
      <x:c r="P225" s="36" t="str">
        <x:v>manual</x:v>
      </x:c>
      <x:c r="Q225" s="36" t="n">
        <x:v>1997</x:v>
      </x:c>
      <x:c r="R225" s="38" t="str">
        <x:v>["DATE-REGISTRATION-V1","DATE-PRODUCTION-YEAR-V1","UNIT-POWER-KW-V1","TRN-001","BDY-102","FUEL-001"]</x:v>
      </x:c>
      <x:c r="S225" s="38" t="str">
        <x:v>["MFR-BRAND-PREFIX-FALLBACK"]</x:v>
      </x:c>
      <x:c r="T225" s="38" t="str">
        <x:v>[]</x:v>
      </x:c>
      <x:c r="U225" s="38" t="str">
        <x:v>{"market":["SE"],"power_kw":75,"manufacturer":"BMW","bodywork_form":"covered_body","energy_sources":["petrol"],"production_year":1997,"manufacturer_role":"vehicle_manufacturer","power_source_unit":"kw","registration_date":"1996-12-03","transmission_type":"manual","alias_types_present":["plate","vin"],"builder_converter_names":[],"production_date_precision":"model_year","bodywork_registry_label_sv":"Täckt"}</x:v>
      </x:c>
      <x:c r="V225" s="38" t="str">
        <x:v>{"manufacturer_confirmation":{"source_fields":["brand"],"canonical_name":"BMW"}}</x:v>
      </x:c>
      <x:c r="W2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316I/3","target":"normalized","rule_ids":["MFR-CLASSIFY-V1"],"sequence":3,"transformer_id":"ts.manufacturer","confidence_effect":0.2},{"after":"BMW","field":"manufacturer","before":"BMW 316I/3","target":"normalized","rule_ids":["MFR-CLASSIFY-V1"],"sequence":4,"transformer_id":"ts.manufacturer","confidence_effect":0.2},{"after":"vehicle_manufacturer","field":"manufacturer_role","before":"BMW 316I/3","target":"normalized","rule_ids":["MFR-CLASSIFY-V1"],"sequence":5,"transformer_id":"ts.manufacturer","confidence_effect":0.2},{"after":{"source_fields":["brand"],"canonical_name":"BMW"},"field":"manufacturer_confirmation","before":"BMW 316I/3","target":"candidate","rule_ids":["MFR-BRAND-PREFIX-FALLBACK"],"sequence":6,"transformer_id":"ts.manufacturer","confidence_effect":0.05},{"after":"model_year","field":"production_date_precision","before":{"model_year":1997,"vehicle_year":1997,"registration_date":"19961203"},"target":"normalized","rule_ids":["DATE-REGISTRATION-V1","DATE-PRODUCTION-YEAR-V1"],"sequence":7,"transformer_id":"ts.dates","confidence_effect":0.1},{"after":1997,"field":"production_year","before":{"model_year":1997,"vehicle_year":1997,"registration_date":"19961203"},"target":"normalized","rule_ids":["DATE-REGISTRATION-V1","DATE-PRODUCTION-YEAR-V1"],"sequence":8,"transformer_id":"ts.dates","confidence_effect":0.1},{"after":"1996-12-03","field":"registration_date","before":{"model_year":1997,"vehicle_year":1997,"registration_date":"19961203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{"gearbox":"M","variant":"CG11","version":"01"},"target":"normalized","rule_ids":["TRN-001"],"sequence":12,"transformer_id":"ts.transmission","confidence_effect":0.1},{"after":"covered_body","field":"bodywork_form","before":{"variant":"CG11","version":"01","body_code":"01","eu_category":"M1","vehicle_type":"PB"},"target":"normalized","rule_ids":["BDY-102"],"sequence":13,"transformer_id":"ts.bodywork","confidence_effect":0.1},{"after":"Täckt","field":"bodywork_registry_label_sv","before":{"variant":"CG11","version":"01","body_code":"01","eu_category":"M1","vehicle_type":"PB"},"target":"normalized","rule_ids":["BDY-102"],"sequence":14,"transformer_id":"ts.bodywork","confidence_effect":0.1},{"after":["petrol"],"field":"energy_sources","before":{"fuel1":"1","fuel2":"0","fuel3":"0","variant":"CG11","version":"01"},"target":"normalized","rule_ids":["FUEL-001"],"sequence":15,"transformer_id":"ts.fuel","confidence_effect":0.0}]</x:v>
      </x:c>
      <x:c r="X22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5" s="38" t="str">
        <x:v>{"candidates":{"manufacturer_confirmation":{"source_fields":["brand"],"canonical_name":"BMW"}},"confidence":0.8,"normalized":{"market":["SE"],"power_kw":75,"manufacturer":"BMW","bodywork_form":"covered_body","energy_sources":["petrol"],"production_year":1997,"manufacturer_role":"vehicle_manufacturer","power_source_unit":"kw","registration_date":"1996-12-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316I/3","target":"normalized","rule_ids":["MFR-CLASSIFY-V1"],"sequence":3,"transformer_id":"ts.manufacturer","confidence_effect":0.2},{"after":"BMW","field":"manufacturer","before":"BMW 316I/3","target":"normalized","rule_ids":["MFR-CLASSIFY-V1"],"sequence":4,"transformer_id":"ts.manufacturer","confidence_effect":0.2},{"after":"vehicle_manufacturer","field":"manufacturer_role","before":"BMW 316I/3","target":"normalized","rule_ids":["MFR-CLASSIFY-V1"],"sequence":5,"transformer_id":"ts.manufacturer","confidence_effect":0.2},{"after":{"source_fields":["brand"],"canonical_name":"BMW"},"field":"manufacturer_confirmation","before":"BMW 316I/3","target":"candidate","rule_ids":["MFR-BRAND-PREFIX-FALLBACK"],"sequence":6,"transformer_id":"ts.manufacturer","confidence_effect":0.05},{"after":"model_year","field":"production_date_precision","before":{"model_year":1997,"vehicle_year":1997,"registration_date":"19961203"},"target":"normalized","rule_ids":["DATE-REGISTRATION-V1","DATE-PRODUCTION-YEAR-V1"],"sequence":7,"transformer_id":"ts.dates","confidence_effect":0.1},{"after":1997,"field":"production_year","before":{"model_year":1997,"vehicle_year":1997,"registration_date":"19961203"},"target":"normalized","rule_ids":["DATE-REGISTRATION-V1","DATE-PRODUCTION-YEAR-V1"],"sequence":8,"transformer_id":"ts.dates","confidence_effect":0.1},{"after":"1996-12-03","field":"registration_date","before":{"model_year":1997,"vehicle_year":1997,"registration_date":"19961203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{"gearbox":"M","variant":"CG11","version":"01"},"target":"normalized","rule_ids":["TRN-001"],"sequence":12,"transformer_id":"ts.transmission","confidence_effect":0.1},{"after":"covered_body","field":"bodywork_form","before":{"variant":"CG11","version":"01","body_code":"01","eu_category":"M1","vehicle_type":"PB"},"target":"normalized","rule_ids":["BDY-102"],"sequence":13,"transformer_id":"ts.bodywork","confidence_effect":0.1},{"after":"Täckt","field":"bodywork_registry_label_sv","before":{"variant":"CG11","version":"01","body_code":"01","eu_category":"M1","vehicle_type":"PB"},"target":"normalized","rule_ids":["BDY-102"],"sequence":14,"transformer_id":"ts.bodywork","confidence_effect":0.1},{"after":["petrol"],"field":"energy_sources","before":{"fuel1":"1","fuel2":"0","fuel3":"0","variant":"CG11","version":"01"},"target":"normalized","rule_ids":["FUEL-001"],"sequence":15,"transformer_id":"ts.fuel","confidence_effect":0.0}],"pipeline_version":"normalization-pipeline-v4","candidate_rule_ids":["MFR-BRAND-PREFIX-FALLBACK"]}</x:v>
      </x:c>
      <x:c r="Z225" s="36" t="n">
        <x:v>46239.78067015046</x:v>
      </x:c>
      <x:c r="AA225" s="36" t="n">
        <x:v>46239.78067015046</x:v>
      </x:c>
    </x:row>
    <x:row r="226" ht="18" customHeight="1">
      <x:c r="A226" s="36" t="n">
        <x:v>2828</x:v>
      </x:c>
      <x:c r="B226" s="36" t="str">
        <x:v>ff22c8ea-3849-5cd0-8ff9-28df41e3f7b2</x:v>
      </x:c>
      <x:c r="C226" s="36" t="str">
        <x:v>Transportstyrelsen</x:v>
      </x:c>
      <x:c r="D226" s="36" t="str">
        <x:v>normalization-review-passenger-250-v1-rules-20260805T184409855703Z</x:v>
      </x:c>
      <x:c r="E226" s="36" t="str">
        <x:v>staging.transportstyrelsen_raw</x:v>
      </x:c>
      <x:c r="F226" s="36" t="n">
        <x:v>2946</x:v>
      </x:c>
      <x:c r="G226" s="36" t="str">
        <x:v>ts-mapping-v1</x:v>
      </x:c>
      <x:c r="H226" s="36" t="str">
        <x:v>ts-review-20260805T184254528647Z</x:v>
      </x:c>
      <x:c r="I226" s="36" t="str">
        <x:v>normalization-pipeline-v4</x:v>
      </x:c>
      <x:c r="J226" s="36" t="str">
        <x:v>provisional</x:v>
      </x:c>
      <x:c r="K226" s="39" t="n">
        <x:v>0.8</x:v>
      </x:c>
      <x:c r="L226" s="36" t="str">
        <x:v>Lexus</x:v>
      </x:c>
      <x:c r="M226" s="36" t="str">
        <x:v>LEXUS GS450H</x:v>
      </x:c>
      <x:c r="N226" s="36" t="str">
        <x:v>coupe</x:v>
      </x:c>
      <x:c r="O226" s="38" t="str">
        <x:v>["petrol","electricity"]</x:v>
      </x:c>
      <x:c r="P226" s="36" t="str">
        <x:v>cvt</x:v>
      </x:c>
      <x:c r="Q226" s="36" t="n">
        <x:v>2008</x:v>
      </x:c>
      <x:c r="R226" s="38" t="str">
        <x:v>["DATE-REGISTRATION-V1","DATE-PRODUCTION-MONTH-V1","UNIT-POWER-KW-V1","UNIT-DISPLACEMENT-CCM-V1","TRN-003","BDY-107","FUEL-001","FUEL-003"]</x:v>
      </x:c>
      <x:c r="S226" s="38" t="str">
        <x:v>["MFR-BRAND-PREFIX-FALLBACK"]</x:v>
      </x:c>
      <x:c r="T226" s="38" t="str">
        <x:v>[]</x:v>
      </x:c>
      <x:c r="U226" s="38" t="str">
        <x:v>{"market":["SE"],"power_kw":218,"manufacturer":"Lexus","bodywork_form":"coupe","energy_sources":["petrol","electricity"],"displacement_cc":3456,"production_date":"2008-12","production_year":2008,"manufacturer_role":"vehicle_manufacturer","power_source_unit":"kw","registration_date":"2009-03-27","transmission_type":"cvt","alias_types_present":["plate","vin","model_name"],"transmission_display":"Variomatic","model_family_candidate":true,"builder_converter_names":[],"displacement_source_unit":"ccm","production_date_precision":"month","bodywork_registry_label_sv":"Kupé"}</x:v>
      </x:c>
      <x:c r="V226" s="38" t="str">
        <x:v>{"model_family":"LEXUS GS450H","manufacturer_confirmation":{"source_fields":["brand"],"canonical_name":"Lexus"}}</x:v>
      </x:c>
      <x:c r="W2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GS 450H COMFORT (F","target":"normalized","rule_ids":["MFR-CLASSIFY-V1"],"sequence":3,"transformer_id":"ts.manufacturer","confidence_effect":0.2},{"after":"Lexus","field":"manufacturer","before":"LEXUS GS 450H COMFORT (F","target":"normalized","rule_ids":["MFR-CLASSIFY-V1"],"sequence":4,"transformer_id":"ts.manufacturer","confidence_effect":0.2},{"after":"vehicle_manufacturer","field":"manufacturer_role","before":"LEXUS GS 450H COMFORT (F","target":"normalized","rule_ids":["MFR-CLASSIFY-V1"],"sequence":5,"transformer_id":"ts.manufacturer","confidence_effect":0.2},{"after":{"source_fields":["brand"],"canonical_name":"Lexus"},"field":"manufacturer_confirmation","before":"LEXUS GS 450H COMFORT (F","target":"candidate","rule_ids":["MFR-BRAND-PREFIX-FALLBACK"],"sequence":6,"transformer_id":"ts.manufacturer","confidence_effect":0.05},{"after":true,"field":"model_family_candidate","before":"LEXUS GS450H","target":"normalized","rule_ids":["MODEL-CANDIDATE-V1"],"sequence":7,"transformer_id":"ts.model-family","confidence_effect":0.0},{"after":"LEXUS GS450H","field":"model_family","before":"LEXUS GS450H","target":"candidate","rule_ids":["MODEL-CANDIDATE-V1"],"sequence":8,"transformer_id":"ts.model-family","confidence_effect":0.05},{"after":"2008-12","field":"production_date","before":{"build_month":"200812","vehicle_year":2008,"registration_date":"20090327"},"target":"normalized","rule_ids":["DATE-REGISTRATION-V1","DATE-PRODUCTION-MONTH-V1"],"sequence":9,"transformer_id":"ts.dates","confidence_effect":0.1},{"after":"month","field":"production_date_precision","before":{"build_month":"200812","vehicle_year":2008,"registration_date":"20090327"},"target":"normalized","rule_ids":["DATE-REGISTRATION-V1","DATE-PRODUCTION-MONTH-V1"],"sequence":10,"transformer_id":"ts.dates","confidence_effect":0.1},{"after":2008,"field":"production_year","before":{"build_month":"200812","vehicle_year":2008,"registration_date":"20090327"},"target":"normalized","rule_ids":["DATE-REGISTRATION-V1","DATE-PRODUCTION-MONTH-V1"],"sequence":11,"transformer_id":"ts.dates","confidence_effect":0.1},{"after":"2009-03-27","field":"registration_date","before":{"build_month":"200812","vehicle_year":2008,"registration_date":"20090327"},"target":"normalized","rule_ids":["DATE-REGISTRATION-V1","DATE-PRODUCTION-MONTH-V1"],"sequence":12,"transformer_id":"ts.dates","confidence_effect":0.1},{"after":3456,"field":"displacement_cc","before":{"kw":218,"ccm":3456},"target":"normalized","rule_ids":["UNIT-POWER-KW-V1","UNIT-DISPLACEMENT-CCM-V1"],"sequence":13,"transformer_id":"ts.engine-measurements","confidence_effect":0.1},{"after":"ccm","field":"displacement_source_unit","before":{"kw":218,"ccm":3456},"target":"normalized","rule_ids":["UNIT-POWER-KW-V1","UNIT-DISPLACEMENT-CCM-V1"],"sequence":14,"transformer_id":"ts.engine-measurements","confidence_effect":0.1},{"after":218,"field":"power_kw","before":{"kw":218,"ccm":3456},"target":"normalized","rule_ids":["UNIT-POWER-KW-V1","UNIT-DISPLACEMENT-CCM-V1"],"sequence":15,"transformer_id":"ts.engine-measurements","confidence_effect":0.1},{"after":"kw","field":"power_source_unit","before":{"kw":218,"ccm":3456},"target":"normalized","rule_ids":["UNIT-POWER-KW-V1","UNIT-DISPLACEMENT-CCM-V1"],"sequence":16,"transformer_id":"ts.engine-measurements","confidence_effect":0.1},{"after":"Variomatic","field":"transmission_display","before":{"model":"LEXUS GS450H","gearbox":"V","variant":"GWS191(E)","version":"GWS191L-BEXQHW(1E)"},"target":"normalized","rule_ids":["TRN-003"],"sequence":17,"transformer_id":"ts.transmission","confidence_effect":0.1},{"after":"cvt","field":"transmission_type","before":{"model":"LEXUS GS450H","gearbox":"V","variant":"GWS191(E)","version":"GWS191L-BEXQHW(1E)"},"target":"normalized","rule_ids":["TRN-003"],"sequence":18,"transformer_id":"ts.transmission","confidence_effect":0.1},{"after":"coupe","field":"bodywork_form","before":{"model":"LEXUS GS450H","variant":"GWS191(E)","version":"GWS191L-BEXQHW(1E)","body_code":"AD","eu_category":"M1","vehicle_type":"PB"},"target":"normalized","rule_ids":["BDY-107"],"sequence":19,"transformer_id":"ts.bodywork","confidence_effect":0.1},{"after":"Kupé","field":"bodywork_registry_label_sv","before":{"model":"LEXUS GS450H","variant":"GWS191(E)","version":"GWS191L-BEXQHW(1E)","body_code":"AD","eu_category":"M1","vehicle_type":"PB"},"target":"normalized","rule_ids":["BDY-107"],"sequence":20,"transformer_id":"ts.bodywork","confidence_effect":0.1},{"after":["petrol","electricity"],"field":"energy_sources","before":{"fuel1":"1","fuel2":"3","fuel3":"0","model":"LEXUS GS450H","variant":"GWS191(E)","version":"GWS191L-BEXQHW(1E)"},"target":"normalized","rule_ids":["FUEL-001","FUEL-003"],"sequence":21,"transformer_id":"ts.fuel","confidence_effect":0.0}]</x:v>
      </x:c>
      <x:c r="X226" s="38" t="str">
        <x:v>[{"rule_id":"TRN-003","decision":"accepted","source_term":"V","source_field":"gearbox","target_field":"transmission_type","canonical_value":"cvt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226" s="38" t="str">
        <x:v>{"candidates":{"model_family":"LEXUS GS450H","manufacturer_confirmation":{"source_fields":["brand"],"canonical_name":"Lexus"}},"confidence":0.8,"normalized":{"market":["SE"],"power_kw":218,"manufacturer":"Lexus","bodywork_form":"coupe","energy_sources":["petrol","electricity"],"displacement_cc":3456,"production_date":"2008-12","production_year":2008,"manufacturer_role":"vehicle_manufacturer","power_source_unit":"kw","registration_date":"2009-03-27","transmission_type":"cvt","alias_types_present":["plate","vin","model_name"],"transmission_display":"Variomatic","model_family_candidate":true,"builder_converter_names":[],"displacement_source_unit":"ccm","production_date_precision":"month","bodywork_registry_label_sv":"Kupé"},"rule_matches":[{"rule_id":"TRN-003","decision":"accepted","source_term":"V","source_field":"gearbox","target_field":"transmission_type","canonical_value":"cvt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GS 450H COMFORT (F","target":"normalized","rule_ids":["MFR-CLASSIFY-V1"],"sequence":3,"transformer_id":"ts.manufacturer","confidence_effect":0.2},{"after":"Lexus","field":"manufacturer","before":"LEXUS GS 450H COMFORT (F","target":"normalized","rule_ids":["MFR-CLASSIFY-V1"],"sequence":4,"transformer_id":"ts.manufacturer","confidence_effect":0.2},{"after":"vehicle_manufacturer","field":"manufacturer_role","before":"LEXUS GS 450H COMFORT (F","target":"normalized","rule_ids":["MFR-CLASSIFY-V1"],"sequence":5,"transformer_id":"ts.manufacturer","confidence_effect":0.2},{"after":{"source_fields":["brand"],"canonical_name":"Lexus"},"field":"manufacturer_confirmation","before":"LEXUS GS 450H COMFORT (F","target":"candidate","rule_ids":["MFR-BRAND-PREFIX-FALLBACK"],"sequence":6,"transformer_id":"ts.manufacturer","confidence_effect":0.05},{"after":true,"field":"model_family_candidate","before":"LEXUS GS450H","target":"normalized","rule_ids":["MODEL-CANDIDATE-V1"],"sequence":7,"transformer_id":"ts.model-family","confidence_effect":0.0},{"after":"LEXUS GS450H","field":"model_family","before":"LEXUS GS450H","target":"candidate","rule_ids":["MODEL-CANDIDATE-V1"],"sequence":8,"transformer_id":"ts.model-family","confidence_effect":0.05},{"after":"2008-12","field":"production_date","before":{"build_month":"200812","vehicle_year":2008,"registration_date":"20090327"},"target":"normalized","rule_ids":["DATE-REGISTRATION-V1","DATE-PRODUCTION-MONTH-V1"],"sequence":9,"transformer_id":"ts.dates","confidence_effect":0.1},{"after":"month","field":"production_date_precision","before":{"build_month":"200812","vehicle_year":2008,"registration_date":"20090327"},"target":"normalized","rule_ids":["DATE-REGISTRATION-V1","DATE-PRODUCTION-MONTH-V1"],"sequence":10,"transformer_id":"ts.dates","confidence_effect":0.1},{"after":2008,"field":"production_year","before":{"build_month":"200812","vehicle_year":2008,"registration_date":"20090327"},"target":"normalized","rule_ids":["DATE-REGISTRATION-V1","DATE-PRODUCTION-MONTH-V1"],"sequence":11,"transformer_id":"ts.dates","confidence_effect":0.1},{"after":"2009-03-27","field":"registration_date","before":{"build_month":"200812","vehicle_year":2008,"registration_date":"20090327"},"target":"normalized","rule_ids":["DATE-REGISTRATION-V1","DATE-PRODUCTION-MONTH-V1"],"sequence":12,"transformer_id":"ts.dates","confidence_effect":0.1},{"after":3456,"field":"displacement_cc","before":{"kw":218,"ccm":3456},"target":"normalized","rule_ids":["UNIT-POWER-KW-V1","UNIT-DISPLACEMENT-CCM-V1"],"sequence":13,"transformer_id":"ts.engine-measurements","confidence_effect":0.1},{"after":"ccm","field":"displacement_source_unit","before":{"kw":218,"ccm":3456},"target":"normalized","rule_ids":["UNIT-POWER-KW-V1","UNIT-DISPLACEMENT-CCM-V1"],"sequence":14,"transformer_id":"ts.engine-measurements","confidence_effect":0.1},{"after":218,"field":"power_kw","before":{"kw":218,"ccm":3456},"target":"normalized","rule_ids":["UNIT-POWER-KW-V1","UNIT-DISPLACEMENT-CCM-V1"],"sequence":15,"transformer_id":"ts.engine-measurements","confidence_effect":0.1},{"after":"kw","field":"power_source_unit","before":{"kw":218,"ccm":3456},"target":"normalized","rule_ids":["UNIT-POWER-KW-V1","UNIT-DISPLACEMENT-CCM-V1"],"sequence":16,"transformer_id":"ts.engine-measurements","confidence_effect":0.1},{"after":"Variomatic","field":"transmission_display","before":{"model":"LEXUS GS450H","gearbox":"V","variant":"GWS191(E)","version":"GWS191L-BEXQHW(1E)"},"target":"normalized","rule_ids":["TRN-003"],"sequence":17,"transformer_id":"ts.transmission","confidence_effect":0.1},{"after":"cvt","field":"transmission_type","before":{"model":"LEXUS GS450H","gearbox":"V","variant":"GWS191(E)","version":"GWS191L-BEXQHW(1E)"},"target":"normalized","rule_ids":["TRN-003"],"sequence":18,"transformer_id":"ts.transmission","confidence_effect":0.1},{"after":"coupe","field":"bodywork_form","before":{"model":"LEXUS GS450H","variant":"GWS191(E)","version":"GWS191L-BEXQHW(1E)","body_code":"AD","eu_category":"M1","vehicle_type":"PB"},"target":"normalized","rule_ids":["BDY-107"],"sequence":19,"transformer_id":"ts.bodywork","confidence_effect":0.1},{"after":"Kupé","field":"bodywork_registry_label_sv","before":{"model":"LEXUS GS450H","variant":"GWS191(E)","version":"GWS191L-BEXQHW(1E)","body_code":"AD","eu_category":"M1","vehicle_type":"PB"},"target":"normalized","rule_ids":["BDY-107"],"sequence":20,"transformer_id":"ts.bodywork","confidence_effect":0.1},{"after":["petrol","electricity"],"field":"energy_sources","before":{"fuel1":"1","fuel2":"3","fuel3":"0","model":"LEXUS GS450H","variant":"GWS191(E)","version":"GWS191L-BEXQHW(1E)"},"target":"normalized","rule_ids":["FUEL-001","FUEL-003"],"sequence":21,"transformer_id":"ts.fuel","confidence_effect":0.0}],"pipeline_version":"normalization-pipeline-v4","candidate_rule_ids":["MFR-BRAND-PREFIX-FALLBACK"]}</x:v>
      </x:c>
      <x:c r="Z226" s="36" t="n">
        <x:v>46239.78067015046</x:v>
      </x:c>
      <x:c r="AA226" s="36" t="n">
        <x:v>46239.78067015046</x:v>
      </x:c>
    </x:row>
    <x:row r="227" ht="18" customHeight="1">
      <x:c r="A227" s="36" t="n">
        <x:v>2829</x:v>
      </x:c>
      <x:c r="B227" s="36" t="str">
        <x:v>071940f6-286f-58a9-ae14-fa78f846db10</x:v>
      </x:c>
      <x:c r="C227" s="36" t="str">
        <x:v>Transportstyrelsen</x:v>
      </x:c>
      <x:c r="D227" s="36" t="str">
        <x:v>normalization-review-passenger-250-v1-rules-20260805T184409855703Z</x:v>
      </x:c>
      <x:c r="E227" s="36" t="str">
        <x:v>staging.transportstyrelsen_raw</x:v>
      </x:c>
      <x:c r="F227" s="36" t="n">
        <x:v>2947</x:v>
      </x:c>
      <x:c r="G227" s="36" t="str">
        <x:v>ts-mapping-v1</x:v>
      </x:c>
      <x:c r="H227" s="36" t="str">
        <x:v>ts-review-20260805T184254528647Z</x:v>
      </x:c>
      <x:c r="I227" s="36" t="str">
        <x:v>normalization-pipeline-v4</x:v>
      </x:c>
      <x:c r="J227" s="36" t="str">
        <x:v>provisional</x:v>
      </x:c>
      <x:c r="K227" s="39" t="n">
        <x:v>0.8</x:v>
      </x:c>
      <x:c r="L227" s="36" t="str">
        <x:v>Volvo</x:v>
      </x:c>
      <x:c r="M227" s="36" t="str">
        <x:v>V40</x:v>
      </x:c>
      <x:c r="N227" s="36" t="str">
        <x:v>multi_purpose_vehicle</x:v>
      </x:c>
      <x:c r="O227" s="38" t="str">
        <x:v>["diesel"]</x:v>
      </x:c>
      <x:c r="P227" s="36" t="str">
        <x:v>manual</x:v>
      </x:c>
      <x:c r="Q227" s="36" t="n">
        <x:v>2013</x:v>
      </x:c>
      <x:c r="R227" s="38" t="str">
        <x:v>["MFR-BRAND-CONFIRMED","MFR-BRAND-VIN-WMI","DATE-REGISTRATION-V1","DATE-PRODUCTION-MONTH-V1","UNIT-POWER-KW-V1","UNIT-DISPLACEMENT-CCM-V1","TRN-001","BDY-113","FUEL-002"]</x:v>
      </x:c>
      <x:c r="S227" s="38" t="str">
        <x:v>[]</x:v>
      </x:c>
      <x:c r="T227" s="38" t="str">
        <x:v>[]</x:v>
      </x:c>
      <x:c r="U227" s="38" t="str">
        <x:v>{"market":["SE"],"power_kw":84,"manufacturer":"Volvo","bodywork_form":"multi_purpose_vehicle","energy_sources":["diesel"],"displacement_cc":1560,"production_date":"2013-11","production_year":2013,"manufacturer_role":"vehicle_manufacturer","power_source_unit":"kw","registration_date":"2013-12-20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27" s="38" t="str">
        <x:v>{"model_family":"V40"}</x:v>
      </x:c>
      <x:c r="W2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2013-11","field":"production_date","before":{"build_month":"201311","vehicle_year":2013,"registration_date":"20131220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20131220"},"target":"normalized","rule_ids":["DATE-REGISTRATION-V1","DATE-PRODUCTION-MONTH-V1"],"sequence":9,"transformer_id":"ts.dates","confidence_effect":0.1},{"after":2013,"field":"production_year","before":{"build_month":"201311","vehicle_year":2013,"registration_date":"20131220"},"target":"normalized","rule_ids":["DATE-REGISTRATION-V1","DATE-PRODUCTION-MONTH-V1"],"sequence":10,"transformer_id":"ts.dates","confidence_effect":0.1},{"after":"2013-12-20","field":"registration_date","before":{"build_month":"201311","vehicle_year":2013,"registration_date":"20131220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</x:v>
      </x:c>
      <x:c r="X22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7" s="38" t="str">
        <x:v>{"candidates":{"model_family":"V40"},"confidence":0.8,"normalized":{"market":["SE"],"power_kw":84,"manufacturer":"Volvo","bodywork_form":"multi_purpose_vehicle","energy_sources":["diesel"],"displacement_cc":1560,"production_date":"2013-11","production_year":2013,"manufacturer_role":"vehicle_manufacturer","power_source_unit":"kw","registration_date":"2013-12-20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2013-11","field":"production_date","before":{"build_month":"201311","vehicle_year":2013,"registration_date":"20131220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20131220"},"target":"normalized","rule_ids":["DATE-REGISTRATION-V1","DATE-PRODUCTION-MONTH-V1"],"sequence":9,"transformer_id":"ts.dates","confidence_effect":0.1},{"after":2013,"field":"production_year","before":{"build_month":"201311","vehicle_year":2013,"registration_date":"20131220"},"target":"normalized","rule_ids":["DATE-REGISTRATION-V1","DATE-PRODUCTION-MONTH-V1"],"sequence":10,"transformer_id":"ts.dates","confidence_effect":0.1},{"after":"2013-12-20","field":"registration_date","before":{"build_month":"201311","vehicle_year":2013,"registration_date":"20131220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,"pipeline_version":"normalization-pipeline-v4","candidate_rule_ids":[]}</x:v>
      </x:c>
      <x:c r="Z227" s="36" t="n">
        <x:v>46239.78067015046</x:v>
      </x:c>
      <x:c r="AA227" s="36" t="n">
        <x:v>46239.78067015046</x:v>
      </x:c>
    </x:row>
    <x:row r="228" ht="18" customHeight="1">
      <x:c r="A228" s="36" t="n">
        <x:v>2830</x:v>
      </x:c>
      <x:c r="B228" s="36" t="str">
        <x:v>37e7f01a-b33f-5f95-99e4-8f0b8ab883e7</x:v>
      </x:c>
      <x:c r="C228" s="36" t="str">
        <x:v>Transportstyrelsen</x:v>
      </x:c>
      <x:c r="D228" s="36" t="str">
        <x:v>normalization-review-passenger-250-v1-rules-20260805T184409855703Z</x:v>
      </x:c>
      <x:c r="E228" s="36" t="str">
        <x:v>staging.transportstyrelsen_raw</x:v>
      </x:c>
      <x:c r="F228" s="36" t="n">
        <x:v>2948</x:v>
      </x:c>
      <x:c r="G228" s="36" t="str">
        <x:v>ts-mapping-v1</x:v>
      </x:c>
      <x:c r="H228" s="36" t="str">
        <x:v>ts-review-20260805T184254528647Z</x:v>
      </x:c>
      <x:c r="I228" s="36" t="str">
        <x:v>normalization-pipeline-v4</x:v>
      </x:c>
      <x:c r="J228" s="36" t="str">
        <x:v>provisional</x:v>
      </x:c>
      <x:c r="K228" s="39" t="n">
        <x:v>0.8</x:v>
      </x:c>
      <x:c r="L228" s="36" t="str">
        <x:v>Kia</x:v>
      </x:c>
      <x:c r="M228" s="36" t="str">
        <x:v>SL</x:v>
      </x:c>
      <x:c r="N228" s="36" t="str">
        <x:v>multi_purpose_vehicle</x:v>
      </x:c>
      <x:c r="O228" s="38" t="str">
        <x:v>["diesel"]</x:v>
      </x:c>
      <x:c r="P228" s="36" t="str">
        <x:v>automatic</x:v>
      </x:c>
      <x:c r="Q228" s="36" t="n">
        <x:v>2013</x:v>
      </x:c>
      <x:c r="R228" s="38" t="str">
        <x:v>["MFR-BRAND-CONFIRMED","MFR-BRAND-VIN-WMI","DATE-REGISTRATION-V1","DATE-PRODUCTION-MONTH-V1","UNIT-POWER-KW-V1","UNIT-DISPLACEMENT-CCM-V1","TRN-002","BDY-113","FUEL-002"]</x:v>
      </x:c>
      <x:c r="S228" s="38" t="str">
        <x:v>["DRV-008"]</x:v>
      </x:c>
      <x:c r="T228" s="38" t="str">
        <x:v>[]</x:v>
      </x:c>
      <x:c r="U228" s="38" t="str">
        <x:v>{"market":["SE"],"power_kw":135,"manufacturer":"Kia","bodywork_form":"multi_purpose_vehicle","energy_sources":["diesel"],"displacement_cc":1995,"production_date":"2013-10","production_year":2013,"manufacturer_role":"vehicle_manufacturer","power_source_unit":"kw","registration_date":"2013-12-05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28" s="38" t="str">
        <x:v>{"drive_type":"awd","model_family":"SL"}</x:v>
      </x:c>
      <x:c r="W2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EX","target":"normalized","rule_ids":["MFR-BRAND-CONFIRMED","MFR-BRAND-VIN-WMI"],"sequence":3,"transformer_id":"ts.manufacturer","confidence_effect":0.2},{"after":"Kia","field":"manufacturer","before":"KIA SPORTAGE 2,0 CRDI EX","target":"normalized","rule_ids":["MFR-BRAND-CONFIRMED","MFR-BRAND-VIN-WMI"],"sequence":4,"transformer_id":"ts.manufacturer","confidence_effect":0.2},{"after":"vehicle_manufacturer","field":"manufacturer_role","before":"KIA SPORTAGE 2,0 CRDI EX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2013-10","field":"production_date","before":{"build_month":"201310","vehicle_year":2013,"registration_date":"20131205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20131205"},"target":"normalized","rule_ids":["DATE-REGISTRATION-V1","DATE-PRODUCTION-MONTH-V1"],"sequence":9,"transformer_id":"ts.dates","confidence_effect":0.1},{"after":2013,"field":"production_year","before":{"build_month":"201310","vehicle_year":2013,"registration_date":"20131205"},"target":"normalized","rule_ids":["DATE-REGISTRATION-V1","DATE-PRODUCTION-MONTH-V1"],"sequence":10,"transformer_id":"ts.dates","confidence_effect":0.1},{"after":"2013-12-05","field":"registration_date","before":{"build_month":"201310","vehicle_year":2013,"registration_date":"20131205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SL","gearbox":"A","variant":"F5D14","version":"A62AZ1"},"target":"normalized","rule_ids":["TRN-002"],"sequence":16,"transformer_id":"ts.transmission","confidence_effect":0.1},{"after":"multi_purpose_vehicle","field":"bodywork_form","before":{"model":"SL","variant":"F5D14","version":"A62A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14","version":"A62A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L","variant":"F5D14","version":"A62AZ1"},"target":"normalized","rule_ids":["FUEL-002"],"sequence":20,"transformer_id":"ts.fuel","confidence_effect":0.0}]</x:v>
      </x:c>
      <x:c r="X22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8" s="38" t="str">
        <x:v>{"candidates":{"drive_type":"awd","model_family":"SL"},"confidence":0.8,"normalized":{"market":["SE"],"power_kw":135,"manufacturer":"Kia","bodywork_form":"multi_purpose_vehicle","energy_sources":["diesel"],"displacement_cc":1995,"production_date":"2013-10","production_year":2013,"manufacturer_role":"vehicle_manufacturer","power_source_unit":"kw","registration_date":"2013-12-05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EX","target":"normalized","rule_ids":["MFR-BRAND-CONFIRMED","MFR-BRAND-VIN-WMI"],"sequence":3,"transformer_id":"ts.manufacturer","confidence_effect":0.2},{"after":"Kia","field":"manufacturer","before":"KIA SPORTAGE 2,0 CRDI EX","target":"normalized","rule_ids":["MFR-BRAND-CONFIRMED","MFR-BRAND-VIN-WMI"],"sequence":4,"transformer_id":"ts.manufacturer","confidence_effect":0.2},{"after":"vehicle_manufacturer","field":"manufacturer_role","before":"KIA SPORTAGE 2,0 CRDI EX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2013-10","field":"production_date","before":{"build_month":"201310","vehicle_year":2013,"registration_date":"20131205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20131205"},"target":"normalized","rule_ids":["DATE-REGISTRATION-V1","DATE-PRODUCTION-MONTH-V1"],"sequence":9,"transformer_id":"ts.dates","confidence_effect":0.1},{"after":2013,"field":"production_year","before":{"build_month":"201310","vehicle_year":2013,"registration_date":"20131205"},"target":"normalized","rule_ids":["DATE-REGISTRATION-V1","DATE-PRODUCTION-MONTH-V1"],"sequence":10,"transformer_id":"ts.dates","confidence_effect":0.1},{"after":"2013-12-05","field":"registration_date","before":{"build_month":"201310","vehicle_year":2013,"registration_date":"20131205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SL","gearbox":"A","variant":"F5D14","version":"A62AZ1"},"target":"normalized","rule_ids":["TRN-002"],"sequence":16,"transformer_id":"ts.transmission","confidence_effect":0.1},{"after":"multi_purpose_vehicle","field":"bodywork_form","before":{"model":"SL","variant":"F5D14","version":"A62A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14","version":"A62A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L","variant":"F5D14","version":"A62AZ1"},"target":"normalized","rule_ids":["FUEL-002"],"sequence":20,"transformer_id":"ts.fuel","confidence_effect":0.0}],"pipeline_version":"normalization-pipeline-v4","candidate_rule_ids":["DRV-008"]}</x:v>
      </x:c>
      <x:c r="Z228" s="36" t="n">
        <x:v>46239.78067015046</x:v>
      </x:c>
      <x:c r="AA228" s="36" t="n">
        <x:v>46239.78067015046</x:v>
      </x:c>
    </x:row>
    <x:row r="229" ht="18" customHeight="1">
      <x:c r="A229" s="36" t="n">
        <x:v>2831</x:v>
      </x:c>
      <x:c r="B229" s="36" t="str">
        <x:v>05e18f37-ab5d-5eda-af64-8a57d71a7c23</x:v>
      </x:c>
      <x:c r="C229" s="36" t="str">
        <x:v>Transportstyrelsen</x:v>
      </x:c>
      <x:c r="D229" s="36" t="str">
        <x:v>normalization-review-passenger-250-v1-rules-20260805T184409855703Z</x:v>
      </x:c>
      <x:c r="E229" s="36" t="str">
        <x:v>staging.transportstyrelsen_raw</x:v>
      </x:c>
      <x:c r="F229" s="36" t="n">
        <x:v>2949</x:v>
      </x:c>
      <x:c r="G229" s="36" t="str">
        <x:v>ts-mapping-v1</x:v>
      </x:c>
      <x:c r="H229" s="36" t="str">
        <x:v>ts-review-20260805T184254528647Z</x:v>
      </x:c>
      <x:c r="I229" s="36" t="str">
        <x:v>normalization-pipeline-v4</x:v>
      </x:c>
      <x:c r="J229" s="36" t="str">
        <x:v>provisional</x:v>
      </x:c>
      <x:c r="K229" s="39" t="n">
        <x:v>0.8</x:v>
      </x:c>
      <x:c r="L229" s="36" t="str">
        <x:v>Mercedes-Benz</x:v>
      </x:c>
      <x:c r="M229" s="36"/>
      <x:c r="N229" s="36" t="str">
        <x:v>open_body</x:v>
      </x:c>
      <x:c r="O229" s="38" t="str">
        <x:v>["petrol"]</x:v>
      </x:c>
      <x:c r="P229" s="36" t="str">
        <x:v>automatic</x:v>
      </x:c>
      <x:c r="Q229" s="36" t="n">
        <x:v>1993</x:v>
      </x:c>
      <x:c r="R229" s="38" t="str">
        <x:v>["DATE-REGISTRATION-V1","DATE-PRODUCTION-YEAR-V1","UNIT-POWER-KW-V1","TRN-008","BDY-116","FUEL-001"]</x:v>
      </x:c>
      <x:c r="S229" s="38" t="str">
        <x:v>["MFR-BRAND-PREFIX-FALLBACK"]</x:v>
      </x:c>
      <x:c r="T229" s="38" t="str">
        <x:v>[]</x:v>
      </x:c>
      <x:c r="U229" s="38" t="str">
        <x:v>{"market":["SE"],"power_kw":235,"manufacturer":"Mercedes-Benz","bodywork_form":"open_body","energy_sources":["petrol"],"production_year":1993,"manufacturer_role":"vehicle_manufacturer","power_source_unit":"kw","registration_date":"1996-10-02","transmission_type":"automatic","alias_types_present":["plate","vin"],"builder_converter_names":[],"production_date_precision":"model_year","bodywork_registry_label_sv":"Öppet"}</x:v>
      </x:c>
      <x:c r="V229" s="38" t="str">
        <x:v>{"manufacturer_confirmation":{"source_fields":["brand"],"canonical_name":"Mercedes-Benz"}}</x:v>
      </x:c>
      <x:c r="W2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500 SL","target":"normalized","rule_ids":["MFR-CLASSIFY-V1"],"sequence":3,"transformer_id":"ts.manufacturer","confidence_effect":0.2},{"after":"Mercedes-Benz","field":"manufacturer","before":"MERCEDES BENZ 500 SL","target":"normalized","rule_ids":["MFR-CLASSIFY-V1"],"sequence":4,"transformer_id":"ts.manufacturer","confidence_effect":0.2},{"after":"vehicle_manufacturer","field":"manufacturer_role","before":"MERCEDES BENZ 500 SL","target":"normalized","rule_ids":["MFR-CLASSIFY-V1"],"sequence":5,"transformer_id":"ts.manufacturer","confidence_effect":0.2},{"after":{"source_fields":["brand"],"canonical_name":"Mercedes-Benz"},"field":"manufacturer_confirmation","before":"MERCEDES BENZ 500 SL","target":"candidate","rule_ids":["MFR-BRAND-PREFIX-FALLBACK"],"sequence":6,"transformer_id":"ts.manufacturer","confidence_effect":0.05},{"after":"model_year","field":"production_date_precision","before":{"model_year":1993,"vehicle_year":1993,"registration_date":"19961002"},"target":"normalized","rule_ids":["DATE-REGISTRATION-V1","DATE-PRODUCTION-YEAR-V1"],"sequence":7,"transformer_id":"ts.dates","confidence_effect":0.1},{"after":1993,"field":"production_year","before":{"model_year":1993,"vehicle_year":1993,"registration_date":"19961002"},"target":"normalized","rule_ids":["DATE-REGISTRATION-V1","DATE-PRODUCTION-YEAR-V1"],"sequence":8,"transformer_id":"ts.dates","confidence_effect":0.1},{"after":"1996-10-02","field":"registration_date","before":{"model_year":1993,"vehicle_year":1993,"registration_date":"19961002"},"target":"normalized","rule_ids":["DATE-REGISTRATION-V1","DATE-PRODUCTION-YEAR-V1"],"sequence":9,"transformer_id":"ts.dates","confidence_effect":0.1},{"after":235,"field":"power_kw","before":235,"target":"normalized","rule_ids":["UNIT-POWER-KW-V1"],"sequence":10,"transformer_id":"ts.engine-measurements","confidence_effect":0.1},{"after":"kw","field":"power_source_unit","before":235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29" s="38" t="str">
        <x:v>[{"rule_id":"TRN-008","decision":"accepted","source_term":"Z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9" s="38" t="str">
        <x:v>{"candidates":{"manufacturer_confirmation":{"source_fields":["brand"],"canonical_name":"Mercedes-Benz"}},"confidence":0.8,"normalized":{"market":["SE"],"power_kw":235,"manufacturer":"Mercedes-Benz","bodywork_form":"open_body","energy_sources":["petrol"],"production_year":1993,"manufacturer_role":"vehicle_manufacturer","power_source_unit":"kw","registration_date":"1996-10-02","transmission_type":"automatic","alias_types_present":["plate","vin"],"builder_converter_names":[],"production_date_precision":"model_year","bodywork_registry_label_sv":"Öppet"},"rule_matches":[{"rule_id":"TRN-008","decision":"accepted","source_term":"Z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500 SL","target":"normalized","rule_ids":["MFR-CLASSIFY-V1"],"sequence":3,"transformer_id":"ts.manufacturer","confidence_effect":0.2},{"after":"Mercedes-Benz","field":"manufacturer","before":"MERCEDES BENZ 500 SL","target":"normalized","rule_ids":["MFR-CLASSIFY-V1"],"sequence":4,"transformer_id":"ts.manufacturer","confidence_effect":0.2},{"after":"vehicle_manufacturer","field":"manufacturer_role","before":"MERCEDES BENZ 500 SL","target":"normalized","rule_ids":["MFR-CLASSIFY-V1"],"sequence":5,"transformer_id":"ts.manufacturer","confidence_effect":0.2},{"after":{"source_fields":["brand"],"canonical_name":"Mercedes-Benz"},"field":"manufacturer_confirmation","before":"MERCEDES BENZ 500 SL","target":"candidate","rule_ids":["MFR-BRAND-PREFIX-FALLBACK"],"sequence":6,"transformer_id":"ts.manufacturer","confidence_effect":0.05},{"after":"model_year","field":"production_date_precision","before":{"model_year":1993,"vehicle_year":1993,"registration_date":"19961002"},"target":"normalized","rule_ids":["DATE-REGISTRATION-V1","DATE-PRODUCTION-YEAR-V1"],"sequence":7,"transformer_id":"ts.dates","confidence_effect":0.1},{"after":1993,"field":"production_year","before":{"model_year":1993,"vehicle_year":1993,"registration_date":"19961002"},"target":"normalized","rule_ids":["DATE-REGISTRATION-V1","DATE-PRODUCTION-YEAR-V1"],"sequence":8,"transformer_id":"ts.dates","confidence_effect":0.1},{"after":"1996-10-02","field":"registration_date","before":{"model_year":1993,"vehicle_year":1993,"registration_date":"19961002"},"target":"normalized","rule_ids":["DATE-REGISTRATION-V1","DATE-PRODUCTION-YEAR-V1"],"sequence":9,"transformer_id":"ts.dates","confidence_effect":0.1},{"after":235,"field":"power_kw","before":235,"target":"normalized","rule_ids":["UNIT-POWER-KW-V1"],"sequence":10,"transformer_id":"ts.engine-measurements","confidence_effect":0.1},{"after":"kw","field":"power_source_unit","before":235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29" s="36" t="n">
        <x:v>46239.78067015046</x:v>
      </x:c>
      <x:c r="AA229" s="36" t="n">
        <x:v>46239.78067015046</x:v>
      </x:c>
    </x:row>
    <x:row r="230" ht="18" customHeight="1">
      <x:c r="A230" s="36" t="n">
        <x:v>2832</x:v>
      </x:c>
      <x:c r="B230" s="36" t="str">
        <x:v>d93fbbb0-6d00-57a0-81e6-4a462336eb7c</x:v>
      </x:c>
      <x:c r="C230" s="36" t="str">
        <x:v>Transportstyrelsen</x:v>
      </x:c>
      <x:c r="D230" s="36" t="str">
        <x:v>normalization-review-passenger-250-v1-rules-20260805T184409855703Z</x:v>
      </x:c>
      <x:c r="E230" s="36" t="str">
        <x:v>staging.transportstyrelsen_raw</x:v>
      </x:c>
      <x:c r="F230" s="36" t="n">
        <x:v>2950</x:v>
      </x:c>
      <x:c r="G230" s="36" t="str">
        <x:v>ts-mapping-v1</x:v>
      </x:c>
      <x:c r="H230" s="36" t="str">
        <x:v>ts-review-20260805T184254528647Z</x:v>
      </x:c>
      <x:c r="I230" s="36" t="str">
        <x:v>normalization-pipeline-v4</x:v>
      </x:c>
      <x:c r="J230" s="36" t="str">
        <x:v>provisional</x:v>
      </x:c>
      <x:c r="K230" s="39" t="n">
        <x:v>0.8</x:v>
      </x:c>
      <x:c r="L230" s="36" t="str">
        <x:v>BMW</x:v>
      </x:c>
      <x:c r="M230" s="36"/>
      <x:c r="N230" s="36" t="str">
        <x:v>covered_body</x:v>
      </x:c>
      <x:c r="O230" s="38" t="str">
        <x:v>["petrol"]</x:v>
      </x:c>
      <x:c r="P230" s="36" t="str">
        <x:v>automatic</x:v>
      </x:c>
      <x:c r="Q230" s="36" t="n">
        <x:v>1984</x:v>
      </x:c>
      <x:c r="R230" s="38" t="str">
        <x:v>["DATE-REGISTRATION-V1","DATE-PRODUCTION-YEAR-V1","UNIT-POWER-KW-V1","TRN-002","BDY-104","FUEL-001"]</x:v>
      </x:c>
      <x:c r="S230" s="38" t="str">
        <x:v>["MFR-BRAND-PREFIX-FALLBACK"]</x:v>
      </x:c>
      <x:c r="T230" s="38" t="str">
        <x:v>[]</x:v>
      </x:c>
      <x:c r="U230" s="38" t="str">
        <x:v>{"market":["SE"],"power_kw":145,"manufacturer":"BMW","bodywork_form":"covered_body","energy_sources":["petrol"],"production_year":1984,"manufacturer_role":"vehicle_manufacturer","power_source_unit":"kw","registration_date":"1984-08-07","transmission_type":"automatic","alias_types_present":["plate","vin"],"builder_converter_names":[],"production_date_precision":"model_year","bodywork_registry_label_sv":"Täckt, taklucka"}</x:v>
      </x:c>
      <x:c r="V230" s="38" t="str">
        <x:v>{"manufacturer_confirmation":{"source_fields":["brand"],"canonical_name":"BMW"}}</x:v>
      </x:c>
      <x:c r="W2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735IA","target":"normalized","rule_ids":["MFR-CLASSIFY-V1"],"sequence":3,"transformer_id":"ts.manufacturer","confidence_effect":0.2},{"after":"BMW","field":"manufacturer","before":"BMW 735IA","target":"normalized","rule_ids":["MFR-CLASSIFY-V1"],"sequence":4,"transformer_id":"ts.manufacturer","confidence_effect":0.2},{"after":"vehicle_manufacturer","field":"manufacturer_role","before":"BMW 735IA","target":"normalized","rule_ids":["MFR-CLASSIFY-V1"],"sequence":5,"transformer_id":"ts.manufacturer","confidence_effect":0.2},{"after":{"source_fields":["brand"],"canonical_name":"BMW"},"field":"manufacturer_confirmation","before":"BMW 735IA","target":"candidate","rule_ids":["MFR-BRAND-PREFIX-FALLBACK"],"sequence":6,"transformer_id":"ts.manufacturer","confidence_effect":0.05},{"after":"model_year","field":"production_date_precision","before":{"model_year":1984,"vehicle_year":1984,"registration_date":"19840807"},"target":"normalized","rule_ids":["DATE-REGISTRATION-V1","DATE-PRODUCTION-YEAR-V1"],"sequence":7,"transformer_id":"ts.dates","confidence_effect":0.1},{"after":1984,"field":"production_year","before":{"model_year":1984,"vehicle_year":1984,"registration_date":"19840807"},"target":"normalized","rule_ids":["DATE-REGISTRATION-V1","DATE-PRODUCTION-YEAR-V1"],"sequence":8,"transformer_id":"ts.dates","confidence_effect":0.1},{"after":"1984-08-07","field":"registration_date","before":{"model_year":1984,"vehicle_year":1984,"registration_date":"19840807"},"target":"normalized","rule_ids":["DATE-REGISTRATION-V1","DATE-PRODUCTION-YEAR-V1"],"sequence":9,"transformer_id":"ts.dates","confidence_effect":0.1},{"after":145,"field":"power_kw","before":145,"target":"normalized","rule_ids":["UNIT-POWER-KW-V1"],"sequence":10,"transformer_id":"ts.engine-measurements","confidence_effect":0.1},{"after":"kw","field":"power_source_unit","before":145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0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0" s="38" t="str">
        <x:v>{"candidates":{"manufacturer_confirmation":{"source_fields":["brand"],"canonical_name":"BMW"}},"confidence":0.8,"normalized":{"market":["SE"],"power_kw":145,"manufacturer":"BMW","bodywork_form":"covered_body","energy_sources":["petrol"],"production_year":1984,"manufacturer_role":"vehicle_manufacturer","power_source_unit":"kw","registration_date":"1984-08-07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735IA","target":"normalized","rule_ids":["MFR-CLASSIFY-V1"],"sequence":3,"transformer_id":"ts.manufacturer","confidence_effect":0.2},{"after":"BMW","field":"manufacturer","before":"BMW 735IA","target":"normalized","rule_ids":["MFR-CLASSIFY-V1"],"sequence":4,"transformer_id":"ts.manufacturer","confidence_effect":0.2},{"after":"vehicle_manufacturer","field":"manufacturer_role","before":"BMW 735IA","target":"normalized","rule_ids":["MFR-CLASSIFY-V1"],"sequence":5,"transformer_id":"ts.manufacturer","confidence_effect":0.2},{"after":{"source_fields":["brand"],"canonical_name":"BMW"},"field":"manufacturer_confirmation","before":"BMW 735IA","target":"candidate","rule_ids":["MFR-BRAND-PREFIX-FALLBACK"],"sequence":6,"transformer_id":"ts.manufacturer","confidence_effect":0.05},{"after":"model_year","field":"production_date_precision","before":{"model_year":1984,"vehicle_year":1984,"registration_date":"19840807"},"target":"normalized","rule_ids":["DATE-REGISTRATION-V1","DATE-PRODUCTION-YEAR-V1"],"sequence":7,"transformer_id":"ts.dates","confidence_effect":0.1},{"after":1984,"field":"production_year","before":{"model_year":1984,"vehicle_year":1984,"registration_date":"19840807"},"target":"normalized","rule_ids":["DATE-REGISTRATION-V1","DATE-PRODUCTION-YEAR-V1"],"sequence":8,"transformer_id":"ts.dates","confidence_effect":0.1},{"after":"1984-08-07","field":"registration_date","before":{"model_year":1984,"vehicle_year":1984,"registration_date":"19840807"},"target":"normalized","rule_ids":["DATE-REGISTRATION-V1","DATE-PRODUCTION-YEAR-V1"],"sequence":9,"transformer_id":"ts.dates","confidence_effect":0.1},{"after":145,"field":"power_kw","before":145,"target":"normalized","rule_ids":["UNIT-POWER-KW-V1"],"sequence":10,"transformer_id":"ts.engine-measurements","confidence_effect":0.1},{"after":"kw","field":"power_source_unit","before":145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0" s="36" t="n">
        <x:v>46239.78067015046</x:v>
      </x:c>
      <x:c r="AA230" s="36" t="n">
        <x:v>46239.78067015046</x:v>
      </x:c>
    </x:row>
    <x:row r="231" ht="18" customHeight="1">
      <x:c r="A231" s="36" t="n">
        <x:v>2833</x:v>
      </x:c>
      <x:c r="B231" s="36" t="str">
        <x:v>11434bba-945d-5ee3-bdea-3c80ff051a12</x:v>
      </x:c>
      <x:c r="C231" s="36" t="str">
        <x:v>Transportstyrelsen</x:v>
      </x:c>
      <x:c r="D231" s="36" t="str">
        <x:v>normalization-review-passenger-250-v1-rules-20260805T184409855703Z</x:v>
      </x:c>
      <x:c r="E231" s="36" t="str">
        <x:v>staging.transportstyrelsen_raw</x:v>
      </x:c>
      <x:c r="F231" s="36" t="n">
        <x:v>2951</x:v>
      </x:c>
      <x:c r="G231" s="36" t="str">
        <x:v>ts-mapping-v1</x:v>
      </x:c>
      <x:c r="H231" s="36" t="str">
        <x:v>ts-review-20260805T184254528647Z</x:v>
      </x:c>
      <x:c r="I231" s="36" t="str">
        <x:v>normalization-pipeline-v4</x:v>
      </x:c>
      <x:c r="J231" s="36" t="str">
        <x:v>provisional</x:v>
      </x:c>
      <x:c r="K231" s="39" t="n">
        <x:v>0.8</x:v>
      </x:c>
      <x:c r="L231" s="36" t="str">
        <x:v>Volvo</x:v>
      </x:c>
      <x:c r="M231" s="36"/>
      <x:c r="N231" s="36" t="str">
        <x:v>covered_body</x:v>
      </x:c>
      <x:c r="O231" s="38" t="str">
        <x:v>["petrol"]</x:v>
      </x:c>
      <x:c r="P231" s="36" t="str">
        <x:v>manual</x:v>
      </x:c>
      <x:c r="Q231" s="36" t="n">
        <x:v>1967</x:v>
      </x:c>
      <x:c r="R231" s="38" t="str">
        <x:v>["DATE-REGISTRATION-V1","DATE-PRODUCTION-YEAR-V1","UNIT-POWER-KW-V1","TRN-001","BDY-102","FUEL-001"]</x:v>
      </x:c>
      <x:c r="S231" s="38" t="str">
        <x:v>["MFR-BRAND-PREFIX-FALLBACK"]</x:v>
      </x:c>
      <x:c r="T231" s="38" t="str">
        <x:v>[]</x:v>
      </x:c>
      <x:c r="U231" s="38" t="str">
        <x:v>{"market":["SE"],"power_kw":55,"manufacturer":"Volvo","bodywork_form":"covered_body","energy_sources":["petrol"],"production_year":1967,"manufacturer_role":"vehicle_manufacturer","power_source_unit":"kw","registration_date":"1967-08-17","transmission_type":"manual","alias_types_present":["plate","vin"],"builder_converter_names":[],"production_date_precision":"model_year","bodywork_registry_label_sv":"Täckt"}</x:v>
      </x:c>
      <x:c r="V231" s="38" t="str">
        <x:v>{"manufacturer_confirmation":{"source_fields":["brand"],"canonical_name":"Volvo"}}</x:v>
      </x:c>
      <x:c r="W2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211341 M","target":"normalized","rule_ids":["MFR-CLASSIFY-V1"],"sequence":3,"transformer_id":"ts.manufacturer","confidence_effect":0.2},{"after":"Volvo","field":"manufacturer","before":"VOLVO 211341 M","target":"normalized","rule_ids":["MFR-CLASSIFY-V1"],"sequence":4,"transformer_id":"ts.manufacturer","confidence_effect":0.2},{"after":"vehicle_manufacturer","field":"manufacturer_role","before":"VOLVO 211341 M","target":"normalized","rule_ids":["MFR-CLASSIFY-V1"],"sequence":5,"transformer_id":"ts.manufacturer","confidence_effect":0.2},{"after":{"source_fields":["brand"],"canonical_name":"Volvo"},"field":"manufacturer_confirmation","before":"VOLVO 211341 M","target":"candidate","rule_ids":["MFR-BRAND-PREFIX-FALLBACK"],"sequence":6,"transformer_id":"ts.manufacturer","confidence_effect":0.05},{"after":"model_year","field":"production_date_precision","before":{"model_year":1967,"vehicle_year":1967,"registration_date":"19670817"},"target":"normalized","rule_ids":["DATE-REGISTRATION-V1","DATE-PRODUCTION-YEAR-V1"],"sequence":7,"transformer_id":"ts.dates","confidence_effect":0.1},{"after":1967,"field":"production_year","before":{"model_year":1967,"vehicle_year":1967,"registration_date":"19670817"},"target":"normalized","rule_ids":["DATE-REGISTRATION-V1","DATE-PRODUCTION-YEAR-V1"],"sequence":8,"transformer_id":"ts.dates","confidence_effect":0.1},{"after":"1967-08-17","field":"registration_date","before":{"model_year":1967,"vehicle_year":1967,"registration_date":"19670817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1967-08-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211341 M","target":"normalized","rule_ids":["MFR-CLASSIFY-V1"],"sequence":3,"transformer_id":"ts.manufacturer","confidence_effect":0.2},{"after":"Volvo","field":"manufacturer","before":"VOLVO 211341 M","target":"normalized","rule_ids":["MFR-CLASSIFY-V1"],"sequence":4,"transformer_id":"ts.manufacturer","confidence_effect":0.2},{"after":"vehicle_manufacturer","field":"manufacturer_role","before":"VOLVO 211341 M","target":"normalized","rule_ids":["MFR-CLASSIFY-V1"],"sequence":5,"transformer_id":"ts.manufacturer","confidence_effect":0.2},{"after":{"source_fields":["brand"],"canonical_name":"Volvo"},"field":"manufacturer_confirmation","before":"VOLVO 211341 M","target":"candidate","rule_ids":["MFR-BRAND-PREFIX-FALLBACK"],"sequence":6,"transformer_id":"ts.manufacturer","confidence_effect":0.05},{"after":"model_year","field":"production_date_precision","before":{"model_year":1967,"vehicle_year":1967,"registration_date":"19670817"},"target":"normalized","rule_ids":["DATE-REGISTRATION-V1","DATE-PRODUCTION-YEAR-V1"],"sequence":7,"transformer_id":"ts.dates","confidence_effect":0.1},{"after":1967,"field":"production_year","before":{"model_year":1967,"vehicle_year":1967,"registration_date":"19670817"},"target":"normalized","rule_ids":["DATE-REGISTRATION-V1","DATE-PRODUCTION-YEAR-V1"],"sequence":8,"transformer_id":"ts.dates","confidence_effect":0.1},{"after":"1967-08-17","field":"registration_date","before":{"model_year":1967,"vehicle_year":1967,"registration_date":"19670817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1" s="36" t="n">
        <x:v>46239.78067015046</x:v>
      </x:c>
      <x:c r="AA231" s="36" t="n">
        <x:v>46239.78067015046</x:v>
      </x:c>
    </x:row>
    <x:row r="232" ht="18" customHeight="1">
      <x:c r="A232" s="36" t="n">
        <x:v>2834</x:v>
      </x:c>
      <x:c r="B232" s="36" t="str">
        <x:v>00f954ad-96d5-5df4-ac56-8809df3681ff</x:v>
      </x:c>
      <x:c r="C232" s="36" t="str">
        <x:v>Transportstyrelsen</x:v>
      </x:c>
      <x:c r="D232" s="36" t="str">
        <x:v>normalization-review-passenger-250-v1-rules-20260805T184409855703Z</x:v>
      </x:c>
      <x:c r="E232" s="36" t="str">
        <x:v>staging.transportstyrelsen_raw</x:v>
      </x:c>
      <x:c r="F232" s="36" t="n">
        <x:v>2952</x:v>
      </x:c>
      <x:c r="G232" s="36" t="str">
        <x:v>ts-mapping-v1</x:v>
      </x:c>
      <x:c r="H232" s="36" t="str">
        <x:v>ts-review-20260805T184254528647Z</x:v>
      </x:c>
      <x:c r="I232" s="36" t="str">
        <x:v>normalization-pipeline-v4</x:v>
      </x:c>
      <x:c r="J232" s="36" t="str">
        <x:v>provisional</x:v>
      </x:c>
      <x:c r="K232" s="39" t="n">
        <x:v>0.8</x:v>
      </x:c>
      <x:c r="L232" s="36" t="str">
        <x:v>Volkswagen</x:v>
      </x:c>
      <x:c r="M232" s="36" t="str">
        <x:v>TIGUAN</x:v>
      </x:c>
      <x:c r="N232" s="36" t="str">
        <x:v>estate</x:v>
      </x:c>
      <x:c r="O232" s="38" t="str">
        <x:v>["petrol"]</x:v>
      </x:c>
      <x:c r="P232" s="36" t="str">
        <x:v>automatic</x:v>
      </x:c>
      <x:c r="Q232" s="36" t="n">
        <x:v>2020</x:v>
      </x:c>
      <x:c r="R232" s="38" t="str">
        <x:v>["MFR-102","DATE-REGISTRATION-V1","DATE-PRODUCTION-MONTH-V1","UNIT-POWER-KW-V1","UNIT-DISPLACEMENT-CCM-V1","TRN-002","BDY-110","FUEL-001"]</x:v>
      </x:c>
      <x:c r="S232" s="38" t="str">
        <x:v>["DRV-008"]</x:v>
      </x:c>
      <x:c r="T232" s="38" t="str">
        <x:v>[]</x:v>
      </x:c>
      <x:c r="U232" s="38" t="str">
        <x:v>{"market":["SE"],"power_kw":140,"manufacturer":"Volkswagen","bodywork_form":"estate","energy_sources":["petrol"],"displacement_cc":1984,"production_date":"2020-05","production_year":2020,"manufacturer_role":"vehicle_manufacturer","power_source_unit":"kw","registration_date":"2020-05-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32" s="38" t="str">
        <x:v>{"drive_type":"awd","model_family":"TIGUAN"}</x:v>
      </x:c>
      <x:c r="W2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2020-05","field":"production_date","before":{"build_month":"202005","vehicle_year":2020,"registration_date":"20200529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20200529"},"target":"normalized","rule_ids":["DATE-REGISTRATION-V1","DATE-PRODUCTION-MONTH-V1"],"sequence":9,"transformer_id":"ts.dates","confidence_effect":0.1},{"after":2020,"field":"production_year","before":{"build_month":"202005","vehicle_year":2020,"registration_date":"20200529"},"target":"normalized","rule_ids":["DATE-REGISTRATION-V1","DATE-PRODUCTION-MONTH-V1"],"sequence":10,"transformer_id":"ts.dates","confidence_effect":0.1},{"after":"2020-05-29","field":"registration_date","before":{"build_month":"202005","vehicle_year":2020,"registration_date":"20200529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R5TVR24BF1CSBC"},"target":"normalized","rule_ids":["TRN-002"],"sequence":16,"transformer_id":"ts.transmission","confidence_effect":0.1},{"after":"estate","field":"bodywork_form","before":{"model":"TIGUAN","variant":"ACDKZAX1","version":"AD7AD7GC006N5R5TVR24BF1CSBC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R5TVR24BF1CSBC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R5TVR24BF1CSBC"},"target":"normalized","rule_ids":["FUEL-001"],"sequence":20,"transformer_id":"ts.fuel","confidence_effect":0.0}]</x:v>
      </x:c>
      <x:c r="X23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2" s="38" t="str">
        <x:v>{"candidates":{"drive_type":"awd","model_family":"TIGUAN"},"confidence":0.8,"normalized":{"market":["SE"],"power_kw":140,"manufacturer":"Volkswagen","bodywork_form":"estate","energy_sources":["petrol"],"displacement_cc":1984,"production_date":"2020-05","production_year":2020,"manufacturer_role":"vehicle_manufacturer","power_source_unit":"kw","registration_date":"2020-05-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2020-05","field":"production_date","before":{"build_month":"202005","vehicle_year":2020,"registration_date":"20200529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20200529"},"target":"normalized","rule_ids":["DATE-REGISTRATION-V1","DATE-PRODUCTION-MONTH-V1"],"sequence":9,"transformer_id":"ts.dates","confidence_effect":0.1},{"after":2020,"field":"production_year","before":{"build_month":"202005","vehicle_year":2020,"registration_date":"20200529"},"target":"normalized","rule_ids":["DATE-REGISTRATION-V1","DATE-PRODUCTION-MONTH-V1"],"sequence":10,"transformer_id":"ts.dates","confidence_effect":0.1},{"after":"2020-05-29","field":"registration_date","before":{"build_month":"202005","vehicle_year":2020,"registration_date":"20200529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R5TVR24BF1CSBC"},"target":"normalized","rule_ids":["TRN-002"],"sequence":16,"transformer_id":"ts.transmission","confidence_effect":0.1},{"after":"estate","field":"bodywork_form","before":{"model":"TIGUAN","variant":"ACDKZAX1","version":"AD7AD7GC006N5R5TVR24BF1CSBC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R5TVR24BF1CSBC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R5TVR24BF1CSBC"},"target":"normalized","rule_ids":["FUEL-001"],"sequence":20,"transformer_id":"ts.fuel","confidence_effect":0.0}],"pipeline_version":"normalization-pipeline-v4","candidate_rule_ids":["DRV-008"]}</x:v>
      </x:c>
      <x:c r="Z232" s="36" t="n">
        <x:v>46239.78067015046</x:v>
      </x:c>
      <x:c r="AA232" s="36" t="n">
        <x:v>46239.78067015046</x:v>
      </x:c>
    </x:row>
    <x:row r="233" ht="18" customHeight="1">
      <x:c r="A233" s="36" t="n">
        <x:v>2835</x:v>
      </x:c>
      <x:c r="B233" s="36" t="str">
        <x:v>152165f5-1dd2-5185-8eda-8516b3844f45</x:v>
      </x:c>
      <x:c r="C233" s="36" t="str">
        <x:v>Transportstyrelsen</x:v>
      </x:c>
      <x:c r="D233" s="36" t="str">
        <x:v>normalization-review-passenger-250-v1-rules-20260805T184409855703Z</x:v>
      </x:c>
      <x:c r="E233" s="36" t="str">
        <x:v>staging.transportstyrelsen_raw</x:v>
      </x:c>
      <x:c r="F233" s="36" t="n">
        <x:v>2953</x:v>
      </x:c>
      <x:c r="G233" s="36" t="str">
        <x:v>ts-mapping-v1</x:v>
      </x:c>
      <x:c r="H233" s="36" t="str">
        <x:v>ts-review-20260805T184254528647Z</x:v>
      </x:c>
      <x:c r="I233" s="36" t="str">
        <x:v>normalization-pipeline-v4</x:v>
      </x:c>
      <x:c r="J233" s="36" t="str">
        <x:v>resolved</x:v>
      </x:c>
      <x:c r="K233" s="39" t="n">
        <x:v>0.95</x:v>
      </x:c>
      <x:c r="L233" s="36" t="str">
        <x:v>Volvo</x:v>
      </x:c>
      <x:c r="M233" s="36"/>
      <x:c r="N233" s="36" t="str">
        <x:v>sedan</x:v>
      </x:c>
      <x:c r="O233" s="38" t="str">
        <x:v>["petrol"]</x:v>
      </x:c>
      <x:c r="P233" s="36" t="str">
        <x:v>manual</x:v>
      </x:c>
      <x:c r="Q233" s="36" t="n">
        <x:v>2006</x:v>
      </x:c>
      <x:c r="R233" s="38" t="str">
        <x:v>["MFR-BRAND-CONFIRMED","MFR-BRAND-VIN-WMI","DATE-REGISTRATION-V1","DATE-PRODUCTION-MONTH-V1","UNIT-POWER-KW-V1","UNIT-DISPLACEMENT-CCM-V1","TRN-001","BDY-101","FUEL-001"]</x:v>
      </x:c>
      <x:c r="S233" s="38" t="str">
        <x:v>[]</x:v>
      </x:c>
      <x:c r="T233" s="38" t="str">
        <x:v>[]</x:v>
      </x:c>
      <x:c r="U233" s="38" t="str">
        <x:v>{"market":["SE"],"power_kw":103,"manufacturer":"Volvo","bodywork_form":"sedan","energy_sources":["petrol"],"displacement_cc":2435,"production_date":"2006-09","production_year":2006,"manufacturer_role":"vehicle_manufacturer","power_source_unit":"kw","registration_date":"2006-10-12","transmission_type":"manual","alias_types_present":["plate","vin"],"builder_converter_names":[],"displacement_source_unit":"ccm","production_date_precision":"month","bodywork_registry_label_sv":"Sedan"}</x:v>
      </x:c>
      <x:c r="V233" s="38" t="str">
        <x:v>{}</x:v>
      </x:c>
      <x:c r="W2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R + S60","target":"normalized","rule_ids":["MFR-BRAND-CONFIRMED","MFR-BRAND-VIN-WMI"],"sequence":3,"transformer_id":"ts.manufacturer","confidence_effect":0.2},{"after":"Volvo","field":"manufacturer","before":"VOLVO R + S60","target":"normalized","rule_ids":["MFR-BRAND-CONFIRMED","MFR-BRAND-VIN-WMI"],"sequence":4,"transformer_id":"ts.manufacturer","confidence_effect":0.2},{"after":"vehicle_manufacturer","field":"manufacturer_role","before":"VOLVO R + S60","target":"normalized","rule_ids":["MFR-BRAND-CONFIRMED","MFR-BRAND-VIN-WMI"],"sequence":5,"transformer_id":"ts.manufacturer","confidence_effect":0.2},{"after":"2006-09","field":"production_date","before":{"build_month":"200609","vehicle_year":2006,"registration_date":"20061012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20061012"},"target":"normalized","rule_ids":["DATE-REGISTRATION-V1","DATE-PRODUCTION-MONTH-V1"],"sequence":7,"transformer_id":"ts.dates","confidence_effect":0.1},{"after":2006,"field":"production_year","before":{"build_month":"200609","vehicle_year":2006,"registration_date":"20061012"},"target":"normalized","rule_ids":["DATE-REGISTRATION-V1","DATE-PRODUCTION-MONTH-V1"],"sequence":8,"transformer_id":"ts.dates","confidence_effect":0.1},{"after":"2006-10-12","field":"registration_date","before":{"build_month":"200609","vehicle_year":2006,"registration_date":"20061012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RS65","version":"RS6542??"},"target":"normalized","rule_ids":["TRN-001"],"sequence":14,"transformer_id":"ts.transmission","confidence_effect":0.1},{"after":"sedan","field":"bodywork_form","before":{"variant":"RS65","version":"RS6542??","body_code":"AA","eu_category":"M1","vehicle_type":"PB"},"target":"normalized","rule_ids":["BDY-101"],"sequence":15,"transformer_id":"ts.bodywork","confidence_effect":0.1},{"after":"Sedan","field":"bodywork_registry_label_sv","before":{"variant":"RS65","version":"RS6542??","body_code":"AA","eu_category":"M1","vehicle_type":"PB"},"target":"normalized","rule_ids":["BDY-101"],"sequence":16,"transformer_id":"ts.bodywork","confidence_effect":0.1},{"after":["petrol"],"field":"energy_sources","before":{"fuel1":"1","fuel2":"0","fuel3":"0","variant":"RS65","version":"RS6542??"},"target":"normalized","rule_ids":["FUEL-001"],"sequence":17,"transformer_id":"ts.fuel","confidence_effect":0.0}]</x:v>
      </x:c>
      <x:c r="X233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3" s="38" t="str">
        <x:v>{"candidates":{},"confidence":0.95,"normalized":{"market":["SE"],"power_kw":103,"manufacturer":"Volvo","bodywork_form":"sedan","energy_sources":["petrol"],"displacement_cc":2435,"production_date":"2006-09","production_year":2006,"manufacturer_role":"vehicle_manufacturer","power_source_unit":"kw","registration_date":"2006-10-12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R + S60","target":"normalized","rule_ids":["MFR-BRAND-CONFIRMED","MFR-BRAND-VIN-WMI"],"sequence":3,"transformer_id":"ts.manufacturer","confidence_effect":0.2},{"after":"Volvo","field":"manufacturer","before":"VOLVO R + S60","target":"normalized","rule_ids":["MFR-BRAND-CONFIRMED","MFR-BRAND-VIN-WMI"],"sequence":4,"transformer_id":"ts.manufacturer","confidence_effect":0.2},{"after":"vehicle_manufacturer","field":"manufacturer_role","before":"VOLVO R + S60","target":"normalized","rule_ids":["MFR-BRAND-CONFIRMED","MFR-BRAND-VIN-WMI"],"sequence":5,"transformer_id":"ts.manufacturer","confidence_effect":0.2},{"after":"2006-09","field":"production_date","before":{"build_month":"200609","vehicle_year":2006,"registration_date":"20061012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20061012"},"target":"normalized","rule_ids":["DATE-REGISTRATION-V1","DATE-PRODUCTION-MONTH-V1"],"sequence":7,"transformer_id":"ts.dates","confidence_effect":0.1},{"after":2006,"field":"production_year","before":{"build_month":"200609","vehicle_year":2006,"registration_date":"20061012"},"target":"normalized","rule_ids":["DATE-REGISTRATION-V1","DATE-PRODUCTION-MONTH-V1"],"sequence":8,"transformer_id":"ts.dates","confidence_effect":0.1},{"after":"2006-10-12","field":"registration_date","before":{"build_month":"200609","vehicle_year":2006,"registration_date":"20061012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RS65","version":"RS6542??"},"target":"normalized","rule_ids":["TRN-001"],"sequence":14,"transformer_id":"ts.transmission","confidence_effect":0.1},{"after":"sedan","field":"bodywork_form","before":{"variant":"RS65","version":"RS6542??","body_code":"AA","eu_category":"M1","vehicle_type":"PB"},"target":"normalized","rule_ids":["BDY-101"],"sequence":15,"transformer_id":"ts.bodywork","confidence_effect":0.1},{"after":"Sedan","field":"bodywork_registry_label_sv","before":{"variant":"RS65","version":"RS6542??","body_code":"AA","eu_category":"M1","vehicle_type":"PB"},"target":"normalized","rule_ids":["BDY-101"],"sequence":16,"transformer_id":"ts.bodywork","confidence_effect":0.1},{"after":["petrol"],"field":"energy_sources","before":{"fuel1":"1","fuel2":"0","fuel3":"0","variant":"RS65","version":"RS6542??"},"target":"normalized","rule_ids":["FUEL-001"],"sequence":17,"transformer_id":"ts.fuel","confidence_effect":0.0}],"pipeline_version":"normalization-pipeline-v4","candidate_rule_ids":[]}</x:v>
      </x:c>
      <x:c r="Z233" s="36" t="n">
        <x:v>46239.78067015046</x:v>
      </x:c>
      <x:c r="AA233" s="36" t="n">
        <x:v>46239.78067015046</x:v>
      </x:c>
    </x:row>
    <x:row r="234" ht="18" customHeight="1">
      <x:c r="A234" s="36" t="n">
        <x:v>2836</x:v>
      </x:c>
      <x:c r="B234" s="36" t="str">
        <x:v>1fd190b9-095a-5d42-a530-2ce125b37dcd</x:v>
      </x:c>
      <x:c r="C234" s="36" t="str">
        <x:v>Transportstyrelsen</x:v>
      </x:c>
      <x:c r="D234" s="36" t="str">
        <x:v>normalization-review-passenger-250-v1-rules-20260805T184409855703Z</x:v>
      </x:c>
      <x:c r="E234" s="36" t="str">
        <x:v>staging.transportstyrelsen_raw</x:v>
      </x:c>
      <x:c r="F234" s="36" t="n">
        <x:v>2954</x:v>
      </x:c>
      <x:c r="G234" s="36" t="str">
        <x:v>ts-mapping-v1</x:v>
      </x:c>
      <x:c r="H234" s="36" t="str">
        <x:v>ts-review-20260805T184254528647Z</x:v>
      </x:c>
      <x:c r="I234" s="36" t="str">
        <x:v>normalization-pipeline-v4</x:v>
      </x:c>
      <x:c r="J234" s="36" t="str">
        <x:v>provisional</x:v>
      </x:c>
      <x:c r="K234" s="39" t="n">
        <x:v>0.8</x:v>
      </x:c>
      <x:c r="L234" s="36" t="str">
        <x:v>Fiat</x:v>
      </x:c>
      <x:c r="M234" s="36" t="str">
        <x:v>R21</x:v>
      </x:c>
      <x:c r="N234" s="36" t="str">
        <x:v>multi_purpose_vehicle</x:v>
      </x:c>
      <x:c r="O234" s="38" t="str">
        <x:v>["diesel"]</x:v>
      </x:c>
      <x:c r="P234" s="36"/>
      <x:c r="Q234" s="36" t="n">
        <x:v>2021</x:v>
      </x:c>
      <x:c r="R234" s="38" t="str">
        <x:v>["MFE-EAD33F31080133","DATE-REGISTRATION-V1","DATE-PRODUCTION-MONTH-V1","UNIT-POWER-KW-V1","UNIT-DISPLACEMENT-CCM-V1","BDY-113","FUEL-002"]</x:v>
      </x:c>
      <x:c r="S234" s="38" t="str">
        <x:v>[]</x:v>
      </x:c>
      <x:c r="T234" s="38" t="str">
        <x:v>[]</x:v>
      </x:c>
      <x:c r="U234" s="38" t="str">
        <x:v>{"market":["SE"],"power_kw":96,"manufacturer":"Fiat","bodywork_form":"multi_purpose_vehicle","energy_sources":["diesel"],"displacement_cc":2287,"production_date":"2021-04","production_year":2021,"manufacturer_role":"bodybuilder_converter","power_source_unit":"kw","registration_date":"2021-06-11","alias_types_present":["plate","vin","model_name"],"model_family_candidate":true,"builder_converter_names":["Knaus"],"displacement_source_unit":"ccm","production_date_precision":"month","bodywork_registry_label_sv":"Fordon avsett för flera ändamål"}</x:v>
      </x:c>
      <x:c r="V234" s="38" t="str">
        <x:v>{"model_family":"R21"}</x:v>
      </x:c>
      <x:c r="W2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Knaus"],"field":"builder_converter_names","before":{"brand":"KNAUS","manufacturer":"KNAUS TABBERT GMBH","base_manufacturer":"FCA ITALY S.P.A."},"target":"normalized","rule_ids":["MFE-EAD33F31080133"],"sequence":3,"transformer_id":"ts.manufacturer","confidence_effect":0.2},{"after":"Fiat","field":"manufacturer","before":{"brand":"KNAUS","manufacturer":"KNAUS TABBERT GMBH","base_manufacturer":"FCA ITALY S.P.A."},"target":"normalized","rule_ids":["MFE-EAD33F31080133"],"sequence":4,"transformer_id":"ts.manufacturer","confidence_effect":0.2},{"after":"bodybuilder_converter","field":"manufacturer_role","before":{"brand":"KNAUS","manufacturer":"KNAUS TABBERT GMBH","base_manufacturer":"FCA ITALY S.P.A."},"target":"normalized","rule_ids":["MFE-EAD33F31080133"],"sequence":5,"transformer_id":"ts.manufacturer","confidence_effect":0.2},{"after":true,"field":"model_family_candidate","before":"R21","target":"normalized","rule_ids":["MODEL-CANDIDATE-V1"],"sequence":6,"transformer_id":"ts.model-family","confidence_effect":0.0},{"after":"R21","field":"model_family","before":"R21","target":"candidate","rule_ids":["MODEL-CANDIDATE-V1"],"sequence":7,"transformer_id":"ts.model-family","confidence_effect":0.05},{"after":"2021-04","field":"production_date","before":{"build_month":"202104","vehicle_year":2021,"registration_date":"20210611"},"target":"normalized","rule_ids":["DATE-REGISTRATION-V1","DATE-PRODUCTION-MONTH-V1"],"sequence":8,"transformer_id":"ts.dates","confidence_effect":0.1},{"after":"month","field":"production_date_precision","before":{"build_month":"202104","vehicle_year":2021,"registration_date":"20210611"},"target":"normalized","rule_ids":["DATE-REGISTRATION-V1","DATE-PRODUCTION-MONTH-V1"],"sequence":9,"transformer_id":"ts.dates","confidence_effect":0.1},{"after":2021,"field":"production_year","before":{"build_month":"202104","vehicle_year":2021,"registration_date":"20210611"},"target":"normalized","rule_ids":["DATE-REGISTRATION-V1","DATE-PRODUCTION-MONTH-V1"],"sequence":10,"transformer_id":"ts.dates","confidence_effect":0.1},{"after":"2021-06-11","field":"registration_date","before":{"build_month":"202104","vehicle_year":2021,"registration_date":"20210611"},"target":"normalized","rule_ids":["DATE-REGISTRATION-V1","DATE-PRODUCTION-MONTH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ulti_purpose_vehicle","field":"bodywork_form","before":{"model":"R21","variant":"R21","version":"21D77DMMFCR4","body_code":"AF","eu_category":"M1","vehicle_type":"PB"},"target":"normalized","rule_ids":["BDY-113"],"sequence":16,"transformer_id":"ts.bodywork","confidence_effect":0.1},{"after":"Fordon avsett för flera ändamål","field":"bodywork_registry_label_sv","before":{"model":"R21","variant":"R21","version":"21D77DMMFCR4","body_code":"AF","eu_category":"M1","vehicle_type":"PB"},"target":"normalized","rule_ids":["BDY-113"],"sequence":17,"transformer_id":"ts.bodywork","confidence_effect":0.1},{"after":["diesel"],"field":"energy_sources","before":{"fuel1":"2","fuel2":"0","fuel3":"0","model":"R21","variant":"R21","version":"21D77DMMFCR4"},"target":"normalized","rule_ids":["FUEL-002"],"sequence":18,"transformer_id":"ts.fuel","confidence_effect":0.0}]</x:v>
      </x:c>
      <x:c r="X234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4" s="38" t="str">
        <x:v>{"candidates":{"model_family":"R21"},"confidence":0.8,"normalized":{"market":["SE"],"power_kw":96,"manufacturer":"Fiat","bodywork_form":"multi_purpose_vehicle","energy_sources":["diesel"],"displacement_cc":2287,"production_date":"2021-04","production_year":2021,"manufacturer_role":"bodybuilder_converter","power_source_unit":"kw","registration_date":"2021-06-11","alias_types_present":["plate","vin","model_name"],"model_family_candidate":true,"builder_converter_names":["Knaus"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Knaus"],"field":"builder_converter_names","before":{"brand":"KNAUS","manufacturer":"KNAUS TABBERT GMBH","base_manufacturer":"FCA ITALY S.P.A."},"target":"normalized","rule_ids":["MFE-EAD33F31080133"],"sequence":3,"transformer_id":"ts.manufacturer","confidence_effect":0.2},{"after":"Fiat","field":"manufacturer","before":{"brand":"KNAUS","manufacturer":"KNAUS TABBERT GMBH","base_manufacturer":"FCA ITALY S.P.A."},"target":"normalized","rule_ids":["MFE-EAD33F31080133"],"sequence":4,"transformer_id":"ts.manufacturer","confidence_effect":0.2},{"after":"bodybuilder_converter","field":"manufacturer_role","before":{"brand":"KNAUS","manufacturer":"KNAUS TABBERT GMBH","base_manufacturer":"FCA ITALY S.P.A."},"target":"normalized","rule_ids":["MFE-EAD33F31080133"],"sequence":5,"transformer_id":"ts.manufacturer","confidence_effect":0.2},{"after":true,"field":"model_family_candidate","before":"R21","target":"normalized","rule_ids":["MODEL-CANDIDATE-V1"],"sequence":6,"transformer_id":"ts.model-family","confidence_effect":0.0},{"after":"R21","field":"model_family","before":"R21","target":"candidate","rule_ids":["MODEL-CANDIDATE-V1"],"sequence":7,"transformer_id":"ts.model-family","confidence_effect":0.05},{"after":"2021-04","field":"production_date","before":{"build_month":"202104","vehicle_year":2021,"registration_date":"20210611"},"target":"normalized","rule_ids":["DATE-REGISTRATION-V1","DATE-PRODUCTION-MONTH-V1"],"sequence":8,"transformer_id":"ts.dates","confidence_effect":0.1},{"after":"month","field":"production_date_precision","before":{"build_month":"202104","vehicle_year":2021,"registration_date":"20210611"},"target":"normalized","rule_ids":["DATE-REGISTRATION-V1","DATE-PRODUCTION-MONTH-V1"],"sequence":9,"transformer_id":"ts.dates","confidence_effect":0.1},{"after":2021,"field":"production_year","before":{"build_month":"202104","vehicle_year":2021,"registration_date":"20210611"},"target":"normalized","rule_ids":["DATE-REGISTRATION-V1","DATE-PRODUCTION-MONTH-V1"],"sequence":10,"transformer_id":"ts.dates","confidence_effect":0.1},{"after":"2021-06-11","field":"registration_date","before":{"build_month":"202104","vehicle_year":2021,"registration_date":"20210611"},"target":"normalized","rule_ids":["DATE-REGISTRATION-V1","DATE-PRODUCTION-MONTH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ulti_purpose_vehicle","field":"bodywork_form","before":{"model":"R21","variant":"R21","version":"21D77DMMFCR4","body_code":"AF","eu_category":"M1","vehicle_type":"PB"},"target":"normalized","rule_ids":["BDY-113"],"sequence":16,"transformer_id":"ts.bodywork","confidence_effect":0.1},{"after":"Fordon avsett för flera ändamål","field":"bodywork_registry_label_sv","before":{"model":"R21","variant":"R21","version":"21D77DMMFCR4","body_code":"AF","eu_category":"M1","vehicle_type":"PB"},"target":"normalized","rule_ids":["BDY-113"],"sequence":17,"transformer_id":"ts.bodywork","confidence_effect":0.1},{"after":["diesel"],"field":"energy_sources","before":{"fuel1":"2","fuel2":"0","fuel3":"0","model":"R21","variant":"R21","version":"21D77DMMFCR4"},"target":"normalized","rule_ids":["FUEL-002"],"sequence":18,"transformer_id":"ts.fuel","confidence_effect":0.0}],"pipeline_version":"normalization-pipeline-v4","candidate_rule_ids":[]}</x:v>
      </x:c>
      <x:c r="Z234" s="36" t="n">
        <x:v>46239.78067015046</x:v>
      </x:c>
      <x:c r="AA234" s="36" t="n">
        <x:v>46239.78067015046</x:v>
      </x:c>
    </x:row>
    <x:row r="235" ht="18" customHeight="1">
      <x:c r="A235" s="36" t="n">
        <x:v>2837</x:v>
      </x:c>
      <x:c r="B235" s="36" t="str">
        <x:v>a24e1334-eebf-52d2-9061-c2a62456af38</x:v>
      </x:c>
      <x:c r="C235" s="36" t="str">
        <x:v>Transportstyrelsen</x:v>
      </x:c>
      <x:c r="D235" s="36" t="str">
        <x:v>normalization-review-passenger-250-v1-rules-20260805T184409855703Z</x:v>
      </x:c>
      <x:c r="E235" s="36" t="str">
        <x:v>staging.transportstyrelsen_raw</x:v>
      </x:c>
      <x:c r="F235" s="36" t="n">
        <x:v>2955</x:v>
      </x:c>
      <x:c r="G235" s="36" t="str">
        <x:v>ts-mapping-v1</x:v>
      </x:c>
      <x:c r="H235" s="36" t="str">
        <x:v>ts-review-20260805T184254528647Z</x:v>
      </x:c>
      <x:c r="I235" s="36" t="str">
        <x:v>normalization-pipeline-v4</x:v>
      </x:c>
      <x:c r="J235" s="36" t="str">
        <x:v>provisional</x:v>
      </x:c>
      <x:c r="K235" s="39" t="n">
        <x:v>0.8</x:v>
      </x:c>
      <x:c r="L235" s="36" t="str">
        <x:v>Volvo</x:v>
      </x:c>
      <x:c r="M235" s="36"/>
      <x:c r="N235" s="36" t="str">
        <x:v>covered_body</x:v>
      </x:c>
      <x:c r="O235" s="38" t="str">
        <x:v>["petrol"]</x:v>
      </x:c>
      <x:c r="P235" s="36" t="str">
        <x:v>manual</x:v>
      </x:c>
      <x:c r="Q235" s="36" t="n">
        <x:v>1984</x:v>
      </x:c>
      <x:c r="R235" s="38" t="str">
        <x:v>["DATE-REGISTRATION-V1","DATE-PRODUCTION-YEAR-V1","UNIT-POWER-KW-V1","TRN-001","BDY-102","FUEL-001"]</x:v>
      </x:c>
      <x:c r="S235" s="38" t="str">
        <x:v>["MFR-BRAND-PREFIX-FALLBACK"]</x:v>
      </x:c>
      <x:c r="T235" s="38" t="str">
        <x:v>[]</x:v>
      </x:c>
      <x:c r="U235" s="38" t="str">
        <x:v>{"market":["SE"],"power_kw":78,"manufacturer":"Volvo","bodywork_form":"covered_body","energy_sources":["petrol"],"production_year":1984,"manufacturer_role":"vehicle_manufacturer","power_source_unit":"kw","registration_date":"1983-11-14","transmission_type":"manual","alias_types_present":["plate","vin"],"builder_converter_names":[],"production_date_precision":"model_year","bodywork_registry_label_sv":"Täckt"}</x:v>
      </x:c>
      <x:c r="V235" s="38" t="str">
        <x:v>{"manufacturer_confirmation":{"source_fields":["brand"],"canonical_name":"Volvo"}}</x:v>
      </x:c>
      <x:c r="W2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244-411","target":"normalized","rule_ids":["MFR-CLASSIFY-V1"],"sequence":3,"transformer_id":"ts.manufacturer","confidence_effect":0.2},{"after":"Volvo","field":"manufacturer","before":"VOLVO 244-411","target":"normalized","rule_ids":["MFR-CLASSIFY-V1"],"sequence":4,"transformer_id":"ts.manufacturer","confidence_effect":0.2},{"after":"vehicle_manufacturer","field":"manufacturer_role","before":"VOLVO 244-411","target":"normalized","rule_ids":["MFR-CLASSIFY-V1"],"sequence":5,"transformer_id":"ts.manufacturer","confidence_effect":0.2},{"after":{"source_fields":["brand"],"canonical_name":"Volvo"},"field":"manufacturer_confirmation","before":"VOLVO 244-411","target":"candidate","rule_ids":["MFR-BRAND-PREFIX-FALLBACK"],"sequence":6,"transformer_id":"ts.manufacturer","confidence_effect":0.05},{"after":"model_year","field":"production_date_precision","before":{"model_year":1984,"vehicle_year":1984,"registration_date":"19831114"},"target":"normalized","rule_ids":["DATE-REGISTRATION-V1","DATE-PRODUCTION-YEAR-V1"],"sequence":7,"transformer_id":"ts.dates","confidence_effect":0.1},{"after":1984,"field":"production_year","before":{"model_year":1984,"vehicle_year":1984,"registration_date":"19831114"},"target":"normalized","rule_ids":["DATE-REGISTRATION-V1","DATE-PRODUCTION-YEAR-V1"],"sequence":8,"transformer_id":"ts.dates","confidence_effect":0.1},{"after":"1983-11-14","field":"registration_date","before":{"model_year":1984,"vehicle_year":1984,"registration_date":"19831114"},"target":"normalized","rule_ids":["DATE-REGISTRATION-V1","DATE-PRODUCTION-YEAR-V1"],"sequence":9,"transformer_id":"ts.dates","confidence_effect":0.1},{"after":78,"field":"power_kw","before":78,"target":"normalized","rule_ids":["UNIT-POWER-KW-V1"],"sequence":10,"transformer_id":"ts.engine-measurements","confidence_effect":0.1},{"after":"kw","field":"power_source_unit","before":78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5" s="38" t="str">
        <x:v>{"candidates":{"manufacturer_confirmation":{"source_fields":["brand"],"canonical_name":"Volvo"}},"confidence":0.8,"normalized":{"market":["SE"],"power_kw":78,"manufacturer":"Volvo","bodywork_form":"covered_body","energy_sources":["petrol"],"production_year":1984,"manufacturer_role":"vehicle_manufacturer","power_source_unit":"kw","registration_date":"1983-11-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244-411","target":"normalized","rule_ids":["MFR-CLASSIFY-V1"],"sequence":3,"transformer_id":"ts.manufacturer","confidence_effect":0.2},{"after":"Volvo","field":"manufacturer","before":"VOLVO 244-411","target":"normalized","rule_ids":["MFR-CLASSIFY-V1"],"sequence":4,"transformer_id":"ts.manufacturer","confidence_effect":0.2},{"after":"vehicle_manufacturer","field":"manufacturer_role","before":"VOLVO 244-411","target":"normalized","rule_ids":["MFR-CLASSIFY-V1"],"sequence":5,"transformer_id":"ts.manufacturer","confidence_effect":0.2},{"after":{"source_fields":["brand"],"canonical_name":"Volvo"},"field":"manufacturer_confirmation","before":"VOLVO 244-411","target":"candidate","rule_ids":["MFR-BRAND-PREFIX-FALLBACK"],"sequence":6,"transformer_id":"ts.manufacturer","confidence_effect":0.05},{"after":"model_year","field":"production_date_precision","before":{"model_year":1984,"vehicle_year":1984,"registration_date":"19831114"},"target":"normalized","rule_ids":["DATE-REGISTRATION-V1","DATE-PRODUCTION-YEAR-V1"],"sequence":7,"transformer_id":"ts.dates","confidence_effect":0.1},{"after":1984,"field":"production_year","before":{"model_year":1984,"vehicle_year":1984,"registration_date":"19831114"},"target":"normalized","rule_ids":["DATE-REGISTRATION-V1","DATE-PRODUCTION-YEAR-V1"],"sequence":8,"transformer_id":"ts.dates","confidence_effect":0.1},{"after":"1983-11-14","field":"registration_date","before":{"model_year":1984,"vehicle_year":1984,"registration_date":"19831114"},"target":"normalized","rule_ids":["DATE-REGISTRATION-V1","DATE-PRODUCTION-YEAR-V1"],"sequence":9,"transformer_id":"ts.dates","confidence_effect":0.1},{"after":78,"field":"power_kw","before":78,"target":"normalized","rule_ids":["UNIT-POWER-KW-V1"],"sequence":10,"transformer_id":"ts.engine-measurements","confidence_effect":0.1},{"after":"kw","field":"power_source_unit","before":78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5" s="36" t="n">
        <x:v>46239.78067015046</x:v>
      </x:c>
      <x:c r="AA235" s="36" t="n">
        <x:v>46239.78067015046</x:v>
      </x:c>
    </x:row>
    <x:row r="236" ht="18" customHeight="1">
      <x:c r="A236" s="36" t="n">
        <x:v>2838</x:v>
      </x:c>
      <x:c r="B236" s="36" t="str">
        <x:v>4827b887-5ddb-53f8-b092-c1ee38325cc8</x:v>
      </x:c>
      <x:c r="C236" s="36" t="str">
        <x:v>Transportstyrelsen</x:v>
      </x:c>
      <x:c r="D236" s="36" t="str">
        <x:v>normalization-review-passenger-250-v1-rules-20260805T184409855703Z</x:v>
      </x:c>
      <x:c r="E236" s="36" t="str">
        <x:v>staging.transportstyrelsen_raw</x:v>
      </x:c>
      <x:c r="F236" s="36" t="n">
        <x:v>2956</x:v>
      </x:c>
      <x:c r="G236" s="36" t="str">
        <x:v>ts-mapping-v1</x:v>
      </x:c>
      <x:c r="H236" s="36" t="str">
        <x:v>ts-review-20260805T184254528647Z</x:v>
      </x:c>
      <x:c r="I236" s="36" t="str">
        <x:v>normalization-pipeline-v4</x:v>
      </x:c>
      <x:c r="J236" s="36" t="str">
        <x:v>provisional</x:v>
      </x:c>
      <x:c r="K236" s="39" t="n">
        <x:v>0.8</x:v>
      </x:c>
      <x:c r="L236" s="36" t="str">
        <x:v>Renault</x:v>
      </x:c>
      <x:c r="M236" s="36" t="str">
        <x:v>MEGANE SCENIC</x:v>
      </x:c>
      <x:c r="N236" s="36" t="str">
        <x:v>multi_purpose_vehicle</x:v>
      </x:c>
      <x:c r="O236" s="38" t="str">
        <x:v>["diesel"]</x:v>
      </x:c>
      <x:c r="P236" s="36"/>
      <x:c r="Q236" s="36" t="n">
        <x:v>2012</x:v>
      </x:c>
      <x:c r="R236" s="38" t="str">
        <x:v>["DATE-REGISTRATION-V1","DATE-PRODUCTION-MONTH-V1","UNIT-POWER-KW-V1","UNIT-DISPLACEMENT-CCM-V1","BDY-113","FUEL-002"]</x:v>
      </x:c>
      <x:c r="S236" s="38" t="str">
        <x:v>["MFR-BRAND-PREFIX-FALLBACK"]</x:v>
      </x:c>
      <x:c r="T236" s="38" t="str">
        <x:v>[]</x:v>
      </x:c>
      <x:c r="U236" s="38" t="str">
        <x:v>{"market":["SE"],"power_kw":96,"manufacturer":"Renault","bodywork_form":"multi_purpose_vehicle","energy_sources":["diesel"],"displacement_cc":1598,"production_date":"2012-01","production_year":2012,"manufacturer_role":"vehicle_manufacturer","power_source_unit":"kw","registration_date":"2013-06-11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36" s="38" t="str">
        <x:v>{"model_family":"MEGANE SCENIC","manufacturer_confirmation":{"source_fields":["brand"],"canonical_name":"Renault"}}</x:v>
      </x:c>
      <x:c r="W2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JZ","target":"normalized","rule_ids":["MFR-CLASSIFY-V1"],"sequence":3,"transformer_id":"ts.manufacturer","confidence_effect":0.2},{"after":"Renault","field":"manufacturer","before":"RENAULT JZ","target":"normalized","rule_ids":["MFR-CLASSIFY-V1"],"sequence":4,"transformer_id":"ts.manufacturer","confidence_effect":0.2},{"after":"vehicle_manufacturer","field":"manufacturer_role","before":"RENAULT JZ","target":"normalized","rule_ids":["MFR-CLASSIFY-V1"],"sequence":5,"transformer_id":"ts.manufacturer","confidence_effect":0.2},{"after":{"source_fields":["brand"],"canonical_name":"Renault"},"field":"manufacturer_confirmation","before":"RENAULT JZ","target":"candidate","rule_ids":["MFR-BRAND-PREFIX-FALLBACK"],"sequence":6,"transformer_id":"ts.manufacturer","confidence_effect":0.05},{"after":true,"field":"model_family_candidate","before":"MEGANE SCENIC","target":"normalized","rule_ids":["MODEL-CANDIDATE-V1"],"sequence":7,"transformer_id":"ts.model-family","confidence_effect":0.0},{"after":"MEGANE SCENIC","field":"model_family","before":"MEGANE SCENIC","target":"candidate","rule_ids":["MODEL-CANDIDATE-V1"],"sequence":8,"transformer_id":"ts.model-family","confidence_effect":0.05},{"after":"2012-01","field":"production_date","before":{"build_month":"201201","vehicle_year":2012,"registration_date":"20130611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20130611"},"target":"normalized","rule_ids":["DATE-REGISTRATION-V1","DATE-PRODUCTION-MONTH-V1"],"sequence":10,"transformer_id":"ts.dates","confidence_effect":0.1},{"after":2012,"field":"production_year","before":{"build_month":"201201","vehicle_year":2012,"registration_date":"20130611"},"target":"normalized","rule_ids":["DATE-REGISTRATION-V1","DATE-PRODUCTION-MONTH-V1"],"sequence":11,"transformer_id":"ts.dates","confidence_effect":0.1},{"after":"2013-06-11","field":"registration_date","before":{"build_month":"201201","vehicle_year":2012,"registration_date":"20130611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multi_purpose_vehicle","field":"bodywork_form","before":{"model":"MEGANE SCENIC","variant":"JZ00","version":"JZ00BD","body_code":"AF","eu_category":"M1","vehicle_type":"PB"},"target":"normalized","rule_ids":["BDY-113"],"sequence":17,"transformer_id":"ts.bodywork","confidence_effect":0.1},{"after":"Fordon avsett för flera ändamål","field":"bodywork_registry_label_sv","before":{"model":"MEGANE SCENIC","variant":"JZ00","version":"JZ00BD","body_code":"AF","eu_category":"M1","vehicle_type":"PB"},"target":"normalized","rule_ids":["BDY-113"],"sequence":18,"transformer_id":"ts.bodywork","confidence_effect":0.1},{"after":["diesel"],"field":"energy_sources","before":{"fuel1":"2","fuel2":"0","fuel3":"0","model":"MEGANE SCENIC","variant":"JZ00","version":"JZ00BD"},"target":"normalized","rule_ids":["FUEL-002"],"sequence":19,"transformer_id":"ts.fuel","confidence_effect":0.0}]</x:v>
      </x:c>
      <x:c r="X236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6" s="38" t="str">
        <x:v>{"candidates":{"model_family":"MEGANE SCENIC","manufacturer_confirmation":{"source_fields":["brand"],"canonical_name":"Renault"}},"confidence":0.8,"normalized":{"market":["SE"],"power_kw":96,"manufacturer":"Renault","bodywork_form":"multi_purpose_vehicle","energy_sources":["diesel"],"displacement_cc":1598,"production_date":"2012-01","production_year":2012,"manufacturer_role":"vehicle_manufacturer","power_source_unit":"kw","registration_date":"2013-06-11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JZ","target":"normalized","rule_ids":["MFR-CLASSIFY-V1"],"sequence":3,"transformer_id":"ts.manufacturer","confidence_effect":0.2},{"after":"Renault","field":"manufacturer","before":"RENAULT JZ","target":"normalized","rule_ids":["MFR-CLASSIFY-V1"],"sequence":4,"transformer_id":"ts.manufacturer","confidence_effect":0.2},{"after":"vehicle_manufacturer","field":"manufacturer_role","before":"RENAULT JZ","target":"normalized","rule_ids":["MFR-CLASSIFY-V1"],"sequence":5,"transformer_id":"ts.manufacturer","confidence_effect":0.2},{"after":{"source_fields":["brand"],"canonical_name":"Renault"},"field":"manufacturer_confirmation","before":"RENAULT JZ","target":"candidate","rule_ids":["MFR-BRAND-PREFIX-FALLBACK"],"sequence":6,"transformer_id":"ts.manufacturer","confidence_effect":0.05},{"after":true,"field":"model_family_candidate","before":"MEGANE SCENIC","target":"normalized","rule_ids":["MODEL-CANDIDATE-V1"],"sequence":7,"transformer_id":"ts.model-family","confidence_effect":0.0},{"after":"MEGANE SCENIC","field":"model_family","before":"MEGANE SCENIC","target":"candidate","rule_ids":["MODEL-CANDIDATE-V1"],"sequence":8,"transformer_id":"ts.model-family","confidence_effect":0.05},{"after":"2012-01","field":"production_date","before":{"build_month":"201201","vehicle_year":2012,"registration_date":"20130611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20130611"},"target":"normalized","rule_ids":["DATE-REGISTRATION-V1","DATE-PRODUCTION-MONTH-V1"],"sequence":10,"transformer_id":"ts.dates","confidence_effect":0.1},{"after":2012,"field":"production_year","before":{"build_month":"201201","vehicle_year":2012,"registration_date":"20130611"},"target":"normalized","rule_ids":["DATE-REGISTRATION-V1","DATE-PRODUCTION-MONTH-V1"],"sequence":11,"transformer_id":"ts.dates","confidence_effect":0.1},{"after":"2013-06-11","field":"registration_date","before":{"build_month":"201201","vehicle_year":2012,"registration_date":"20130611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multi_purpose_vehicle","field":"bodywork_form","before":{"model":"MEGANE SCENIC","variant":"JZ00","version":"JZ00BD","body_code":"AF","eu_category":"M1","vehicle_type":"PB"},"target":"normalized","rule_ids":["BDY-113"],"sequence":17,"transformer_id":"ts.bodywork","confidence_effect":0.1},{"after":"Fordon avsett för flera ändamål","field":"bodywork_registry_label_sv","before":{"model":"MEGANE SCENIC","variant":"JZ00","version":"JZ00BD","body_code":"AF","eu_category":"M1","vehicle_type":"PB"},"target":"normalized","rule_ids":["BDY-113"],"sequence":18,"transformer_id":"ts.bodywork","confidence_effect":0.1},{"after":["diesel"],"field":"energy_sources","before":{"fuel1":"2","fuel2":"0","fuel3":"0","model":"MEGANE SCENIC","variant":"JZ00","version":"JZ00BD"},"target":"normalized","rule_ids":["FUEL-002"],"sequence":19,"transformer_id":"ts.fuel","confidence_effect":0.0}],"pipeline_version":"normalization-pipeline-v4","candidate_rule_ids":["MFR-BRAND-PREFIX-FALLBACK"]}</x:v>
      </x:c>
      <x:c r="Z236" s="36" t="n">
        <x:v>46239.78067015046</x:v>
      </x:c>
      <x:c r="AA236" s="36" t="n">
        <x:v>46239.78067015046</x:v>
      </x:c>
    </x:row>
    <x:row r="237" ht="18" customHeight="1">
      <x:c r="A237" s="36" t="n">
        <x:v>2839</x:v>
      </x:c>
      <x:c r="B237" s="36" t="str">
        <x:v>d4fce2d4-4e93-5944-8788-01ce2547d6cf</x:v>
      </x:c>
      <x:c r="C237" s="36" t="str">
        <x:v>Transportstyrelsen</x:v>
      </x:c>
      <x:c r="D237" s="36" t="str">
        <x:v>normalization-review-passenger-250-v1-rules-20260805T184409855703Z</x:v>
      </x:c>
      <x:c r="E237" s="36" t="str">
        <x:v>staging.transportstyrelsen_raw</x:v>
      </x:c>
      <x:c r="F237" s="36" t="n">
        <x:v>2957</x:v>
      </x:c>
      <x:c r="G237" s="36" t="str">
        <x:v>ts-mapping-v1</x:v>
      </x:c>
      <x:c r="H237" s="36" t="str">
        <x:v>ts-review-20260805T184254528647Z</x:v>
      </x:c>
      <x:c r="I237" s="36" t="str">
        <x:v>normalization-pipeline-v4</x:v>
      </x:c>
      <x:c r="J237" s="36" t="str">
        <x:v>provisional</x:v>
      </x:c>
      <x:c r="K237" s="39" t="n">
        <x:v>0.8</x:v>
      </x:c>
      <x:c r="L237" s="36" t="str">
        <x:v>Ford</x:v>
      </x:c>
      <x:c r="M237" s="36" t="str">
        <x:v>FIESTA</x:v>
      </x:c>
      <x:c r="N237" s="36" t="str">
        <x:v>hatchback</x:v>
      </x:c>
      <x:c r="O237" s="38" t="str">
        <x:v>["petrol"]</x:v>
      </x:c>
      <x:c r="P237" s="36" t="str">
        <x:v>manual</x:v>
      </x:c>
      <x:c r="Q237" s="36" t="n">
        <x:v>2013</x:v>
      </x:c>
      <x:c r="R237" s="38" t="str">
        <x:v>["MFR-BRAND-CONFIRMED","MFR-BRAND-VIN-WMI","DATE-REGISTRATION-V1","DATE-PRODUCTION-MONTH-V1","UNIT-POWER-KW-V1","UNIT-DISPLACEMENT-CCM-V1","TRN-001","BDY-109","FUEL-001"]</x:v>
      </x:c>
      <x:c r="S237" s="38" t="str">
        <x:v>[]</x:v>
      </x:c>
      <x:c r="T237" s="38" t="str">
        <x:v>[]</x:v>
      </x:c>
      <x:c r="U237" s="38" t="str">
        <x:v>{"market":["SE"],"power_kw":59,"manufacturer":"Ford","bodywork_form":"hatchback","energy_sources":["petrol"],"displacement_cc":998,"production_date":"2013-11","production_year":2013,"manufacturer_role":"vehicle_manufacturer","power_source_unit":"kw","registration_date":"2013-11-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37" s="38" t="str">
        <x:v>{"model_family":"FIESTA"}</x:v>
      </x:c>
      <x:c r="W2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2013-11","field":"production_date","before":{"build_month":"201311","vehicle_year":2013,"registration_date":"20131129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20131129"},"target":"normalized","rule_ids":["DATE-REGISTRATION-V1","DATE-PRODUCTION-MONTH-V1"],"sequence":9,"transformer_id":"ts.dates","confidence_effect":0.1},{"after":2013,"field":"production_year","before":{"build_month":"201311","vehicle_year":2013,"registration_date":"20131129"},"target":"normalized","rule_ids":["DATE-REGISTRATION-V1","DATE-PRODUCTION-MONTH-V1"],"sequence":10,"transformer_id":"ts.dates","confidence_effect":0.1},{"after":"2013-11-29","field":"registration_date","before":{"build_month":"201311","vehicle_year":2013,"registration_date":"20131129"},"target":"normalized","rule_ids":["DATE-REGISTRATION-V1","DATE-PRODUCTION-MONTH-V1"],"sequence":11,"transformer_id":"ts.dates","confidence_effect":0.1},{"after":998,"field":"displacement_cc","before":{"kw":59,"ccm":998},"target":"normalized","rule_ids":["UNIT-POWER-KW-V1","UNIT-DISPLACEMENT-CCM-V1"],"sequence":12,"transformer_id":"ts.engine-measurements","confidence_effect":0.1},{"after":"ccm","field":"displacement_source_unit","before":{"kw":59,"ccm":998},"target":"normalized","rule_ids":["UNIT-POWER-KW-V1","UNIT-DISPLACEMENT-CCM-V1"],"sequence":13,"transformer_id":"ts.engine-measurements","confidence_effect":0.1},{"after":59,"field":"power_kw","before":{"kw":59,"ccm":998},"target":"normalized","rule_ids":["UNIT-POWER-KW-V1","UNIT-DISPLACEMENT-CCM-V1"],"sequence":14,"transformer_id":"ts.engine-measurements","confidence_effect":0.1},{"after":"kw","field":"power_source_unit","before":{"kw":59,"ccm":998},"target":"normalized","rule_ids":["UNIT-POWER-KW-V1","UNIT-DISPLACEMENT-CCM-V1"],"sequence":15,"transformer_id":"ts.engine-measurements","confidence_effect":0.1},{"after":"manual","field":"transmission_type","before":{"model":"FIESTA","gearbox":"M","variant":"P4JB1D","version":"5AMAAF"},"target":"normalized","rule_ids":["TRN-001"],"sequence":16,"transformer_id":"ts.transmission","confidence_effect":0.1},{"after":"hatchback","field":"bodywork_form","before":{"model":"FIESTA","variant":"P4JB1D","version":"5AMAAF","body_code":"AB","eu_category":"M1","vehicle_type":"PB"},"target":"normalized","rule_ids":["BDY-109"],"sequence":17,"transformer_id":"ts.bodywork","confidence_effect":0.1},{"after":"Halvkombi","field":"bodywork_registry_label_sv","before":{"model":"FIESTA","variant":"P4JB1D","version":"5AMAAF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P4JB1D","version":"5AMAAF"},"target":"normalized","rule_ids":["FUEL-001"],"sequence":19,"transformer_id":"ts.fuel","confidence_effect":0.0}]</x:v>
      </x:c>
      <x:c r="X23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7" s="38" t="str">
        <x:v>{"candidates":{"model_family":"FIESTA"},"confidence":0.8,"normalized":{"market":["SE"],"power_kw":59,"manufacturer":"Ford","bodywork_form":"hatchback","energy_sources":["petrol"],"displacement_cc":998,"production_date":"2013-11","production_year":2013,"manufacturer_role":"vehicle_manufacturer","power_source_unit":"kw","registration_date":"2013-11-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2013-11","field":"production_date","before":{"build_month":"201311","vehicle_year":2013,"registration_date":"20131129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20131129"},"target":"normalized","rule_ids":["DATE-REGISTRATION-V1","DATE-PRODUCTION-MONTH-V1"],"sequence":9,"transformer_id":"ts.dates","confidence_effect":0.1},{"after":2013,"field":"production_year","before":{"build_month":"201311","vehicle_year":2013,"registration_date":"20131129"},"target":"normalized","rule_ids":["DATE-REGISTRATION-V1","DATE-PRODUCTION-MONTH-V1"],"sequence":10,"transformer_id":"ts.dates","confidence_effect":0.1},{"after":"2013-11-29","field":"registration_date","before":{"build_month":"201311","vehicle_year":2013,"registration_date":"20131129"},"target":"normalized","rule_ids":["DATE-REGISTRATION-V1","DATE-PRODUCTION-MONTH-V1"],"sequence":11,"transformer_id":"ts.dates","confidence_effect":0.1},{"after":998,"field":"displacement_cc","before":{"kw":59,"ccm":998},"target":"normalized","rule_ids":["UNIT-POWER-KW-V1","UNIT-DISPLACEMENT-CCM-V1"],"sequence":12,"transformer_id":"ts.engine-measurements","confidence_effect":0.1},{"after":"ccm","field":"displacement_source_unit","before":{"kw":59,"ccm":998},"target":"normalized","rule_ids":["UNIT-POWER-KW-V1","UNIT-DISPLACEMENT-CCM-V1"],"sequence":13,"transformer_id":"ts.engine-measurements","confidence_effect":0.1},{"after":59,"field":"power_kw","before":{"kw":59,"ccm":998},"target":"normalized","rule_ids":["UNIT-POWER-KW-V1","UNIT-DISPLACEMENT-CCM-V1"],"sequence":14,"transformer_id":"ts.engine-measurements","confidence_effect":0.1},{"after":"kw","field":"power_source_unit","before":{"kw":59,"ccm":998},"target":"normalized","rule_ids":["UNIT-POWER-KW-V1","UNIT-DISPLACEMENT-CCM-V1"],"sequence":15,"transformer_id":"ts.engine-measurements","confidence_effect":0.1},{"after":"manual","field":"transmission_type","before":{"model":"FIESTA","gearbox":"M","variant":"P4JB1D","version":"5AMAAF"},"target":"normalized","rule_ids":["TRN-001"],"sequence":16,"transformer_id":"ts.transmission","confidence_effect":0.1},{"after":"hatchback","field":"bodywork_form","before":{"model":"FIESTA","variant":"P4JB1D","version":"5AMAAF","body_code":"AB","eu_category":"M1","vehicle_type":"PB"},"target":"normalized","rule_ids":["BDY-109"],"sequence":17,"transformer_id":"ts.bodywork","confidence_effect":0.1},{"after":"Halvkombi","field":"bodywork_registry_label_sv","before":{"model":"FIESTA","variant":"P4JB1D","version":"5AMAAF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P4JB1D","version":"5AMAAF"},"target":"normalized","rule_ids":["FUEL-001"],"sequence":19,"transformer_id":"ts.fuel","confidence_effect":0.0}],"pipeline_version":"normalization-pipeline-v4","candidate_rule_ids":[]}</x:v>
      </x:c>
      <x:c r="Z237" s="36" t="n">
        <x:v>46239.78067015046</x:v>
      </x:c>
      <x:c r="AA237" s="36" t="n">
        <x:v>46239.78067015046</x:v>
      </x:c>
    </x:row>
    <x:row r="238" ht="18" customHeight="1">
      <x:c r="A238" s="36" t="n">
        <x:v>2840</x:v>
      </x:c>
      <x:c r="B238" s="36" t="str">
        <x:v>bc4b336e-73d0-5ef7-936a-e76d9e5190c2</x:v>
      </x:c>
      <x:c r="C238" s="36" t="str">
        <x:v>Transportstyrelsen</x:v>
      </x:c>
      <x:c r="D238" s="36" t="str">
        <x:v>normalization-review-passenger-250-v1-rules-20260805T184409855703Z</x:v>
      </x:c>
      <x:c r="E238" s="36" t="str">
        <x:v>staging.transportstyrelsen_raw</x:v>
      </x:c>
      <x:c r="F238" s="36" t="n">
        <x:v>2958</x:v>
      </x:c>
      <x:c r="G238" s="36" t="str">
        <x:v>ts-mapping-v1</x:v>
      </x:c>
      <x:c r="H238" s="36" t="str">
        <x:v>ts-review-20260805T184254528647Z</x:v>
      </x:c>
      <x:c r="I238" s="36" t="str">
        <x:v>normalization-pipeline-v4</x:v>
      </x:c>
      <x:c r="J238" s="36" t="str">
        <x:v>provisional</x:v>
      </x:c>
      <x:c r="K238" s="39" t="n">
        <x:v>0.8</x:v>
      </x:c>
      <x:c r="L238" s="36" t="str">
        <x:v>Volvo</x:v>
      </x:c>
      <x:c r="M238" s="36"/>
      <x:c r="N238" s="36" t="str">
        <x:v>covered_body</x:v>
      </x:c>
      <x:c r="O238" s="38" t="str">
        <x:v>["petrol"]</x:v>
      </x:c>
      <x:c r="P238" s="36" t="str">
        <x:v>automatic</x:v>
      </x:c>
      <x:c r="Q238" s="36" t="n">
        <x:v>1985</x:v>
      </x:c>
      <x:c r="R238" s="38" t="str">
        <x:v>["DATE-REGISTRATION-V1","DATE-PRODUCTION-YEAR-V1","UNIT-POWER-KW-V1","TRN-002","BDY-104","FUEL-001"]</x:v>
      </x:c>
      <x:c r="S238" s="38" t="str">
        <x:v>["MFR-BRAND-PREFIX-FALLBACK"]</x:v>
      </x:c>
      <x:c r="T238" s="38" t="str">
        <x:v>[]</x:v>
      </x:c>
      <x:c r="U238" s="38" t="str">
        <x:v>{"market":["SE"],"power_kw":82,"manufacturer":"Volvo","bodywork_form":"covered_body","energy_sources":["petrol"],"production_year":1985,"manufacturer_role":"vehicle_manufacturer","power_source_unit":"kw","registration_date":"1985-06-27","transmission_type":"automatic","alias_types_present":["plate","vin"],"builder_converter_names":[],"production_date_precision":"model_year","bodywork_registry_label_sv":"Täckt, taklucka"}</x:v>
      </x:c>
      <x:c r="V238" s="38" t="str">
        <x:v>{"manufacturer_confirmation":{"source_fields":["brand"],"canonical_name":"Volvo"}}</x:v>
      </x:c>
      <x:c r="W2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704-817","target":"normalized","rule_ids":["MFR-CLASSIFY-V1"],"sequence":3,"transformer_id":"ts.manufacturer","confidence_effect":0.2},{"after":"Volvo","field":"manufacturer","before":"VOLVO 704-817","target":"normalized","rule_ids":["MFR-CLASSIFY-V1"],"sequence":4,"transformer_id":"ts.manufacturer","confidence_effect":0.2},{"after":"vehicle_manufacturer","field":"manufacturer_role","before":"VOLVO 704-817","target":"normalized","rule_ids":["MFR-CLASSIFY-V1"],"sequence":5,"transformer_id":"ts.manufacturer","confidence_effect":0.2},{"after":{"source_fields":["brand"],"canonical_name":"Volvo"},"field":"manufacturer_confirmation","before":"VOLVO 704-817","target":"candidate","rule_ids":["MFR-BRAND-PREFIX-FALLBACK"],"sequence":6,"transformer_id":"ts.manufacturer","confidence_effect":0.05},{"after":"model_year","field":"production_date_precision","before":{"model_year":1985,"vehicle_year":1985,"registration_date":"19850627"},"target":"normalized","rule_ids":["DATE-REGISTRATION-V1","DATE-PRODUCTION-YEAR-V1"],"sequence":7,"transformer_id":"ts.dates","confidence_effect":0.1},{"after":1985,"field":"production_year","before":{"model_year":1985,"vehicle_year":1985,"registration_date":"19850627"},"target":"normalized","rule_ids":["DATE-REGISTRATION-V1","DATE-PRODUCTION-YEAR-V1"],"sequence":8,"transformer_id":"ts.dates","confidence_effect":0.1},{"after":"1985-06-27","field":"registration_date","before":{"model_year":1985,"vehicle_year":1985,"registration_date":"19850627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8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8" s="38" t="str">
        <x:v>{"candidates":{"manufacturer_confirmation":{"source_fields":["brand"],"canonical_name":"Volvo"}},"confidence":0.8,"normalized":{"market":["SE"],"power_kw":82,"manufacturer":"Volvo","bodywork_form":"covered_body","energy_sources":["petrol"],"production_year":1985,"manufacturer_role":"vehicle_manufacturer","power_source_unit":"kw","registration_date":"1985-06-27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704-817","target":"normalized","rule_ids":["MFR-CLASSIFY-V1"],"sequence":3,"transformer_id":"ts.manufacturer","confidence_effect":0.2},{"after":"Volvo","field":"manufacturer","before":"VOLVO 704-817","target":"normalized","rule_ids":["MFR-CLASSIFY-V1"],"sequence":4,"transformer_id":"ts.manufacturer","confidence_effect":0.2},{"after":"vehicle_manufacturer","field":"manufacturer_role","before":"VOLVO 704-817","target":"normalized","rule_ids":["MFR-CLASSIFY-V1"],"sequence":5,"transformer_id":"ts.manufacturer","confidence_effect":0.2},{"after":{"source_fields":["brand"],"canonical_name":"Volvo"},"field":"manufacturer_confirmation","before":"VOLVO 704-817","target":"candidate","rule_ids":["MFR-BRAND-PREFIX-FALLBACK"],"sequence":6,"transformer_id":"ts.manufacturer","confidence_effect":0.05},{"after":"model_year","field":"production_date_precision","before":{"model_year":1985,"vehicle_year":1985,"registration_date":"19850627"},"target":"normalized","rule_ids":["DATE-REGISTRATION-V1","DATE-PRODUCTION-YEAR-V1"],"sequence":7,"transformer_id":"ts.dates","confidence_effect":0.1},{"after":1985,"field":"production_year","before":{"model_year":1985,"vehicle_year":1985,"registration_date":"19850627"},"target":"normalized","rule_ids":["DATE-REGISTRATION-V1","DATE-PRODUCTION-YEAR-V1"],"sequence":8,"transformer_id":"ts.dates","confidence_effect":0.1},{"after":"1985-06-27","field":"registration_date","before":{"model_year":1985,"vehicle_year":1985,"registration_date":"19850627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8" s="36" t="n">
        <x:v>46239.78067015046</x:v>
      </x:c>
      <x:c r="AA238" s="36" t="n">
        <x:v>46239.78067015046</x:v>
      </x:c>
    </x:row>
    <x:row r="239" ht="18" customHeight="1">
      <x:c r="A239" s="36" t="n">
        <x:v>2841</x:v>
      </x:c>
      <x:c r="B239" s="36" t="str">
        <x:v>8a1e6f32-63cd-5a28-bbac-bc7c0464f3e7</x:v>
      </x:c>
      <x:c r="C239" s="36" t="str">
        <x:v>Transportstyrelsen</x:v>
      </x:c>
      <x:c r="D239" s="36" t="str">
        <x:v>normalization-review-passenger-250-v1-rules-20260805T184409855703Z</x:v>
      </x:c>
      <x:c r="E239" s="36" t="str">
        <x:v>staging.transportstyrelsen_raw</x:v>
      </x:c>
      <x:c r="F239" s="36" t="n">
        <x:v>2959</x:v>
      </x:c>
      <x:c r="G239" s="36" t="str">
        <x:v>ts-mapping-v1</x:v>
      </x:c>
      <x:c r="H239" s="36" t="str">
        <x:v>ts-review-20260805T184254528647Z</x:v>
      </x:c>
      <x:c r="I239" s="36" t="str">
        <x:v>normalization-pipeline-v4</x:v>
      </x:c>
      <x:c r="J239" s="36" t="str">
        <x:v>provisional</x:v>
      </x:c>
      <x:c r="K239" s="39" t="n">
        <x:v>0.8</x:v>
      </x:c>
      <x:c r="L239" s="36" t="str">
        <x:v>Mercedes-Benz</x:v>
      </x:c>
      <x:c r="M239" s="36" t="str">
        <x:v>E 200 D</x:v>
      </x:c>
      <x:c r="N239" s="36" t="str">
        <x:v>estate</x:v>
      </x:c>
      <x:c r="O239" s="38" t="str">
        <x:v>["diesel"]</x:v>
      </x:c>
      <x:c r="P239" s="36"/>
      <x:c r="Q239" s="36" t="n">
        <x:v>2019</x:v>
      </x:c>
      <x:c r="R239" s="38" t="str">
        <x:v>["MFR-102","DATE-REGISTRATION-V1","DATE-PRODUCTION-MONTH-V1","UNIT-POWER-KW-V1","UNIT-DISPLACEMENT-CCM-V1","BDY-110","FUEL-002"]</x:v>
      </x:c>
      <x:c r="S239" s="38" t="str">
        <x:v>[]</x:v>
      </x:c>
      <x:c r="T239" s="38" t="str">
        <x:v>[]</x:v>
      </x:c>
      <x:c r="U239" s="38" t="str">
        <x:v>{"market":["SE"],"power_kw":118,"manufacturer":"Mercedes-Benz","bodywork_form":"estate","energy_sources":["diesel"],"displacement_cc":1597,"production_date":"2019-11","production_year":2019,"manufacturer_role":"vehicle_manufacturer","power_source_unit":"kw","registration_date":"2019-11-26","alias_types_present":["plate","vin","model_name"],"model_family_candidate":true,"builder_converter_names":[],"displacement_source_unit":"ccm","production_date_precision":"month","bodywork_registry_label_sv":"Stationsvagn (kombivagn)"}</x:v>
      </x:c>
      <x:c r="V239" s="38" t="str">
        <x:v>{"model_family":"E 200 D"}</x:v>
      </x:c>
      <x:c r="W2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 200 D","target":"normalized","rule_ids":["MODEL-CANDIDATE-V1"],"sequence":6,"transformer_id":"ts.model-family","confidence_effect":0.0},{"after":"E 200 D","field":"model_family","before":"E 200 D","target":"candidate","rule_ids":["MODEL-CANDIDATE-V1"],"sequence":7,"transformer_id":"ts.model-family","confidence_effect":0.05},{"after":"2019-11","field":"production_date","before":{"build_month":"201911","vehicle_year":2019,"registration_date":"20191126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20191126"},"target":"normalized","rule_ids":["DATE-REGISTRATION-V1","DATE-PRODUCTION-MONTH-V1"],"sequence":9,"transformer_id":"ts.dates","confidence_effect":0.1},{"after":2019,"field":"production_year","before":{"build_month":"201911","vehicle_year":2019,"registration_date":"20191126"},"target":"normalized","rule_ids":["DATE-REGISTRATION-V1","DATE-PRODUCTION-MONTH-V1"],"sequence":10,"transformer_id":"ts.dates","confidence_effect":0.1},{"after":"2019-11-26","field":"registration_date","before":{"build_month":"201911","vehicle_year":2019,"registration_date":"20191126"},"target":"normalized","rule_ids":["DATE-REGISTRATION-V1","DATE-PRODUCTION-MONTH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estate","field":"bodywork_form","before":{"model":"E 200 D","variant":"U21DT0","version":"CZAA05AA","body_code":"AC","eu_category":"M1","vehicle_type":"PB"},"target":"normalized","rule_ids":["BDY-110"],"sequence":16,"transformer_id":"ts.bodywork","confidence_effect":0.1},{"after":"Stationsvagn (kombivagn)","field":"bodywork_registry_label_sv","before":{"model":"E 200 D","variant":"U21DT0","version":"CZAA05AA","body_code":"AC","eu_category":"M1","vehicle_type":"PB"},"target":"normalized","rule_ids":["BDY-110"],"sequence":17,"transformer_id":"ts.bodywork","confidence_effect":0.1},{"after":["diesel"],"field":"energy_sources","before":{"fuel1":"2","fuel2":"0","fuel3":"0","model":"E 200 D","variant":"U21DT0","version":"CZAA05AA"},"target":"normalized","rule_ids":["FUEL-002"],"sequence":18,"transformer_id":"ts.fuel","confidence_effect":0.0}]</x:v>
      </x:c>
      <x:c r="X23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9" s="38" t="str">
        <x:v>{"candidates":{"model_family":"E 200 D"},"confidence":0.8,"normalized":{"market":["SE"],"power_kw":118,"manufacturer":"Mercedes-Benz","bodywork_form":"estate","energy_sources":["diesel"],"displacement_cc":1597,"production_date":"2019-11","production_year":2019,"manufacturer_role":"vehicle_manufacturer","power_source_unit":"kw","registration_date":"2019-11-26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 200 D","target":"normalized","rule_ids":["MODEL-CANDIDATE-V1"],"sequence":6,"transformer_id":"ts.model-family","confidence_effect":0.0},{"after":"E 200 D","field":"model_family","before":"E 200 D","target":"candidate","rule_ids":["MODEL-CANDIDATE-V1"],"sequence":7,"transformer_id":"ts.model-family","confidence_effect":0.05},{"after":"2019-11","field":"production_date","before":{"build_month":"201911","vehicle_year":2019,"registration_date":"20191126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20191126"},"target":"normalized","rule_ids":["DATE-REGISTRATION-V1","DATE-PRODUCTION-MONTH-V1"],"sequence":9,"transformer_id":"ts.dates","confidence_effect":0.1},{"after":2019,"field":"production_year","before":{"build_month":"201911","vehicle_year":2019,"registration_date":"20191126"},"target":"normalized","rule_ids":["DATE-REGISTRATION-V1","DATE-PRODUCTION-MONTH-V1"],"sequence":10,"transformer_id":"ts.dates","confidence_effect":0.1},{"after":"2019-11-26","field":"registration_date","before":{"build_month":"201911","vehicle_year":2019,"registration_date":"20191126"},"target":"normalized","rule_ids":["DATE-REGISTRATION-V1","DATE-PRODUCTION-MONTH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estate","field":"bodywork_form","before":{"model":"E 200 D","variant":"U21DT0","version":"CZAA05AA","body_code":"AC","eu_category":"M1","vehicle_type":"PB"},"target":"normalized","rule_ids":["BDY-110"],"sequence":16,"transformer_id":"ts.bodywork","confidence_effect":0.1},{"after":"Stationsvagn (kombivagn)","field":"bodywork_registry_label_sv","before":{"model":"E 200 D","variant":"U21DT0","version":"CZAA05AA","body_code":"AC","eu_category":"M1","vehicle_type":"PB"},"target":"normalized","rule_ids":["BDY-110"],"sequence":17,"transformer_id":"ts.bodywork","confidence_effect":0.1},{"after":["diesel"],"field":"energy_sources","before":{"fuel1":"2","fuel2":"0","fuel3":"0","model":"E 200 D","variant":"U21DT0","version":"CZAA05AA"},"target":"normalized","rule_ids":["FUEL-002"],"sequence":18,"transformer_id":"ts.fuel","confidence_effect":0.0}],"pipeline_version":"normalization-pipeline-v4","candidate_rule_ids":[]}</x:v>
      </x:c>
      <x:c r="Z239" s="36" t="n">
        <x:v>46239.78067015046</x:v>
      </x:c>
      <x:c r="AA239" s="36" t="n">
        <x:v>46239.78067015046</x:v>
      </x:c>
    </x:row>
    <x:row r="240" ht="18" customHeight="1">
      <x:c r="A240" s="36" t="n">
        <x:v>2842</x:v>
      </x:c>
      <x:c r="B240" s="36" t="str">
        <x:v>a210a18d-976a-5ef8-80be-3bf3c4e6405c</x:v>
      </x:c>
      <x:c r="C240" s="36" t="str">
        <x:v>Transportstyrelsen</x:v>
      </x:c>
      <x:c r="D240" s="36" t="str">
        <x:v>normalization-review-passenger-250-v1-rules-20260805T184409855703Z</x:v>
      </x:c>
      <x:c r="E240" s="36" t="str">
        <x:v>staging.transportstyrelsen_raw</x:v>
      </x:c>
      <x:c r="F240" s="36" t="n">
        <x:v>2960</x:v>
      </x:c>
      <x:c r="G240" s="36" t="str">
        <x:v>ts-mapping-v1</x:v>
      </x:c>
      <x:c r="H240" s="36" t="str">
        <x:v>ts-review-20260805T184254528647Z</x:v>
      </x:c>
      <x:c r="I240" s="36" t="str">
        <x:v>normalization-pipeline-v4</x:v>
      </x:c>
      <x:c r="J240" s="36" t="str">
        <x:v>provisional</x:v>
      </x:c>
      <x:c r="K240" s="39" t="n">
        <x:v>0.8</x:v>
      </x:c>
      <x:c r="L240" s="36" t="str">
        <x:v>Porsche</x:v>
      </x:c>
      <x:c r="M240" s="36"/>
      <x:c r="N240" s="36" t="str">
        <x:v>covered_body</x:v>
      </x:c>
      <x:c r="O240" s="38" t="str">
        <x:v>["petrol"]</x:v>
      </x:c>
      <x:c r="P240" s="36" t="str">
        <x:v>manual</x:v>
      </x:c>
      <x:c r="Q240" s="36" t="n">
        <x:v>1977</x:v>
      </x:c>
      <x:c r="R240" s="38" t="str">
        <x:v>["DATE-REGISTRATION-V1","DATE-PRODUCTION-YEAR-V1","UNIT-POWER-KW-V1","TRN-001","BDY-102","FUEL-001"]</x:v>
      </x:c>
      <x:c r="S240" s="38" t="str">
        <x:v>["MFR-BRAND-PREFIX-FALLBACK"]</x:v>
      </x:c>
      <x:c r="T240" s="38" t="str">
        <x:v>[]</x:v>
      </x:c>
      <x:c r="U240" s="38" t="str">
        <x:v>{"market":["SE"],"power_kw":92,"manufacturer":"Porsche","bodywork_form":"covered_body","energy_sources":["petrol"],"production_year":1977,"manufacturer_role":"vehicle_manufacturer","power_source_unit":"kw","registration_date":"1984-10-15","transmission_type":"manual","alias_types_present":["plate","vin"],"builder_converter_names":[],"production_date_precision":"model_year","bodywork_registry_label_sv":"Täckt"}</x:v>
      </x:c>
      <x:c r="V240" s="38" t="str">
        <x:v>{"manufacturer_confirmation":{"source_fields":["brand"],"canonical_name":"Porsche"}}</x:v>
      </x:c>
      <x:c r="W2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924","target":"normalized","rule_ids":["MFR-CLASSIFY-V1"],"sequence":3,"transformer_id":"ts.manufacturer","confidence_effect":0.2},{"after":"Porsche","field":"manufacturer","before":"PORSCHE 924","target":"normalized","rule_ids":["MFR-CLASSIFY-V1"],"sequence":4,"transformer_id":"ts.manufacturer","confidence_effect":0.2},{"after":"vehicle_manufacturer","field":"manufacturer_role","before":"PORSCHE 924","target":"normalized","rule_ids":["MFR-CLASSIFY-V1"],"sequence":5,"transformer_id":"ts.manufacturer","confidence_effect":0.2},{"after":{"source_fields":["brand"],"canonical_name":"Porsche"},"field":"manufacturer_confirmation","before":"PORSCHE 924","target":"candidate","rule_ids":["MFR-BRAND-PREFIX-FALLBACK"],"sequence":6,"transformer_id":"ts.manufacturer","confidence_effect":0.05},{"after":"model_year","field":"production_date_precision","before":{"model_year":1977,"vehicle_year":1977,"registration_date":"19841015"},"target":"normalized","rule_ids":["DATE-REGISTRATION-V1","DATE-PRODUCTION-YEAR-V1"],"sequence":7,"transformer_id":"ts.dates","confidence_effect":0.1},{"after":1977,"field":"production_year","before":{"model_year":1977,"vehicle_year":1977,"registration_date":"19841015"},"target":"normalized","rule_ids":["DATE-REGISTRATION-V1","DATE-PRODUCTION-YEAR-V1"],"sequence":8,"transformer_id":"ts.dates","confidence_effect":0.1},{"after":"1984-10-15","field":"registration_date","before":{"model_year":1977,"vehicle_year":1977,"registration_date":"19841015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0" s="38" t="str">
        <x:v>{"candidates":{"manufacturer_confirmation":{"source_fields":["brand"],"canonical_name":"Porsche"}},"confidence":0.8,"normalized":{"market":["SE"],"power_kw":92,"manufacturer":"Porsche","bodywork_form":"covered_body","energy_sources":["petrol"],"production_year":1977,"manufacturer_role":"vehicle_manufacturer","power_source_unit":"kw","registration_date":"1984-10-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924","target":"normalized","rule_ids":["MFR-CLASSIFY-V1"],"sequence":3,"transformer_id":"ts.manufacturer","confidence_effect":0.2},{"after":"Porsche","field":"manufacturer","before":"PORSCHE 924","target":"normalized","rule_ids":["MFR-CLASSIFY-V1"],"sequence":4,"transformer_id":"ts.manufacturer","confidence_effect":0.2},{"after":"vehicle_manufacturer","field":"manufacturer_role","before":"PORSCHE 924","target":"normalized","rule_ids":["MFR-CLASSIFY-V1"],"sequence":5,"transformer_id":"ts.manufacturer","confidence_effect":0.2},{"after":{"source_fields":["brand"],"canonical_name":"Porsche"},"field":"manufacturer_confirmation","before":"PORSCHE 924","target":"candidate","rule_ids":["MFR-BRAND-PREFIX-FALLBACK"],"sequence":6,"transformer_id":"ts.manufacturer","confidence_effect":0.05},{"after":"model_year","field":"production_date_precision","before":{"model_year":1977,"vehicle_year":1977,"registration_date":"19841015"},"target":"normalized","rule_ids":["DATE-REGISTRATION-V1","DATE-PRODUCTION-YEAR-V1"],"sequence":7,"transformer_id":"ts.dates","confidence_effect":0.1},{"after":1977,"field":"production_year","before":{"model_year":1977,"vehicle_year":1977,"registration_date":"19841015"},"target":"normalized","rule_ids":["DATE-REGISTRATION-V1","DATE-PRODUCTION-YEAR-V1"],"sequence":8,"transformer_id":"ts.dates","confidence_effect":0.1},{"after":"1984-10-15","field":"registration_date","before":{"model_year":1977,"vehicle_year":1977,"registration_date":"19841015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40" s="36" t="n">
        <x:v>46239.78067015046</x:v>
      </x:c>
      <x:c r="AA240" s="36" t="n">
        <x:v>46239.78067015046</x:v>
      </x:c>
    </x:row>
    <x:row r="241" ht="18" customHeight="1">
      <x:c r="A241" s="36" t="n">
        <x:v>2843</x:v>
      </x:c>
      <x:c r="B241" s="36" t="str">
        <x:v>ccaf9c9b-82b3-586f-bd21-956cf9a41c16</x:v>
      </x:c>
      <x:c r="C241" s="36" t="str">
        <x:v>Transportstyrelsen</x:v>
      </x:c>
      <x:c r="D241" s="36" t="str">
        <x:v>normalization-review-passenger-250-v1-rules-20260805T184409855703Z</x:v>
      </x:c>
      <x:c r="E241" s="36" t="str">
        <x:v>staging.transportstyrelsen_raw</x:v>
      </x:c>
      <x:c r="F241" s="36" t="n">
        <x:v>2961</x:v>
      </x:c>
      <x:c r="G241" s="36" t="str">
        <x:v>ts-mapping-v1</x:v>
      </x:c>
      <x:c r="H241" s="36" t="str">
        <x:v>ts-review-20260805T184254528647Z</x:v>
      </x:c>
      <x:c r="I241" s="36" t="str">
        <x:v>normalization-pipeline-v4</x:v>
      </x:c>
      <x:c r="J241" s="36" t="str">
        <x:v>provisional</x:v>
      </x:c>
      <x:c r="K241" s="39" t="n">
        <x:v>0.8</x:v>
      </x:c>
      <x:c r="L241" s="36" t="str">
        <x:v>Ford</x:v>
      </x:c>
      <x:c r="M241" s="36" t="str">
        <x:v>GALAXY</x:v>
      </x:c>
      <x:c r="N241" s="36" t="str">
        <x:v>multi_purpose_vehicle</x:v>
      </x:c>
      <x:c r="O241" s="38" t="str">
        <x:v>["diesel"]</x:v>
      </x:c>
      <x:c r="P241" s="36" t="str">
        <x:v>automatic</x:v>
      </x:c>
      <x:c r="Q241" s="36" t="n">
        <x:v>2010</x:v>
      </x:c>
      <x:c r="R241" s="38" t="str">
        <x:v>["MFR-BRAND-CONFIRMED","MFR-BRAND-VIN-WMI","DATE-REGISTRATION-V1","DATE-PRODUCTION-MONTH-V1","UNIT-POWER-KW-V1","UNIT-DISPLACEMENT-CCM-V1","TRN-002","BDY-113","FUEL-002"]</x:v>
      </x:c>
      <x:c r="S241" s="38" t="str">
        <x:v>[]</x:v>
      </x:c>
      <x:c r="T241" s="38" t="str">
        <x:v>[]</x:v>
      </x:c>
      <x:c r="U241" s="38" t="str">
        <x:v>{"market":["SE"],"power_kw":120,"manufacturer":"Ford","bodywork_form":"multi_purpose_vehicle","energy_sources":["diesel"],"displacement_cc":1997,"production_date":"2010-10","production_year":2010,"manufacturer_role":"vehicle_manufacturer","power_source_unit":"kw","registration_date":"2010-10-29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41" s="38" t="str">
        <x:v>{"model_family":"GALAXY"}</x:v>
      </x:c>
      <x:c r="W2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WA6","target":"normalized","rule_ids":["MFR-BRAND-CONFIRMED","MFR-BRAND-VIN-WMI"],"sequence":3,"transformer_id":"ts.manufacturer","confidence_effect":0.2},{"after":"Ford","field":"manufacturer","before":"FORD WA6","target":"normalized","rule_ids":["MFR-BRAND-CONFIRMED","MFR-BRAND-VIN-WMI"],"sequence":4,"transformer_id":"ts.manufacturer","confidence_effect":0.2},{"after":"vehicle_manufacturer","field":"manufacturer_role","before":"FORD WA6","target":"normalized","rule_ids":["MFR-BRAND-CONFIRMED","MFR-BRAND-VIN-WMI"],"sequence":5,"transformer_id":"ts.manufacturer","confidence_effect":0.2},{"after":true,"field":"model_family_candidate","before":"GALAXY","target":"normalized","rule_ids":["MODEL-CANDIDATE-V1"],"sequence":6,"transformer_id":"ts.model-family","confidence_effect":0.0},{"after":"GALAXY","field":"model_family","before":"GALAXY","target":"candidate","rule_ids":["MODEL-CANDIDATE-V1"],"sequence":7,"transformer_id":"ts.model-family","confidence_effect":0.05},{"after":"2010-10","field":"production_date","before":{"build_month":"201010","vehicle_year":2010,"registration_date":"20101029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20101029"},"target":"normalized","rule_ids":["DATE-REGISTRATION-V1","DATE-PRODUCTION-MONTH-V1"],"sequence":9,"transformer_id":"ts.dates","confidence_effect":0.1},{"after":2010,"field":"production_year","before":{"build_month":"201010","vehicle_year":2010,"registration_date":"20101029"},"target":"normalized","rule_ids":["DATE-REGISTRATION-V1","DATE-PRODUCTION-MONTH-V1"],"sequence":10,"transformer_id":"ts.dates","confidence_effect":0.1},{"after":"2010-10-29","field":"registration_date","before":{"build_month":"201010","vehicle_year":2010,"registration_date":"20101029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GALAXY","gearbox":"A","variant":"TXWA1M","version":"7MJAQG"},"target":"normalized","rule_ids":["TRN-002"],"sequence":16,"transformer_id":"ts.transmission","confidence_effect":0.1},{"after":"multi_purpose_vehicle","field":"bodywork_form","before":{"model":"GALAXY","variant":"TXWA1M","version":"7MJAQG","body_code":"AF","eu_category":"M1","vehicle_type":"PB"},"target":"normalized","rule_ids":["BDY-113"],"sequence":17,"transformer_id":"ts.bodywork","confidence_effect":0.1},{"after":"Fordon avsett för flera ändamål","field":"bodywork_registry_label_sv","before":{"model":"GALAXY","variant":"TXWA1M","version":"7MJAQG","body_code":"AF","eu_category":"M1","vehicle_type":"PB"},"target":"normalized","rule_ids":["BDY-113"],"sequence":18,"transformer_id":"ts.bodywork","confidence_effect":0.1},{"after":["diesel"],"field":"energy_sources","before":{"fuel1":"2","fuel2":"0","fuel3":"0","model":"GALAXY","variant":"TXWA1M","version":"7MJAQG"},"target":"normalized","rule_ids":["FUEL-002"],"sequence":19,"transformer_id":"ts.fuel","confidence_effect":0.0}]</x:v>
      </x:c>
      <x:c r="X24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1" s="38" t="str">
        <x:v>{"candidates":{"model_family":"GALAXY"},"confidence":0.8,"normalized":{"market":["SE"],"power_kw":120,"manufacturer":"Ford","bodywork_form":"multi_purpose_vehicle","energy_sources":["diesel"],"displacement_cc":1997,"production_date":"2010-10","production_year":2010,"manufacturer_role":"vehicle_manufacturer","power_source_unit":"kw","registration_date":"2010-10-29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WA6","target":"normalized","rule_ids":["MFR-BRAND-CONFIRMED","MFR-BRAND-VIN-WMI"],"sequence":3,"transformer_id":"ts.manufacturer","confidence_effect":0.2},{"after":"Ford","field":"manufacturer","before":"FORD WA6","target":"normalized","rule_ids":["MFR-BRAND-CONFIRMED","MFR-BRAND-VIN-WMI"],"sequence":4,"transformer_id":"ts.manufacturer","confidence_effect":0.2},{"after":"vehicle_manufacturer","field":"manufacturer_role","before":"FORD WA6","target":"normalized","rule_ids":["MFR-BRAND-CONFIRMED","MFR-BRAND-VIN-WMI"],"sequence":5,"transformer_id":"ts.manufacturer","confidence_effect":0.2},{"after":true,"field":"model_family_candidate","before":"GALAXY","target":"normalized","rule_ids":["MODEL-CANDIDATE-V1"],"sequence":6,"transformer_id":"ts.model-family","confidence_effect":0.0},{"after":"GALAXY","field":"model_family","before":"GALAXY","target":"candidate","rule_ids":["MODEL-CANDIDATE-V1"],"sequence":7,"transformer_id":"ts.model-family","confidence_effect":0.05},{"after":"2010-10","field":"production_date","before":{"build_month":"201010","vehicle_year":2010,"registration_date":"20101029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20101029"},"target":"normalized","rule_ids":["DATE-REGISTRATION-V1","DATE-PRODUCTION-MONTH-V1"],"sequence":9,"transformer_id":"ts.dates","confidence_effect":0.1},{"after":2010,"field":"production_year","before":{"build_month":"201010","vehicle_year":2010,"registration_date":"20101029"},"target":"normalized","rule_ids":["DATE-REGISTRATION-V1","DATE-PRODUCTION-MONTH-V1"],"sequence":10,"transformer_id":"ts.dates","confidence_effect":0.1},{"after":"2010-10-29","field":"registration_date","before":{"build_month":"201010","vehicle_year":2010,"registration_date":"20101029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GALAXY","gearbox":"A","variant":"TXWA1M","version":"7MJAQG"},"target":"normalized","rule_ids":["TRN-002"],"sequence":16,"transformer_id":"ts.transmission","confidence_effect":0.1},{"after":"multi_purpose_vehicle","field":"bodywork_form","before":{"model":"GALAXY","variant":"TXWA1M","version":"7MJAQG","body_code":"AF","eu_category":"M1","vehicle_type":"PB"},"target":"normalized","rule_ids":["BDY-113"],"sequence":17,"transformer_id":"ts.bodywork","confidence_effect":0.1},{"after":"Fordon avsett för flera ändamål","field":"bodywork_registry_label_sv","before":{"model":"GALAXY","variant":"TXWA1M","version":"7MJAQG","body_code":"AF","eu_category":"M1","vehicle_type":"PB"},"target":"normalized","rule_ids":["BDY-113"],"sequence":18,"transformer_id":"ts.bodywork","confidence_effect":0.1},{"after":["diesel"],"field":"energy_sources","before":{"fuel1":"2","fuel2":"0","fuel3":"0","model":"GALAXY","variant":"TXWA1M","version":"7MJAQG"},"target":"normalized","rule_ids":["FUEL-002"],"sequence":19,"transformer_id":"ts.fuel","confidence_effect":0.0}],"pipeline_version":"normalization-pipeline-v4","candidate_rule_ids":[]}</x:v>
      </x:c>
      <x:c r="Z241" s="36" t="n">
        <x:v>46239.78067015046</x:v>
      </x:c>
      <x:c r="AA241" s="36" t="n">
        <x:v>46239.78067015046</x:v>
      </x:c>
    </x:row>
    <x:row r="242" ht="18" customHeight="1">
      <x:c r="A242" s="36" t="n">
        <x:v>2844</x:v>
      </x:c>
      <x:c r="B242" s="36" t="str">
        <x:v>d7df37b7-27ce-5169-8598-28e624e7c7b6</x:v>
      </x:c>
      <x:c r="C242" s="36" t="str">
        <x:v>Transportstyrelsen</x:v>
      </x:c>
      <x:c r="D242" s="36" t="str">
        <x:v>normalization-review-passenger-250-v1-rules-20260805T184409855703Z</x:v>
      </x:c>
      <x:c r="E242" s="36" t="str">
        <x:v>staging.transportstyrelsen_raw</x:v>
      </x:c>
      <x:c r="F242" s="36" t="n">
        <x:v>2962</x:v>
      </x:c>
      <x:c r="G242" s="36" t="str">
        <x:v>ts-mapping-v1</x:v>
      </x:c>
      <x:c r="H242" s="36" t="str">
        <x:v>ts-review-20260805T184254528647Z</x:v>
      </x:c>
      <x:c r="I242" s="36" t="str">
        <x:v>normalization-pipeline-v4</x:v>
      </x:c>
      <x:c r="J242" s="36" t="str">
        <x:v>provisional</x:v>
      </x:c>
      <x:c r="K242" s="39" t="n">
        <x:v>0.8</x:v>
      </x:c>
      <x:c r="L242" s="36" t="str">
        <x:v>Dacia</x:v>
      </x:c>
      <x:c r="M242" s="36" t="str">
        <x:v>SANDERO</x:v>
      </x:c>
      <x:c r="N242" s="36" t="str">
        <x:v>hatchback</x:v>
      </x:c>
      <x:c r="O242" s="38" t="str">
        <x:v>["petrol"]</x:v>
      </x:c>
      <x:c r="P242" s="36"/>
      <x:c r="Q242" s="36" t="n">
        <x:v>2014</x:v>
      </x:c>
      <x:c r="R242" s="38" t="str">
        <x:v>["DATE-REGISTRATION-V1","DATE-PRODUCTION-MONTH-V1","UNIT-POWER-KW-V1","UNIT-DISPLACEMENT-CCM-V1","BDY-109","FUEL-001"]</x:v>
      </x:c>
      <x:c r="S242" s="38" t="str">
        <x:v>["MFR-BRAND-PREFIX-FALLBACK","MFE-B1E0B47F0A881D"]</x:v>
      </x:c>
      <x:c r="T242" s="38" t="str">
        <x:v>[]</x:v>
      </x:c>
      <x:c r="U242" s="38" t="str">
        <x:v>{"market":["SE"],"power_kw":66,"manufacturer":"Dacia","bodywork_form":"hatchback","energy_sources":["petrol"],"displacement_cc":898,"production_date":"2014-08","production_year":2014,"manufacturer_role":"vehicle_manufacturer","power_source_unit":"kw","registration_date":"2014-10-09","alias_types_present":["plate","vin","model_name"],"model_family_candidate":true,"builder_converter_names":[],"displacement_source_unit":"ccm","production_date_precision":"month","bodywork_registry_label_sv":"Halvkombi"}</x:v>
      </x:c>
      <x:c r="V242" s="38" t="str">
        <x:v>{"model_family":"SANDERO","manufacturer_confirmation":{"source_fields":["brand"],"canonical_name":"Dacia"}}</x:v>
      </x:c>
      <x:c r="W2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SANDERO","target":"normalized","rule_ids":["MODEL-CANDIDATE-V1"],"sequence":7,"transformer_id":"ts.model-family","confidence_effect":0.0},{"after":"SANDERO","field":"model_family","before":"SANDERO","target":"candidate","rule_ids":["MODEL-CANDIDATE-V1"],"sequence":8,"transformer_id":"ts.model-family","confidence_effect":0.05},{"after":"2014-08","field":"production_date","before":{"build_month":"201408","vehicle_year":2014,"registration_date":"20141009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20141009"},"target":"normalized","rule_ids":["DATE-REGISTRATION-V1","DATE-PRODUCTION-MONTH-V1"],"sequence":10,"transformer_id":"ts.dates","confidence_effect":0.1},{"after":2014,"field":"production_year","before":{"build_month":"201408","vehicle_year":2014,"registration_date":"20141009"},"target":"normalized","rule_ids":["DATE-REGISTRATION-V1","DATE-PRODUCTION-MONTH-V1"],"sequence":11,"transformer_id":"ts.dates","confidence_effect":0.1},{"after":"2014-10-09","field":"registration_date","before":{"build_month":"201408","vehicle_year":2014,"registration_date":"20141009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SANDERO","variant":"5SDAA","version":"5SDAA5","body_code":"AB","eu_category":"M1","vehicle_type":"PB"},"target":"normalized","rule_ids":["BDY-109"],"sequence":17,"transformer_id":"ts.bodywork","confidence_effect":0.1},{"after":"Halvkombi","field":"bodywork_registry_label_sv","before":{"model":"SANDERO","variant":"5SDAA","version":"5SDAA5","body_code":"AB","eu_category":"M1","vehicle_type":"PB"},"target":"normalized","rule_ids":["BDY-109"],"sequence":18,"transformer_id":"ts.bodywork","confidence_effect":0.1},{"after":["petrol"],"field":"energy_sources","before":{"fuel1":"1","fuel2":"0","fuel3":"0","model":"SANDERO","variant":"5SDAA","version":"5SDAA5"},"target":"normalized","rule_ids":["FUEL-001"],"sequence":19,"transformer_id":"ts.fuel","confidence_effect":0.0}]</x:v>
      </x:c>
      <x:c r="X242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2" s="38" t="str">
        <x:v>{"candidates":{"model_family":"SANDERO","manufacturer_confirmation":{"source_fields":["brand"],"canonical_name":"Dacia"}},"confidence":0.8,"normalized":{"market":["SE"],"power_kw":66,"manufacturer":"Dacia","bodywork_form":"hatchback","energy_sources":["petrol"],"displacement_cc":898,"production_date":"2014-08","production_year":2014,"manufacturer_role":"vehicle_manufacturer","power_source_unit":"kw","registration_date":"2014-10-09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SANDERO","target":"normalized","rule_ids":["MODEL-CANDIDATE-V1"],"sequence":7,"transformer_id":"ts.model-family","confidence_effect":0.0},{"after":"SANDERO","field":"model_family","before":"SANDERO","target":"candidate","rule_ids":["MODEL-CANDIDATE-V1"],"sequence":8,"transformer_id":"ts.model-family","confidence_effect":0.05},{"after":"2014-08","field":"production_date","before":{"build_month":"201408","vehicle_year":2014,"registration_date":"20141009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20141009"},"target":"normalized","rule_ids":["DATE-REGISTRATION-V1","DATE-PRODUCTION-MONTH-V1"],"sequence":10,"transformer_id":"ts.dates","confidence_effect":0.1},{"after":2014,"field":"production_year","before":{"build_month":"201408","vehicle_year":2014,"registration_date":"20141009"},"target":"normalized","rule_ids":["DATE-REGISTRATION-V1","DATE-PRODUCTION-MONTH-V1"],"sequence":11,"transformer_id":"ts.dates","confidence_effect":0.1},{"after":"2014-10-09","field":"registration_date","before":{"build_month":"201408","vehicle_year":2014,"registration_date":"20141009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SANDERO","variant":"5SDAA","version":"5SDAA5","body_code":"AB","eu_category":"M1","vehicle_type":"PB"},"target":"normalized","rule_ids":["BDY-109"],"sequence":17,"transformer_id":"ts.bodywork","confidence_effect":0.1},{"after":"Halvkombi","field":"bodywork_registry_label_sv","before":{"model":"SANDERO","variant":"5SDAA","version":"5SDAA5","body_code":"AB","eu_category":"M1","vehicle_type":"PB"},"target":"normalized","rule_ids":["BDY-109"],"sequence":18,"transformer_id":"ts.bodywork","confidence_effect":0.1},{"after":["petrol"],"field":"energy_sources","before":{"fuel1":"1","fuel2":"0","fuel3":"0","model":"SANDERO","variant":"5SDAA","version":"5SDAA5"},"target":"normalized","rule_ids":["FUEL-001"],"sequence":19,"transformer_id":"ts.fuel","confidence_effect":0.0}],"pipeline_version":"normalization-pipeline-v4","candidate_rule_ids":["MFR-BRAND-PREFIX-FALLBACK","MFE-B1E0B47F0A881D"]}</x:v>
      </x:c>
      <x:c r="Z242" s="36" t="n">
        <x:v>46239.78067015046</x:v>
      </x:c>
      <x:c r="AA242" s="36" t="n">
        <x:v>46239.78067015046</x:v>
      </x:c>
    </x:row>
    <x:row r="243" ht="18" customHeight="1">
      <x:c r="A243" s="36" t="n">
        <x:v>2845</x:v>
      </x:c>
      <x:c r="B243" s="36" t="str">
        <x:v>657b1ad9-33fe-513c-8d2d-8bb4633c181a</x:v>
      </x:c>
      <x:c r="C243" s="36" t="str">
        <x:v>Transportstyrelsen</x:v>
      </x:c>
      <x:c r="D243" s="36" t="str">
        <x:v>normalization-review-passenger-250-v1-rules-20260805T184409855703Z</x:v>
      </x:c>
      <x:c r="E243" s="36" t="str">
        <x:v>staging.transportstyrelsen_raw</x:v>
      </x:c>
      <x:c r="F243" s="36" t="n">
        <x:v>2963</x:v>
      </x:c>
      <x:c r="G243" s="36" t="str">
        <x:v>ts-mapping-v1</x:v>
      </x:c>
      <x:c r="H243" s="36" t="str">
        <x:v>ts-review-20260805T184254528647Z</x:v>
      </x:c>
      <x:c r="I243" s="36" t="str">
        <x:v>normalization-pipeline-v4</x:v>
      </x:c>
      <x:c r="J243" s="36" t="str">
        <x:v>resolved</x:v>
      </x:c>
      <x:c r="K243" s="39" t="n">
        <x:v>0.95</x:v>
      </x:c>
      <x:c r="L243" s="36" t="str">
        <x:v>Volvo</x:v>
      </x:c>
      <x:c r="M243" s="36"/>
      <x:c r="N243" s="36" t="str">
        <x:v>estate</x:v>
      </x:c>
      <x:c r="O243" s="38" t="str">
        <x:v>["petrol"]</x:v>
      </x:c>
      <x:c r="P243" s="36" t="str">
        <x:v>manual</x:v>
      </x:c>
      <x:c r="Q243" s="36" t="n">
        <x:v>2006</x:v>
      </x:c>
      <x:c r="R243" s="38" t="str">
        <x:v>["MFR-BRAND-CONFIRMED","MFR-BRAND-VIN-WMI","DATE-REGISTRATION-V1","DATE-PRODUCTION-MONTH-V1","UNIT-POWER-KW-V1","UNIT-DISPLACEMENT-CCM-V1","TRN-001","BDY-110","FUEL-001"]</x:v>
      </x:c>
      <x:c r="S243" s="38" t="str">
        <x:v>[]</x:v>
      </x:c>
      <x:c r="T243" s="38" t="str">
        <x:v>[]</x:v>
      </x:c>
      <x:c r="U243" s="38" t="str">
        <x:v>{"market":["SE"],"power_kw":125,"manufacturer":"Volvo","bodywork_form":"estate","energy_sources":["petrol"],"displacement_cc":2435,"production_date":"2006-10","production_year":2006,"manufacturer_role":"vehicle_manufacturer","power_source_unit":"kw","registration_date":"2006-11-29","transmission_type":"manual","alias_types_present":["plate","vin"],"builder_converter_names":[],"displacement_source_unit":"ccm","production_date_precision":"month","bodywork_registry_label_sv":"Stationsvagn (kombivagn)"}</x:v>
      </x:c>
      <x:c r="V243" s="38" t="str">
        <x:v>{}</x:v>
      </x:c>
      <x:c r="W2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-10","field":"production_date","before":{"build_month":"200610","vehicle_year":2006,"registration_date":"20061129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20061129"},"target":"normalized","rule_ids":["DATE-REGISTRATION-V1","DATE-PRODUCTION-MONTH-V1"],"sequence":7,"transformer_id":"ts.dates","confidence_effect":0.1},{"after":2006,"field":"production_year","before":{"build_month":"200610","vehicle_year":2006,"registration_date":"20061129"},"target":"normalized","rule_ids":["DATE-REGISTRATION-V1","DATE-PRODUCTION-MONTH-V1"],"sequence":8,"transformer_id":"ts.dates","confidence_effect":0.1},{"after":"2006-11-29","field":"registration_date","before":{"build_month":"200610","vehicle_year":2006,"registration_date":"20061129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</x:v>
      </x:c>
      <x:c r="X24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3" s="38" t="str">
        <x:v>{"candidates":{},"confidence":0.95,"normalized":{"market":["SE"],"power_kw":125,"manufacturer":"Volvo","bodywork_form":"estate","energy_sources":["petrol"],"displacement_cc":2435,"production_date":"2006-10","production_year":2006,"manufacturer_role":"vehicle_manufacturer","power_source_unit":"kw","registration_date":"2006-11-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-10","field":"production_date","before":{"build_month":"200610","vehicle_year":2006,"registration_date":"20061129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20061129"},"target":"normalized","rule_ids":["DATE-REGISTRATION-V1","DATE-PRODUCTION-MONTH-V1"],"sequence":7,"transformer_id":"ts.dates","confidence_effect":0.1},{"after":2006,"field":"production_year","before":{"build_month":"200610","vehicle_year":2006,"registration_date":"20061129"},"target":"normalized","rule_ids":["DATE-REGISTRATION-V1","DATE-PRODUCTION-MONTH-V1"],"sequence":8,"transformer_id":"ts.dates","confidence_effect":0.1},{"after":"2006-11-29","field":"registration_date","before":{"build_month":"200610","vehicle_year":2006,"registration_date":"20061129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,"pipeline_version":"normalization-pipeline-v4","candidate_rule_ids":[]}</x:v>
      </x:c>
      <x:c r="Z243" s="36" t="n">
        <x:v>46239.78067015046</x:v>
      </x:c>
      <x:c r="AA243" s="36" t="n">
        <x:v>46239.78067015046</x:v>
      </x:c>
    </x:row>
    <x:row r="244" ht="18" customHeight="1">
      <x:c r="A244" s="36" t="n">
        <x:v>2846</x:v>
      </x:c>
      <x:c r="B244" s="36" t="str">
        <x:v>9d21cb7f-aa97-524b-9a61-d63c1a15eb58</x:v>
      </x:c>
      <x:c r="C244" s="36" t="str">
        <x:v>Transportstyrelsen</x:v>
      </x:c>
      <x:c r="D244" s="36" t="str">
        <x:v>normalization-review-passenger-250-v1-rules-20260805T184409855703Z</x:v>
      </x:c>
      <x:c r="E244" s="36" t="str">
        <x:v>staging.transportstyrelsen_raw</x:v>
      </x:c>
      <x:c r="F244" s="36" t="n">
        <x:v>2964</x:v>
      </x:c>
      <x:c r="G244" s="36" t="str">
        <x:v>ts-mapping-v1</x:v>
      </x:c>
      <x:c r="H244" s="36" t="str">
        <x:v>ts-review-20260805T184254528647Z</x:v>
      </x:c>
      <x:c r="I244" s="36" t="str">
        <x:v>normalization-pipeline-v4</x:v>
      </x:c>
      <x:c r="J244" s="36" t="str">
        <x:v>provisional</x:v>
      </x:c>
      <x:c r="K244" s="39" t="n">
        <x:v>0.8</x:v>
      </x:c>
      <x:c r="L244" s="36" t="str">
        <x:v>Opel</x:v>
      </x:c>
      <x:c r="M244" s="36"/>
      <x:c r="N244" s="36" t="str">
        <x:v>estate</x:v>
      </x:c>
      <x:c r="O244" s="38" t="str">
        <x:v>["petrol"]</x:v>
      </x:c>
      <x:c r="P244" s="36" t="str">
        <x:v>manual</x:v>
      </x:c>
      <x:c r="Q244" s="36" t="n">
        <x:v>2006</x:v>
      </x:c>
      <x:c r="R244" s="38" t="str">
        <x:v>["DATE-REGISTRATION-V1","DATE-PRODUCTION-MONTH-V1","UNIT-POWER-KW-V1","UNIT-DISPLACEMENT-CCM-V1","TRN-001","BDY-110","FUEL-001"]</x:v>
      </x:c>
      <x:c r="S244" s="38" t="str">
        <x:v>["MFR-BRAND-PREFIX-FALLBACK"]</x:v>
      </x:c>
      <x:c r="T244" s="38" t="str">
        <x:v>[]</x:v>
      </x:c>
      <x:c r="U244" s="38" t="str">
        <x:v>{"market":["SE"],"power_kw":77,"manufacturer":"Opel","bodywork_form":"estate","energy_sources":["petrol"],"displacement_cc":1598,"production_date":"2006-03","production_year":2006,"manufacturer_role":"vehicle_manufacturer","power_source_unit":"kw","registration_date":"2006-05-31","transmission_type":"manual","alias_types_present":["plate","vin"],"builder_converter_names":[],"displacement_source_unit":"ccm","production_date_precision":"month","bodywork_registry_label_sv":"Stationsvagn (kombivagn)"}</x:v>
      </x:c>
      <x:c r="V244" s="38" t="str">
        <x:v>{"manufacturer_confirmation":{"source_fields":["brand"],"canonical_name":"Opel"}}</x:v>
      </x:c>
      <x:c r="W2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KOMBI 1.6 ENJ","target":"normalized","rule_ids":["MFR-CLASSIFY-V1"],"sequence":3,"transformer_id":"ts.manufacturer","confidence_effect":0.2},{"after":"Opel","field":"manufacturer","before":"OPEL ASTRA KOMBI 1.6 ENJ","target":"normalized","rule_ids":["MFR-CLASSIFY-V1"],"sequence":4,"transformer_id":"ts.manufacturer","confidence_effect":0.2},{"after":"vehicle_manufacturer","field":"manufacturer_role","before":"OPEL ASTRA KOMBI 1.6 ENJ","target":"normalized","rule_ids":["MFR-CLASSIFY-V1"],"sequence":5,"transformer_id":"ts.manufacturer","confidence_effect":0.2},{"after":{"source_fields":["brand"],"canonical_name":"Opel"},"field":"manufacturer_confirmation","before":"OPEL ASTRA KOMBI 1.6 ENJ","target":"candidate","rule_ids":["MFR-BRAND-PREFIX-FALLBACK"],"sequence":6,"transformer_id":"ts.manufacturer","confidence_effect":0.05},{"after":"2006-03","field":"production_date","before":{"build_month":"200603","vehicle_year":2006,"registration_date":"20060531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20060531"},"target":"normalized","rule_ids":["DATE-REGISTRATION-V1","DATE-PRODUCTION-MONTH-V1"],"sequence":8,"transformer_id":"ts.dates","confidence_effect":0.1},{"after":2006,"field":"production_year","before":{"build_month":"200603","vehicle_year":2006,"registration_date":"20060531"},"target":"normalized","rule_ids":["DATE-REGISTRATION-V1","DATE-PRODUCTION-MONTH-V1"],"sequence":9,"transformer_id":"ts.dates","confidence_effect":0.1},{"after":"2006-05-31","field":"registration_date","before":{"build_month":"200603","vehicle_year":2006,"registration_date":"20060531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FB11","version":"1A02A5EABG5"},"target":"normalized","rule_ids":["TRN-001"],"sequence":15,"transformer_id":"ts.transmission","confidence_effect":0.1},{"after":"estate","field":"bodywork_form","before":{"variant":"FB11","version":"1A02A5EABG5","body_code":"AC","eu_category":"M1","vehicle_type":"PB"},"target":"normalized","rule_ids":["BDY-110"],"sequence":16,"transformer_id":"ts.bodywork","confidence_effect":0.1},{"after":"Stationsvagn (kombivagn)","field":"bodywork_registry_label_sv","before":{"variant":"FB11","version":"1A02A5EABG5","body_code":"AC","eu_category":"M1","vehicle_type":"PB"},"target":"normalized","rule_ids":["BDY-110"],"sequence":17,"transformer_id":"ts.bodywork","confidence_effect":0.1},{"after":["petrol"],"field":"energy_sources","before":{"fuel1":"1","fuel2":"0","fuel3":"0","variant":"FB11","version":"1A02A5EABG5"},"target":"normalized","rule_ids":["FUEL-001"],"sequence":18,"transformer_id":"ts.fuel","confidence_effect":0.0}]</x:v>
      </x:c>
      <x:c r="X24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4" s="38" t="str">
        <x:v>{"candidates":{"manufacturer_confirmation":{"source_fields":["brand"],"canonical_name":"Opel"}},"confidence":0.8,"normalized":{"market":["SE"],"power_kw":77,"manufacturer":"Opel","bodywork_form":"estate","energy_sources":["petrol"],"displacement_cc":1598,"production_date":"2006-03","production_year":2006,"manufacturer_role":"vehicle_manufacturer","power_source_unit":"kw","registration_date":"2006-05-31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KOMBI 1.6 ENJ","target":"normalized","rule_ids":["MFR-CLASSIFY-V1"],"sequence":3,"transformer_id":"ts.manufacturer","confidence_effect":0.2},{"after":"Opel","field":"manufacturer","before":"OPEL ASTRA KOMBI 1.6 ENJ","target":"normalized","rule_ids":["MFR-CLASSIFY-V1"],"sequence":4,"transformer_id":"ts.manufacturer","confidence_effect":0.2},{"after":"vehicle_manufacturer","field":"manufacturer_role","before":"OPEL ASTRA KOMBI 1.6 ENJ","target":"normalized","rule_ids":["MFR-CLASSIFY-V1"],"sequence":5,"transformer_id":"ts.manufacturer","confidence_effect":0.2},{"after":{"source_fields":["brand"],"canonical_name":"Opel"},"field":"manufacturer_confirmation","before":"OPEL ASTRA KOMBI 1.6 ENJ","target":"candidate","rule_ids":["MFR-BRAND-PREFIX-FALLBACK"],"sequence":6,"transformer_id":"ts.manufacturer","confidence_effect":0.05},{"after":"2006-03","field":"production_date","before":{"build_month":"200603","vehicle_year":2006,"registration_date":"20060531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20060531"},"target":"normalized","rule_ids":["DATE-REGISTRATION-V1","DATE-PRODUCTION-MONTH-V1"],"sequence":8,"transformer_id":"ts.dates","confidence_effect":0.1},{"after":2006,"field":"production_year","before":{"build_month":"200603","vehicle_year":2006,"registration_date":"20060531"},"target":"normalized","rule_ids":["DATE-REGISTRATION-V1","DATE-PRODUCTION-MONTH-V1"],"sequence":9,"transformer_id":"ts.dates","confidence_effect":0.1},{"after":"2006-05-31","field":"registration_date","before":{"build_month":"200603","vehicle_year":2006,"registration_date":"20060531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FB11","version":"1A02A5EABG5"},"target":"normalized","rule_ids":["TRN-001"],"sequence":15,"transformer_id":"ts.transmission","confidence_effect":0.1},{"after":"estate","field":"bodywork_form","before":{"variant":"FB11","version":"1A02A5EABG5","body_code":"AC","eu_category":"M1","vehicle_type":"PB"},"target":"normalized","rule_ids":["BDY-110"],"sequence":16,"transformer_id":"ts.bodywork","confidence_effect":0.1},{"after":"Stationsvagn (kombivagn)","field":"bodywork_registry_label_sv","before":{"variant":"FB11","version":"1A02A5EABG5","body_code":"AC","eu_category":"M1","vehicle_type":"PB"},"target":"normalized","rule_ids":["BDY-110"],"sequence":17,"transformer_id":"ts.bodywork","confidence_effect":0.1},{"after":["petrol"],"field":"energy_sources","before":{"fuel1":"1","fuel2":"0","fuel3":"0","variant":"FB11","version":"1A02A5EABG5"},"target":"normalized","rule_ids":["FUEL-001"],"sequence":18,"transformer_id":"ts.fuel","confidence_effect":0.0}],"pipeline_version":"normalization-pipeline-v4","candidate_rule_ids":["MFR-BRAND-PREFIX-FALLBACK"]}</x:v>
      </x:c>
      <x:c r="Z244" s="36" t="n">
        <x:v>46239.78067015046</x:v>
      </x:c>
      <x:c r="AA244" s="36" t="n">
        <x:v>46239.78067015046</x:v>
      </x:c>
    </x:row>
    <x:row r="245" ht="18" customHeight="1">
      <x:c r="A245" s="36" t="n">
        <x:v>2847</x:v>
      </x:c>
      <x:c r="B245" s="36" t="str">
        <x:v>e2208a4a-c50b-5f26-bd6d-c9efa4e9a19b</x:v>
      </x:c>
      <x:c r="C245" s="36" t="str">
        <x:v>Transportstyrelsen</x:v>
      </x:c>
      <x:c r="D245" s="36" t="str">
        <x:v>normalization-review-passenger-250-v1-rules-20260805T184409855703Z</x:v>
      </x:c>
      <x:c r="E245" s="36" t="str">
        <x:v>staging.transportstyrelsen_raw</x:v>
      </x:c>
      <x:c r="F245" s="36" t="n">
        <x:v>2965</x:v>
      </x:c>
      <x:c r="G245" s="36" t="str">
        <x:v>ts-mapping-v1</x:v>
      </x:c>
      <x:c r="H245" s="36" t="str">
        <x:v>ts-review-20260805T184254528647Z</x:v>
      </x:c>
      <x:c r="I245" s="36" t="str">
        <x:v>normalization-pipeline-v4</x:v>
      </x:c>
      <x:c r="J245" s="36" t="str">
        <x:v>provisional</x:v>
      </x:c>
      <x:c r="K245" s="39" t="n">
        <x:v>0.8</x:v>
      </x:c>
      <x:c r="L245" s="36" t="str">
        <x:v>Saab</x:v>
      </x:c>
      <x:c r="M245" s="36"/>
      <x:c r="N245" s="36" t="str">
        <x:v>estate</x:v>
      </x:c>
      <x:c r="O245" s="38" t="str">
        <x:v>["petrol"]</x:v>
      </x:c>
      <x:c r="P245" s="36" t="str">
        <x:v>manual</x:v>
      </x:c>
      <x:c r="Q245" s="36" t="n">
        <x:v>1996</x:v>
      </x:c>
      <x:c r="R245" s="38" t="str">
        <x:v>["DATE-REGISTRATION-V1","DATE-PRODUCTION-YEAR-V1","UNIT-POWER-KW-V1","TRN-001","BDY-103","FUEL-001"]</x:v>
      </x:c>
      <x:c r="S245" s="38" t="str">
        <x:v>["MFR-BRAND-PREFIX-FALLBACK","MFE-CC8089323A8D5F"]</x:v>
      </x:c>
      <x:c r="T245" s="38" t="str">
        <x:v>[]</x:v>
      </x:c>
      <x:c r="U245" s="38" t="str">
        <x:v>{"market":["SE"],"power_kw":110,"manufacturer":"Saab","bodywork_form":"estate","energy_sources":["petrol"],"production_year":1996,"manufacturer_role":"vehicle_manufacturer","power_source_unit":"kw","registration_date":"1995-10-11","transmission_type":"manual","alias_types_present":["plate","vin"],"builder_converter_names":[],"production_date_precision":"model_year","bodywork_registry_label_sv":"Kombi"}</x:v>
      </x:c>
      <x:c r="V245" s="38" t="str">
        <x:v>{"manufacturer_confirmation":{"source_fields":["brand"],"canonical_name":"Saab"}}</x:v>
      </x:c>
      <x:c r="W2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2,3I DX55B","target":"normalized","rule_ids":["MFR-CLASSIFY-V1"],"sequence":3,"transformer_id":"ts.manufacturer","confidence_effect":0.2},{"after":"Saab","field":"manufacturer","before":"SAAB 900 2,3I DX55B","target":"normalized","rule_ids":["MFR-CLASSIFY-V1"],"sequence":4,"transformer_id":"ts.manufacturer","confidence_effect":0.2},{"after":"vehicle_manufacturer","field":"manufacturer_role","before":"SAAB 900 2,3I DX55B","target":"normalized","rule_ids":["MFR-CLASSIFY-V1"],"sequence":5,"transformer_id":"ts.manufacturer","confidence_effect":0.2},{"after":{"source_fields":["brand"],"canonical_name":"Saab"},"field":"manufacturer_confirmation","before":"SAAB 900 2,3I DX55B","target":"candidate","rule_ids":["MFR-BRAND-PREFIX-FALLBACK","MFE-CC8089323A8D5F"],"sequence":6,"transformer_id":"ts.manufacturer","confidence_effect":0.05},{"after":"model_year","field":"production_date_precision","before":{"model_year":1996,"vehicle_year":1996,"registration_date":"19951011"},"target":"normalized","rule_ids":["DATE-REGISTRATION-V1","DATE-PRODUCTION-YEAR-V1"],"sequence":7,"transformer_id":"ts.dates","confidence_effect":0.1},{"after":1996,"field":"production_year","before":{"model_year":1996,"vehicle_year":1996,"registration_date":"19951011"},"target":"normalized","rule_ids":["DATE-REGISTRATION-V1","DATE-PRODUCTION-YEAR-V1"],"sequence":8,"transformer_id":"ts.dates","confidence_effect":0.1},{"after":"1995-10-11","field":"registration_date","before":{"model_year":1996,"vehicle_year":1996,"registration_date":"19951011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5" s="38" t="str">
        <x:v>{"candidates":{"manufacturer_confirmation":{"source_fields":["brand"],"canonical_name":"Saab"}},"confidence":0.8,"normalized":{"market":["SE"],"power_kw":110,"manufacturer":"Saab","bodywork_form":"estate","energy_sources":["petrol"],"production_year":1996,"manufacturer_role":"vehicle_manufacturer","power_source_unit":"kw","registration_date":"1995-10-11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2,3I DX55B","target":"normalized","rule_ids":["MFR-CLASSIFY-V1"],"sequence":3,"transformer_id":"ts.manufacturer","confidence_effect":0.2},{"after":"Saab","field":"manufacturer","before":"SAAB 900 2,3I DX55B","target":"normalized","rule_ids":["MFR-CLASSIFY-V1"],"sequence":4,"transformer_id":"ts.manufacturer","confidence_effect":0.2},{"after":"vehicle_manufacturer","field":"manufacturer_role","before":"SAAB 900 2,3I DX55B","target":"normalized","rule_ids":["MFR-CLASSIFY-V1"],"sequence":5,"transformer_id":"ts.manufacturer","confidence_effect":0.2},{"after":{"source_fields":["brand"],"canonical_name":"Saab"},"field":"manufacturer_confirmation","before":"SAAB 900 2,3I DX55B","target":"candidate","rule_ids":["MFR-BRAND-PREFIX-FALLBACK","MFE-CC8089323A8D5F"],"sequence":6,"transformer_id":"ts.manufacturer","confidence_effect":0.05},{"after":"model_year","field":"production_date_precision","before":{"model_year":1996,"vehicle_year":1996,"registration_date":"19951011"},"target":"normalized","rule_ids":["DATE-REGISTRATION-V1","DATE-PRODUCTION-YEAR-V1"],"sequence":7,"transformer_id":"ts.dates","confidence_effect":0.1},{"after":1996,"field":"production_year","before":{"model_year":1996,"vehicle_year":1996,"registration_date":"19951011"},"target":"normalized","rule_ids":["DATE-REGISTRATION-V1","DATE-PRODUCTION-YEAR-V1"],"sequence":8,"transformer_id":"ts.dates","confidence_effect":0.1},{"after":"1995-10-11","field":"registration_date","before":{"model_year":1996,"vehicle_year":1996,"registration_date":"19951011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45" s="36" t="n">
        <x:v>46239.78067015046</x:v>
      </x:c>
      <x:c r="AA245" s="36" t="n">
        <x:v>46239.78067015046</x:v>
      </x:c>
    </x:row>
    <x:row r="246" ht="18" customHeight="1">
      <x:c r="A246" s="36" t="n">
        <x:v>2848</x:v>
      </x:c>
      <x:c r="B246" s="36" t="str">
        <x:v>c615fd72-5ba4-51f8-9441-d80d31376ffb</x:v>
      </x:c>
      <x:c r="C246" s="36" t="str">
        <x:v>Transportstyrelsen</x:v>
      </x:c>
      <x:c r="D246" s="36" t="str">
        <x:v>normalization-review-passenger-250-v1-rules-20260805T184409855703Z</x:v>
      </x:c>
      <x:c r="E246" s="36" t="str">
        <x:v>staging.transportstyrelsen_raw</x:v>
      </x:c>
      <x:c r="F246" s="36" t="n">
        <x:v>2966</x:v>
      </x:c>
      <x:c r="G246" s="36" t="str">
        <x:v>ts-mapping-v1</x:v>
      </x:c>
      <x:c r="H246" s="36" t="str">
        <x:v>ts-review-20260805T184254528647Z</x:v>
      </x:c>
      <x:c r="I246" s="36" t="str">
        <x:v>normalization-pipeline-v4</x:v>
      </x:c>
      <x:c r="J246" s="36" t="str">
        <x:v>provisional</x:v>
      </x:c>
      <x:c r="K246" s="39" t="n">
        <x:v>0.8</x:v>
      </x:c>
      <x:c r="L246" s="36" t="str">
        <x:v>Renault</x:v>
      </x:c>
      <x:c r="M246" s="36" t="str">
        <x:v>CLIO</x:v>
      </x:c>
      <x:c r="N246" s="36" t="str">
        <x:v>hatchback</x:v>
      </x:c>
      <x:c r="O246" s="38" t="str">
        <x:v>["petrol"]</x:v>
      </x:c>
      <x:c r="P246" s="36"/>
      <x:c r="Q246" s="36" t="n">
        <x:v>2016</x:v>
      </x:c>
      <x:c r="R246" s="38" t="str">
        <x:v>["DATE-REGISTRATION-V1","DATE-PRODUCTION-MONTH-V1","UNIT-POWER-KW-V1","UNIT-DISPLACEMENT-CCM-V1","BDY-109","FUEL-001"]</x:v>
      </x:c>
      <x:c r="S246" s="38" t="str">
        <x:v>["MFR-BRAND-PREFIX-FALLBACK"]</x:v>
      </x:c>
      <x:c r="T246" s="38" t="str">
        <x:v>[]</x:v>
      </x:c>
      <x:c r="U246" s="38" t="str">
        <x:v>{"market":["SE"],"power_kw":87,"manufacturer":"Renault","bodywork_form":"hatchback","energy_sources":["petrol"],"displacement_cc":1197,"production_date":"2016-08","production_year":2016,"manufacturer_role":"vehicle_manufacturer","power_source_unit":"kw","registration_date":"2017-03-30","alias_types_present":["plate","vin","model_name"],"model_family_candidate":true,"builder_converter_names":[],"displacement_source_unit":"ccm","production_date_precision":"month","bodywork_registry_label_sv":"Halvkombi"}</x:v>
      </x:c>
      <x:c r="V246" s="38" t="str">
        <x:v>{"model_family":"CLIO","manufacturer_confirmation":{"source_fields":["brand"],"canonical_name":"Renault"}}</x:v>
      </x:c>
      <x:c r="W2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2016-08","field":"production_date","before":{"build_month":"201608","vehicle_year":2016,"registration_date":"20170330"},"target":"normalized","rule_ids":["DATE-REGISTRATION-V1","DATE-PRODUCTION-MONTH-V1"],"sequence":9,"transformer_id":"ts.dates","confidence_effect":0.1},{"after":"month","field":"production_date_precision","before":{"build_month":"201608","vehicle_year":2016,"registration_date":"20170330"},"target":"normalized","rule_ids":["DATE-REGISTRATION-V1","DATE-PRODUCTION-MONTH-V1"],"sequence":10,"transformer_id":"ts.dates","confidence_effect":0.1},{"after":2016,"field":"production_year","before":{"build_month":"201608","vehicle_year":2016,"registration_date":"20170330"},"target":"normalized","rule_ids":["DATE-REGISTRATION-V1","DATE-PRODUCTION-MONTH-V1"],"sequence":11,"transformer_id":"ts.dates","confidence_effect":0.1},{"after":"2017-03-30","field":"registration_date","before":{"build_month":"201608","vehicle_year":2016,"registration_date":"20170330"},"target":"normalized","rule_ids":["DATE-REGISTRATION-V1","DATE-PRODUCTION-MONTH-V1"],"sequence":12,"transformer_id":"ts.dates","confidence_effect":0.1},{"after":1197,"field":"displacement_cc","before":{"kw":87,"ccm":1197},"target":"normalized","rule_ids":["UNIT-POWER-KW-V1","UNIT-DISPLACEMENT-CCM-V1"],"sequence":13,"transformer_id":"ts.engine-measurements","confidence_effect":0.1},{"after":"ccm","field":"displacement_source_unit","before":{"kw":87,"ccm":1197},"target":"normalized","rule_ids":["UNIT-POWER-KW-V1","UNIT-DISPLACEMENT-CCM-V1"],"sequence":14,"transformer_id":"ts.engine-measurements","confidence_effect":0.1},{"after":87,"field":"power_kw","before":{"kw":87,"ccm":1197},"target":"normalized","rule_ids":["UNIT-POWER-KW-V1","UNIT-DISPLACEMENT-CCM-V1"],"sequence":15,"transformer_id":"ts.engine-measurements","confidence_effect":0.1},{"after":"kw","field":"power_source_unit","before":{"kw":87,"ccm":1197},"target":"normalized","rule_ids":["UNIT-POWER-KW-V1","UNIT-DISPLACEMENT-CCM-V1"],"sequence":16,"transformer_id":"ts.engine-measurements","confidence_effect":0.1},{"after":"hatchback","field":"bodywork_form","before":{"model":"CLIO","variant":"5RBU","version":"5RBU0C","body_code":"AB","eu_category":"M1","vehicle_type":"PB"},"target":"normalized","rule_ids":["BDY-109"],"sequence":17,"transformer_id":"ts.bodywork","confidence_effect":0.1},{"after":"Halvkombi","field":"bodywork_registry_label_sv","before":{"model":"CLIO","variant":"5RBU","version":"5RBU0C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BU","version":"5RBU0C"},"target":"normalized","rule_ids":["FUEL-001"],"sequence":19,"transformer_id":"ts.fuel","confidence_effect":0.0}]</x:v>
      </x:c>
      <x:c r="X246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6" s="38" t="str">
        <x:v>{"candidates":{"model_family":"CLIO","manufacturer_confirmation":{"source_fields":["brand"],"canonical_name":"Renault"}},"confidence":0.8,"normalized":{"market":["SE"],"power_kw":87,"manufacturer":"Renault","bodywork_form":"hatchback","energy_sources":["petrol"],"displacement_cc":1197,"production_date":"2016-08","production_year":2016,"manufacturer_role":"vehicle_manufacturer","power_source_unit":"kw","registration_date":"2017-03-30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2016-08","field":"production_date","before":{"build_month":"201608","vehicle_year":2016,"registration_date":"20170330"},"target":"normalized","rule_ids":["DATE-REGISTRATION-V1","DATE-PRODUCTION-MONTH-V1"],"sequence":9,"transformer_id":"ts.dates","confidence_effect":0.1},{"after":"month","field":"production_date_precision","before":{"build_month":"201608","vehicle_year":2016,"registration_date":"20170330"},"target":"normalized","rule_ids":["DATE-REGISTRATION-V1","DATE-PRODUCTION-MONTH-V1"],"sequence":10,"transformer_id":"ts.dates","confidence_effect":0.1},{"after":2016,"field":"production_year","before":{"build_month":"201608","vehicle_year":2016,"registration_date":"20170330"},"target":"normalized","rule_ids":["DATE-REGISTRATION-V1","DATE-PRODUCTION-MONTH-V1"],"sequence":11,"transformer_id":"ts.dates","confidence_effect":0.1},{"after":"2017-03-30","field":"registration_date","before":{"build_month":"201608","vehicle_year":2016,"registration_date":"20170330"},"target":"normalized","rule_ids":["DATE-REGISTRATION-V1","DATE-PRODUCTION-MONTH-V1"],"sequence":12,"transformer_id":"ts.dates","confidence_effect":0.1},{"after":1197,"field":"displacement_cc","before":{"kw":87,"ccm":1197},"target":"normalized","rule_ids":["UNIT-POWER-KW-V1","UNIT-DISPLACEMENT-CCM-V1"],"sequence":13,"transformer_id":"ts.engine-measurements","confidence_effect":0.1},{"after":"ccm","field":"displacement_source_unit","before":{"kw":87,"ccm":1197},"target":"normalized","rule_ids":["UNIT-POWER-KW-V1","UNIT-DISPLACEMENT-CCM-V1"],"sequence":14,"transformer_id":"ts.engine-measurements","confidence_effect":0.1},{"after":87,"field":"power_kw","before":{"kw":87,"ccm":1197},"target":"normalized","rule_ids":["UNIT-POWER-KW-V1","UNIT-DISPLACEMENT-CCM-V1"],"sequence":15,"transformer_id":"ts.engine-measurements","confidence_effect":0.1},{"after":"kw","field":"power_source_unit","before":{"kw":87,"ccm":1197},"target":"normalized","rule_ids":["UNIT-POWER-KW-V1","UNIT-DISPLACEMENT-CCM-V1"],"sequence":16,"transformer_id":"ts.engine-measurements","confidence_effect":0.1},{"after":"hatchback","field":"bodywork_form","before":{"model":"CLIO","variant":"5RBU","version":"5RBU0C","body_code":"AB","eu_category":"M1","vehicle_type":"PB"},"target":"normalized","rule_ids":["BDY-109"],"sequence":17,"transformer_id":"ts.bodywork","confidence_effect":0.1},{"after":"Halvkombi","field":"bodywork_registry_label_sv","before":{"model":"CLIO","variant":"5RBU","version":"5RBU0C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BU","version":"5RBU0C"},"target":"normalized","rule_ids":["FUEL-001"],"sequence":19,"transformer_id":"ts.fuel","confidence_effect":0.0}],"pipeline_version":"normalization-pipeline-v4","candidate_rule_ids":["MFR-BRAND-PREFIX-FALLBACK"]}</x:v>
      </x:c>
      <x:c r="Z246" s="36" t="n">
        <x:v>46239.78067015046</x:v>
      </x:c>
      <x:c r="AA246" s="36" t="n">
        <x:v>46239.78067015046</x:v>
      </x:c>
    </x:row>
    <x:row r="247" ht="18" customHeight="1">
      <x:c r="A247" s="36" t="n">
        <x:v>2849</x:v>
      </x:c>
      <x:c r="B247" s="36" t="str">
        <x:v>f76a1779-9c7b-5468-8a22-0f9bf7676c22</x:v>
      </x:c>
      <x:c r="C247" s="36" t="str">
        <x:v>Transportstyrelsen</x:v>
      </x:c>
      <x:c r="D247" s="36" t="str">
        <x:v>normalization-review-passenger-250-v1-rules-20260805T184409855703Z</x:v>
      </x:c>
      <x:c r="E247" s="36" t="str">
        <x:v>staging.transportstyrelsen_raw</x:v>
      </x:c>
      <x:c r="F247" s="36" t="n">
        <x:v>2967</x:v>
      </x:c>
      <x:c r="G247" s="36" t="str">
        <x:v>ts-mapping-v1</x:v>
      </x:c>
      <x:c r="H247" s="36" t="str">
        <x:v>ts-review-20260805T184254528647Z</x:v>
      </x:c>
      <x:c r="I247" s="36" t="str">
        <x:v>normalization-pipeline-v4</x:v>
      </x:c>
      <x:c r="J247" s="36" t="str">
        <x:v>provisional</x:v>
      </x:c>
      <x:c r="K247" s="39" t="n">
        <x:v>0.8</x:v>
      </x:c>
      <x:c r="L247" s="36" t="str">
        <x:v>Jaguar</x:v>
      </x:c>
      <x:c r="M247" s="36"/>
      <x:c r="N247" s="36" t="str">
        <x:v>covered_body</x:v>
      </x:c>
      <x:c r="O247" s="38" t="str">
        <x:v>["petrol"]</x:v>
      </x:c>
      <x:c r="P247" s="36" t="str">
        <x:v>manual</x:v>
      </x:c>
      <x:c r="Q247" s="36" t="n">
        <x:v>1968</x:v>
      </x:c>
      <x:c r="R247" s="38" t="str">
        <x:v>["DATE-REGISTRATION-V1","DATE-PRODUCTION-YEAR-V1","UNIT-POWER-KW-V1","TRN-001","BDY-102","FUEL-001"]</x:v>
      </x:c>
      <x:c r="S247" s="38" t="str">
        <x:v>["MFR-BRAND-PREFIX-FALLBACK","MFE-4D882BD3D59195"]</x:v>
      </x:c>
      <x:c r="T247" s="38" t="str">
        <x:v>[]</x:v>
      </x:c>
      <x:c r="U247" s="38" t="str">
        <x:v>{"market":["SE"],"power_kw":118,"manufacturer":"Jaguar","bodywork_form":"covered_body","energy_sources":["petrol"],"production_year":1968,"manufacturer_role":"vehicle_manufacturer","power_source_unit":"kw","registration_date":"1968-07-11","transmission_type":"manual","alias_types_present":["plate","vin"],"builder_converter_names":[],"production_date_precision":"model_year","bodywork_registry_label_sv":"Täckt"}</x:v>
      </x:c>
      <x:c r="V247" s="38" t="str">
        <x:v>{"manufacturer_confirmation":{"source_fields":["brand"],"canonical_name":"Jaguar"}}</x:v>
      </x:c>
      <x:c r="W2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AGUAR 340","target":"normalized","rule_ids":["MFR-CLASSIFY-V1"],"sequence":3,"transformer_id":"ts.manufacturer","confidence_effect":0.2},{"after":"Jaguar","field":"manufacturer","before":"JAGUAR 340","target":"normalized","rule_ids":["MFR-CLASSIFY-V1"],"sequence":4,"transformer_id":"ts.manufacturer","confidence_effect":0.2},{"after":"vehicle_manufacturer","field":"manufacturer_role","before":"JAGUAR 340","target":"normalized","rule_ids":["MFR-CLASSIFY-V1"],"sequence":5,"transformer_id":"ts.manufacturer","confidence_effect":0.2},{"after":{"source_fields":["brand"],"canonical_name":"Jaguar"},"field":"manufacturer_confirmation","before":"JAGUAR 340","target":"candidate","rule_ids":["MFR-BRAND-PREFIX-FALLBACK","MFE-4D882BD3D59195"],"sequence":6,"transformer_id":"ts.manufacturer","confidence_effect":0.05},{"after":"model_year","field":"production_date_precision","before":{"model_year":1968,"vehicle_year":1968,"registration_date":"19680711"},"target":"normalized","rule_ids":["DATE-REGISTRATION-V1","DATE-PRODUCTION-YEAR-V1"],"sequence":7,"transformer_id":"ts.dates","confidence_effect":0.1},{"after":1968,"field":"production_year","before":{"model_year":1968,"vehicle_year":1968,"registration_date":"19680711"},"target":"normalized","rule_ids":["DATE-REGISTRATION-V1","DATE-PRODUCTION-YEAR-V1"],"sequence":8,"transformer_id":"ts.dates","confidence_effect":0.1},{"after":"1968-07-11","field":"registration_date","before":{"model_year":1968,"vehicle_year":1968,"registration_date":"19680711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7" s="38" t="str">
        <x:v>{"candidates":{"manufacturer_confirmation":{"source_fields":["brand"],"canonical_name":"Jaguar"}},"confidence":0.8,"normalized":{"market":["SE"],"power_kw":118,"manufacturer":"Jaguar","bodywork_form":"covered_body","energy_sources":["petrol"],"production_year":1968,"manufacturer_role":"vehicle_manufacturer","power_source_unit":"kw","registration_date":"1968-07-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AGUAR 340","target":"normalized","rule_ids":["MFR-CLASSIFY-V1"],"sequence":3,"transformer_id":"ts.manufacturer","confidence_effect":0.2},{"after":"Jaguar","field":"manufacturer","before":"JAGUAR 340","target":"normalized","rule_ids":["MFR-CLASSIFY-V1"],"sequence":4,"transformer_id":"ts.manufacturer","confidence_effect":0.2},{"after":"vehicle_manufacturer","field":"manufacturer_role","before":"JAGUAR 340","target":"normalized","rule_ids":["MFR-CLASSIFY-V1"],"sequence":5,"transformer_id":"ts.manufacturer","confidence_effect":0.2},{"after":{"source_fields":["brand"],"canonical_name":"Jaguar"},"field":"manufacturer_confirmation","before":"JAGUAR 340","target":"candidate","rule_ids":["MFR-BRAND-PREFIX-FALLBACK","MFE-4D882BD3D59195"],"sequence":6,"transformer_id":"ts.manufacturer","confidence_effect":0.05},{"after":"model_year","field":"production_date_precision","before":{"model_year":1968,"vehicle_year":1968,"registration_date":"19680711"},"target":"normalized","rule_ids":["DATE-REGISTRATION-V1","DATE-PRODUCTION-YEAR-V1"],"sequence":7,"transformer_id":"ts.dates","confidence_effect":0.1},{"after":1968,"field":"production_year","before":{"model_year":1968,"vehicle_year":1968,"registration_date":"19680711"},"target":"normalized","rule_ids":["DATE-REGISTRATION-V1","DATE-PRODUCTION-YEAR-V1"],"sequence":8,"transformer_id":"ts.dates","confidence_effect":0.1},{"after":"1968-07-11","field":"registration_date","before":{"model_year":1968,"vehicle_year":1968,"registration_date":"19680711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-4D882BD3D59195"]}</x:v>
      </x:c>
      <x:c r="Z247" s="36" t="n">
        <x:v>46239.78067015046</x:v>
      </x:c>
      <x:c r="AA247" s="36" t="n">
        <x:v>46239.78067015046</x:v>
      </x:c>
    </x:row>
    <x:row r="248" ht="18" customHeight="1">
      <x:c r="A248" s="36" t="n">
        <x:v>2850</x:v>
      </x:c>
      <x:c r="B248" s="36" t="str">
        <x:v>75b1be9c-a728-5de6-a3f2-969821960100</x:v>
      </x:c>
      <x:c r="C248" s="36" t="str">
        <x:v>Transportstyrelsen</x:v>
      </x:c>
      <x:c r="D248" s="36" t="str">
        <x:v>normalization-review-passenger-250-v1-rules-20260805T184409855703Z</x:v>
      </x:c>
      <x:c r="E248" s="36" t="str">
        <x:v>staging.transportstyrelsen_raw</x:v>
      </x:c>
      <x:c r="F248" s="36" t="n">
        <x:v>2968</x:v>
      </x:c>
      <x:c r="G248" s="36" t="str">
        <x:v>ts-mapping-v1</x:v>
      </x:c>
      <x:c r="H248" s="36" t="str">
        <x:v>ts-review-20260805T184254528647Z</x:v>
      </x:c>
      <x:c r="I248" s="36" t="str">
        <x:v>normalization-pipeline-v4</x:v>
      </x:c>
      <x:c r="J248" s="36" t="str">
        <x:v>provisional</x:v>
      </x:c>
      <x:c r="K248" s="39" t="n">
        <x:v>0.8</x:v>
      </x:c>
      <x:c r="L248" s="36" t="str">
        <x:v>Škoda</x:v>
      </x:c>
      <x:c r="M248" s="36" t="str">
        <x:v>KODIAQ</x:v>
      </x:c>
      <x:c r="N248" s="36" t="str">
        <x:v>estate</x:v>
      </x:c>
      <x:c r="O248" s="38" t="str">
        <x:v>["diesel"]</x:v>
      </x:c>
      <x:c r="P248" s="36" t="str">
        <x:v>automatic</x:v>
      </x:c>
      <x:c r="Q248" s="36" t="n">
        <x:v>2020</x:v>
      </x:c>
      <x:c r="R248" s="38" t="str">
        <x:v>["MFE-6B860A1FB36454","DATE-REGISTRATION-V1","DATE-PRODUCTION-MONTH-V1","UNIT-POWER-KW-V1","UNIT-DISPLACEMENT-CCM-V1","TRN-002","BDY-110","FUEL-002"]</x:v>
      </x:c>
      <x:c r="S248" s="38" t="str">
        <x:v>["DRV-008"]</x:v>
      </x:c>
      <x:c r="T248" s="38" t="str">
        <x:v>[]</x:v>
      </x:c>
      <x:c r="U248" s="38" t="str">
        <x:v>{"market":["SE"],"power_kw":140,"manufacturer":"Škoda","bodywork_form":"estate","energy_sources":["diesel"],"displacement_cc":1968,"production_date":"2020-02","production_year":2020,"manufacturer_role":"vehicle_manufacturer","power_source_unit":"kw","registration_date":"2020-03-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48" s="38" t="str">
        <x:v>{"drive_type":"awd","model_family":"KODIAQ"}</x:v>
      </x:c>
      <x:c r="W2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KODIAQ","target":"normalized","rule_ids":["MODEL-CANDIDATE-V1"],"sequence":6,"transformer_id":"ts.model-family","confidence_effect":0.0},{"after":"KODIAQ","field":"model_family","before":"KODIAQ","target":"candidate","rule_ids":["MODEL-CANDIDATE-V1"],"sequence":7,"transformer_id":"ts.model-family","confidence_effect":0.05},{"after":"2020-02","field":"production_date","before":{"build_month":"202002","vehicle_year":2020,"registration_date":"20200318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20200318"},"target":"normalized","rule_ids":["DATE-REGISTRATION-V1","DATE-PRODUCTION-MONTH-V1"],"sequence":9,"transformer_id":"ts.dates","confidence_effect":0.1},{"after":2020,"field":"production_year","before":{"build_month":"202002","vehicle_year":2020,"registration_date":"20200318"},"target":"normalized","rule_ids":["DATE-REGISTRATION-V1","DATE-PRODUCTION-MONTH-V1"],"sequence":10,"transformer_id":"ts.dates","confidence_effect":0.1},{"after":"2020-03-18","field":"registration_date","before":{"build_month":"202002","vehicle_year":2020,"registration_date":"20200318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KODIAQ","gearbox":"A","variant":"ACDFHAX1","version":"NAD7AD7DL0034BF0GS5N1A8A"},"target":"normalized","rule_ids":["TRN-002"],"sequence":16,"transformer_id":"ts.transmission","confidence_effect":0.1},{"after":"estate","field":"bodywork_form","before":{"model":"KODIAQ","variant":"ACDFHAX1","version":"NAD7AD7DL0034BF0GS5N1A8A","body_code":"AC","eu_category":"M1G","vehicle_type":"PB"},"target":"normalized","rule_ids":["BDY-110"],"sequence":17,"transformer_id":"ts.bodywork","confidence_effect":0.1},{"after":"Stationsvagn (kombivagn)","field":"bodywork_registry_label_sv","before":{"model":"KODIAQ","variant":"ACDFHAX1","version":"NAD7AD7DL0034BF0GS5N1A8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ODIAQ","variant":"ACDFHAX1","version":"NAD7AD7DL0034BF0GS5N1A8A"},"target":"normalized","rule_ids":["FUEL-002"],"sequence":20,"transformer_id":"ts.fuel","confidence_effect":0.0}]</x:v>
      </x:c>
      <x:c r="X24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8" s="38" t="str">
        <x:v>{"candidates":{"drive_type":"awd","model_family":"KODIAQ"},"confidence":0.8,"normalized":{"market":["SE"],"power_kw":140,"manufacturer":"Škoda","bodywork_form":"estate","energy_sources":["diesel"],"displacement_cc":1968,"production_date":"2020-02","production_year":2020,"manufacturer_role":"vehicle_manufacturer","power_source_unit":"kw","registration_date":"2020-03-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KODIAQ","target":"normalized","rule_ids":["MODEL-CANDIDATE-V1"],"sequence":6,"transformer_id":"ts.model-family","confidence_effect":0.0},{"after":"KODIAQ","field":"model_family","before":"KODIAQ","target":"candidate","rule_ids":["MODEL-CANDIDATE-V1"],"sequence":7,"transformer_id":"ts.model-family","confidence_effect":0.05},{"after":"2020-02","field":"production_date","before":{"build_month":"202002","vehicle_year":2020,"registration_date":"20200318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20200318"},"target":"normalized","rule_ids":["DATE-REGISTRATION-V1","DATE-PRODUCTION-MONTH-V1"],"sequence":9,"transformer_id":"ts.dates","confidence_effect":0.1},{"after":2020,"field":"production_year","before":{"build_month":"202002","vehicle_year":2020,"registration_date":"20200318"},"target":"normalized","rule_ids":["DATE-REGISTRATION-V1","DATE-PRODUCTION-MONTH-V1"],"sequence":10,"transformer_id":"ts.dates","confidence_effect":0.1},{"after":"2020-03-18","field":"registration_date","before":{"build_month":"202002","vehicle_year":2020,"registration_date":"20200318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KODIAQ","gearbox":"A","variant":"ACDFHAX1","version":"NAD7AD7DL0034BF0GS5N1A8A"},"target":"normalized","rule_ids":["TRN-002"],"sequence":16,"transformer_id":"ts.transmission","confidence_effect":0.1},{"after":"estate","field":"bodywork_form","before":{"model":"KODIAQ","variant":"ACDFHAX1","version":"NAD7AD7DL0034BF0GS5N1A8A","body_code":"AC","eu_category":"M1G","vehicle_type":"PB"},"target":"normalized","rule_ids":["BDY-110"],"sequence":17,"transformer_id":"ts.bodywork","confidence_effect":0.1},{"after":"Stationsvagn (kombivagn)","field":"bodywork_registry_label_sv","before":{"model":"KODIAQ","variant":"ACDFHAX1","version":"NAD7AD7DL0034BF0GS5N1A8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ODIAQ","variant":"ACDFHAX1","version":"NAD7AD7DL0034BF0GS5N1A8A"},"target":"normalized","rule_ids":["FUEL-002"],"sequence":20,"transformer_id":"ts.fuel","confidence_effect":0.0}],"pipeline_version":"normalization-pipeline-v4","candidate_rule_ids":["DRV-008"]}</x:v>
      </x:c>
      <x:c r="Z248" s="36" t="n">
        <x:v>46239.78067015046</x:v>
      </x:c>
      <x:c r="AA248" s="36" t="n">
        <x:v>46239.78067015046</x:v>
      </x:c>
    </x:row>
    <x:row r="249" ht="18" customHeight="1">
      <x:c r="A249" s="36" t="n">
        <x:v>2851</x:v>
      </x:c>
      <x:c r="B249" s="36" t="str">
        <x:v>a562a820-cbb8-5429-a9bd-76b682e445a1</x:v>
      </x:c>
      <x:c r="C249" s="36" t="str">
        <x:v>Transportstyrelsen</x:v>
      </x:c>
      <x:c r="D249" s="36" t="str">
        <x:v>normalization-review-passenger-250-v1-rules-20260805T184409855703Z</x:v>
      </x:c>
      <x:c r="E249" s="36" t="str">
        <x:v>staging.transportstyrelsen_raw</x:v>
      </x:c>
      <x:c r="F249" s="36" t="n">
        <x:v>2969</x:v>
      </x:c>
      <x:c r="G249" s="36" t="str">
        <x:v>ts-mapping-v1</x:v>
      </x:c>
      <x:c r="H249" s="36" t="str">
        <x:v>ts-review-20260805T184254528647Z</x:v>
      </x:c>
      <x:c r="I249" s="36" t="str">
        <x:v>normalization-pipeline-v4</x:v>
      </x:c>
      <x:c r="J249" s="36" t="str">
        <x:v>provisional</x:v>
      </x:c>
      <x:c r="K249" s="39" t="n">
        <x:v>0.8</x:v>
      </x:c>
      <x:c r="L249" s="36" t="str">
        <x:v>BMC</x:v>
      </x:c>
      <x:c r="M249" s="36"/>
      <x:c r="N249" s="36" t="str">
        <x:v>covered_body</x:v>
      </x:c>
      <x:c r="O249" s="38" t="str">
        <x:v>["petrol"]</x:v>
      </x:c>
      <x:c r="P249" s="36" t="str">
        <x:v>manual</x:v>
      </x:c>
      <x:c r="Q249" s="36" t="n">
        <x:v>1965</x:v>
      </x:c>
      <x:c r="R249" s="38" t="str">
        <x:v>["DATE-REGISTRATION-V1","DATE-PRODUCTION-YEAR-V1","UNIT-POWER-KW-V1","TRN-001","BDY-102","FUEL-001"]</x:v>
      </x:c>
      <x:c r="S249" s="38" t="str">
        <x:v>["MFR-BRAND-PREFIX-FALLBACK","MFE-E9DEB9601DD217"]</x:v>
      </x:c>
      <x:c r="T249" s="38" t="str">
        <x:v>[]</x:v>
      </x:c>
      <x:c r="U249" s="38" t="str">
        <x:v>{"market":["SE"],"power_kw":27,"manufacturer":"BMC","bodywork_form":"covered_body","energy_sources":["petrol"],"production_year":1965,"manufacturer_role":"vehicle_manufacturer","power_source_unit":"kw","registration_date":"1966-01-21","transmission_type":"manual","alias_types_present":["plate","vin"],"builder_converter_names":[],"production_date_precision":"model_year","bodywork_registry_label_sv":"Täckt"}</x:v>
      </x:c>
      <x:c r="V249" s="38" t="str">
        <x:v>{"manufacturer_confirmation":{"source_fields":["brand"],"canonical_name":"BMC"}}</x:v>
      </x:c>
      <x:c r="W2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850 SALOON","target":"normalized","rule_ids":["MFR-CLASSIFY-V1"],"sequence":3,"transformer_id":"ts.manufacturer","confidence_effect":0.2},{"after":"BMC","field":"manufacturer","before":"BMC 850 SALOON","target":"normalized","rule_ids":["MFR-CLASSIFY-V1"],"sequence":4,"transformer_id":"ts.manufacturer","confidence_effect":0.2},{"after":"vehicle_manufacturer","field":"manufacturer_role","before":"BMC 850 SALOON","target":"normalized","rule_ids":["MFR-CLASSIFY-V1"],"sequence":5,"transformer_id":"ts.manufacturer","confidence_effect":0.2},{"after":{"source_fields":["brand"],"canonical_name":"BMC"},"field":"manufacturer_confirmation","before":"BMC 850 SALOON","target":"candidate","rule_ids":["MFR-BRAND-PREFIX-FALLBACK","MFE-E9DEB9601DD217"],"sequence":6,"transformer_id":"ts.manufacturer","confidence_effect":0.05},{"after":"model_year","field":"production_date_precision","before":{"model_year":1965,"vehicle_year":1965,"registration_date":"19660121"},"target":"normalized","rule_ids":["DATE-REGISTRATION-V1","DATE-PRODUCTION-YEAR-V1"],"sequence":7,"transformer_id":"ts.dates","confidence_effect":0.1},{"after":1965,"field":"production_year","before":{"model_year":1965,"vehicle_year":1965,"registration_date":"19660121"},"target":"normalized","rule_ids":["DATE-REGISTRATION-V1","DATE-PRODUCTION-YEAR-V1"],"sequence":8,"transformer_id":"ts.dates","confidence_effect":0.1},{"after":"1966-01-21","field":"registration_date","before":{"model_year":1965,"vehicle_year":1965,"registration_date":"19660121"},"target":"normalized","rule_ids":["DATE-REGISTRATION-V1","DATE-PRODUCTION-YEAR-V1"],"sequence":9,"transformer_id":"ts.dates","confidence_effect":0.1},{"after":27,"field":"power_kw","before":27,"target":"normalized","rule_ids":["UNIT-POWER-KW-V1"],"sequence":10,"transformer_id":"ts.engine-measurements","confidence_effect":0.1},{"after":"kw","field":"power_source_unit","before":27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9" s="38" t="str">
        <x:v>{"candidates":{"manufacturer_confirmation":{"source_fields":["brand"],"canonical_name":"BMC"}},"confidence":0.8,"normalized":{"market":["SE"],"power_kw":27,"manufacturer":"BMC","bodywork_form":"covered_body","energy_sources":["petrol"],"production_year":1965,"manufacturer_role":"vehicle_manufacturer","power_source_unit":"kw","registration_date":"1966-01-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850 SALOON","target":"normalized","rule_ids":["MFR-CLASSIFY-V1"],"sequence":3,"transformer_id":"ts.manufacturer","confidence_effect":0.2},{"after":"BMC","field":"manufacturer","before":"BMC 850 SALOON","target":"normalized","rule_ids":["MFR-CLASSIFY-V1"],"sequence":4,"transformer_id":"ts.manufacturer","confidence_effect":0.2},{"after":"vehicle_manufacturer","field":"manufacturer_role","before":"BMC 850 SALOON","target":"normalized","rule_ids":["MFR-CLASSIFY-V1"],"sequence":5,"transformer_id":"ts.manufacturer","confidence_effect":0.2},{"after":{"source_fields":["brand"],"canonical_name":"BMC"},"field":"manufacturer_confirmation","before":"BMC 850 SALOON","target":"candidate","rule_ids":["MFR-BRAND-PREFIX-FALLBACK","MFE-E9DEB9601DD217"],"sequence":6,"transformer_id":"ts.manufacturer","confidence_effect":0.05},{"after":"model_year","field":"production_date_precision","before":{"model_year":1965,"vehicle_year":1965,"registration_date":"19660121"},"target":"normalized","rule_ids":["DATE-REGISTRATION-V1","DATE-PRODUCTION-YEAR-V1"],"sequence":7,"transformer_id":"ts.dates","confidence_effect":0.1},{"after":1965,"field":"production_year","before":{"model_year":1965,"vehicle_year":1965,"registration_date":"19660121"},"target":"normalized","rule_ids":["DATE-REGISTRATION-V1","DATE-PRODUCTION-YEAR-V1"],"sequence":8,"transformer_id":"ts.dates","confidence_effect":0.1},{"after":"1966-01-21","field":"registration_date","before":{"model_year":1965,"vehicle_year":1965,"registration_date":"19660121"},"target":"normalized","rule_ids":["DATE-REGISTRATION-V1","DATE-PRODUCTION-YEAR-V1"],"sequence":9,"transformer_id":"ts.dates","confidence_effect":0.1},{"after":27,"field":"power_kw","before":27,"target":"normalized","rule_ids":["UNIT-POWER-KW-V1"],"sequence":10,"transformer_id":"ts.engine-measurements","confidence_effect":0.1},{"after":"kw","field":"power_source_unit","before":27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9DEB9601DD217"]}</x:v>
      </x:c>
      <x:c r="Z249" s="36" t="n">
        <x:v>46239.78067015046</x:v>
      </x:c>
      <x:c r="AA249" s="36" t="n">
        <x:v>46239.78067015046</x:v>
      </x:c>
    </x:row>
    <x:row r="250" ht="18" customHeight="1">
      <x:c r="A250" s="36" t="n">
        <x:v>2852</x:v>
      </x:c>
      <x:c r="B250" s="36" t="str">
        <x:v>9c10510f-d26b-5135-82cc-e2bd2871b4c3</x:v>
      </x:c>
      <x:c r="C250" s="36" t="str">
        <x:v>Transportstyrelsen</x:v>
      </x:c>
      <x:c r="D250" s="36" t="str">
        <x:v>normalization-review-passenger-250-v1-rules-20260805T184409855703Z</x:v>
      </x:c>
      <x:c r="E250" s="36" t="str">
        <x:v>staging.transportstyrelsen_raw</x:v>
      </x:c>
      <x:c r="F250" s="36" t="n">
        <x:v>2970</x:v>
      </x:c>
      <x:c r="G250" s="36" t="str">
        <x:v>ts-mapping-v1</x:v>
      </x:c>
      <x:c r="H250" s="36" t="str">
        <x:v>ts-review-20260805T184254528647Z</x:v>
      </x:c>
      <x:c r="I250" s="36" t="str">
        <x:v>normalization-pipeline-v4</x:v>
      </x:c>
      <x:c r="J250" s="36" t="str">
        <x:v>provisional</x:v>
      </x:c>
      <x:c r="K250" s="39" t="n">
        <x:v>0.8</x:v>
      </x:c>
      <x:c r="L250" s="36" t="str">
        <x:v>Saab</x:v>
      </x:c>
      <x:c r="M250" s="36"/>
      <x:c r="N250" s="36" t="str">
        <x:v>estate</x:v>
      </x:c>
      <x:c r="O250" s="38" t="str">
        <x:v>["petrol","ethanol"]</x:v>
      </x:c>
      <x:c r="P250" s="36" t="str">
        <x:v>manual</x:v>
      </x:c>
      <x:c r="Q250" s="36" t="n">
        <x:v>2008</x:v>
      </x:c>
      <x:c r="R250" s="38" t="str">
        <x:v>["DATE-REGISTRATION-V1","DATE-PRODUCTION-MONTH-V1","UNIT-POWER-KW-V1","UNIT-DISPLACEMENT-CCM-V1","TRN-001","BDY-110","FUEL-001","FUEL-007"]</x:v>
      </x:c>
      <x:c r="S250" s="38" t="str">
        <x:v>["MFR-BRAND-PREFIX-FALLBACK","MFE-CC8089323A8D5F"]</x:v>
      </x:c>
      <x:c r="T250" s="38" t="str">
        <x:v>[]</x:v>
      </x:c>
      <x:c r="U250" s="38" t="str">
        <x:v>{"market":["SE"],"power_kw":110,"manufacturer":"Saab","bodywork_form":"estate","energy_sources":["petrol","ethanol"],"displacement_cc":1998,"production_date":"2008-05","production_year":2008,"manufacturer_role":"vehicle_manufacturer","power_source_unit":"kw","registration_date":"2008-06-03","transmission_type":"manual","alias_types_present":["plate","vin"],"builder_converter_names":[],"displacement_source_unit":"ccm","production_date_precision":"month","bodywork_registry_label_sv":"Stationsvagn (kombivagn)"}</x:v>
      </x:c>
      <x:c r="V250" s="38" t="str">
        <x:v>{"manufacturer_confirmation":{"source_fields":["brand"],"canonical_name":"Saab"}}</x:v>
      </x:c>
      <x:c r="W2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-05","field":"production_date","before":{"build_month":"200805","vehicle_year":2008,"registration_date":"20080603"},"target":"normalized","rule_ids":["DATE-REGISTRATION-V1","DATE-PRODUCTION-MONTH-V1"],"sequence":7,"transformer_id":"ts.dates","confidence_effect":0.1},{"after":"month","field":"production_date_precision","before":{"build_month":"200805","vehicle_year":2008,"registration_date":"20080603"},"target":"normalized","rule_ids":["DATE-REGISTRATION-V1","DATE-PRODUCTION-MONTH-V1"],"sequence":8,"transformer_id":"ts.dates","confidence_effect":0.1},{"after":2008,"field":"production_year","before":{"build_month":"200805","vehicle_year":2008,"registration_date":"20080603"},"target":"normalized","rule_ids":["DATE-REGISTRATION-V1","DATE-PRODUCTION-MONTH-V1"],"sequence":9,"transformer_id":"ts.dates","confidence_effect":0.1},{"after":"2008-06-03","field":"registration_date","before":{"build_month":"200805","vehicle_year":2008,"registration_date":"20080603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/BP","version":"M502"},"target":"normalized","rule_ids":["TRN-001"],"sequence":15,"transformer_id":"ts.transmission","confidence_effect":0.1},{"after":"estate","field":"bodywork_form","before":{"variant":"F5F/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F5F/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F5F/BP","version":"M502"},"target":"normalized","rule_ids":["FUEL-001","FUEL-007"],"sequence":18,"transformer_id":"ts.fuel","confidence_effect":0.0}]</x:v>
      </x:c>
      <x:c r="X25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50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1998,"production_date":"2008-05","production_year":2008,"manufacturer_role":"vehicle_manufacturer","power_source_unit":"kw","registration_date":"2008-06-03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-05","field":"production_date","before":{"build_month":"200805","vehicle_year":2008,"registration_date":"20080603"},"target":"normalized","rule_ids":["DATE-REGISTRATION-V1","DATE-PRODUCTION-MONTH-V1"],"sequence":7,"transformer_id":"ts.dates","confidence_effect":0.1},{"after":"month","field":"production_date_precision","before":{"build_month":"200805","vehicle_year":2008,"registration_date":"20080603"},"target":"normalized","rule_ids":["DATE-REGISTRATION-V1","DATE-PRODUCTION-MONTH-V1"],"sequence":8,"transformer_id":"ts.dates","confidence_effect":0.1},{"after":2008,"field":"production_year","before":{"build_month":"200805","vehicle_year":2008,"registration_date":"20080603"},"target":"normalized","rule_ids":["DATE-REGISTRATION-V1","DATE-PRODUCTION-MONTH-V1"],"sequence":9,"transformer_id":"ts.dates","confidence_effect":0.1},{"after":"2008-06-03","field":"registration_date","before":{"build_month":"200805","vehicle_year":2008,"registration_date":"20080603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/BP","version":"M502"},"target":"normalized","rule_ids":["TRN-001"],"sequence":15,"transformer_id":"ts.transmission","confidence_effect":0.1},{"after":"estate","field":"bodywork_form","before":{"variant":"F5F/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F5F/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F5F/BP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250" s="36" t="n">
        <x:v>46239.78067015046</x:v>
      </x:c>
      <x:c r="AA250" s="36" t="n">
        <x:v>46239.78067015046</x:v>
      </x:c>
    </x:row>
    <x:row r="251" ht="18" customHeight="1">
      <x:c r="A251" s="36" t="n">
        <x:v>2853</x:v>
      </x:c>
      <x:c r="B251" s="36" t="str">
        <x:v>b06d24ca-d947-5f3a-b307-143991d0954b</x:v>
      </x:c>
      <x:c r="C251" s="36" t="str">
        <x:v>Transportstyrelsen</x:v>
      </x:c>
      <x:c r="D251" s="36" t="str">
        <x:v>normalization-review-passenger-250-v1-rules-20260805T184409855703Z</x:v>
      </x:c>
      <x:c r="E251" s="36" t="str">
        <x:v>staging.transportstyrelsen_raw</x:v>
      </x:c>
      <x:c r="F251" s="36" t="n">
        <x:v>2971</x:v>
      </x:c>
      <x:c r="G251" s="36" t="str">
        <x:v>ts-mapping-v1</x:v>
      </x:c>
      <x:c r="H251" s="36" t="str">
        <x:v>ts-review-20260805T184254528647Z</x:v>
      </x:c>
      <x:c r="I251" s="36" t="str">
        <x:v>normalization-pipeline-v4</x:v>
      </x:c>
      <x:c r="J251" s="36" t="str">
        <x:v>provisional</x:v>
      </x:c>
      <x:c r="K251" s="39" t="n">
        <x:v>0.8</x:v>
      </x:c>
      <x:c r="L251" s="36" t="str">
        <x:v>Kia</x:v>
      </x:c>
      <x:c r="M251" s="36" t="str">
        <x:v>SPORTAGE</x:v>
      </x:c>
      <x:c r="N251" s="36" t="str">
        <x:v>multi_purpose_vehicle</x:v>
      </x:c>
      <x:c r="O251" s="38" t="str">
        <x:v>["diesel"]</x:v>
      </x:c>
      <x:c r="P251" s="36" t="str">
        <x:v>automatic</x:v>
      </x:c>
      <x:c r="Q251" s="36" t="n">
        <x:v>2018</x:v>
      </x:c>
      <x:c r="R251" s="38" t="str">
        <x:v>["MFR-BRAND-CONFIRMED","MFR-BRAND-VIN-WMI","DATE-REGISTRATION-V1","DATE-PRODUCTION-MONTH-V1","UNIT-POWER-KW-V1","UNIT-DISPLACEMENT-CCM-V1","TRN-002","BDY-113","FUEL-002"]</x:v>
      </x:c>
      <x:c r="S251" s="38" t="str">
        <x:v>["DRV-008"]</x:v>
      </x:c>
      <x:c r="T251" s="38" t="str">
        <x:v>[]</x:v>
      </x:c>
      <x:c r="U251" s="38" t="str">
        <x:v>{"market":["SE"],"power_kw":100,"manufacturer":"Kia","bodywork_form":"multi_purpose_vehicle","energy_sources":["diesel"],"displacement_cc":1598,"production_date":"2018-06","production_year":2018,"manufacturer_role":"vehicle_manufacturer","power_source_unit":"kw","registration_date":"2019-04-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51" s="38" t="str">
        <x:v>{"drive_type":"awd","model_family":"SPORTAGE"}</x:v>
      </x:c>
      <x:c r="W2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SPORTAGE","target":"normalized","rule_ids":["MODEL-CANDIDATE-V1"],"sequence":6,"transformer_id":"ts.model-family","confidence_effect":0.0},{"after":"SPORTAGE","field":"model_family","before":"SPORTAGE","target":"candidate","rule_ids":["MODEL-CANDIDATE-V1"],"sequence":7,"transformer_id":"ts.model-family","confidence_effect":0.05},{"after":"2018-06","field":"production_date","before":{"build_month":"201806","vehicle_year":2018,"registration_date":"20190430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20190430"},"target":"normalized","rule_ids":["DATE-REGISTRATION-V1","DATE-PRODUCTION-MONTH-V1"],"sequence":9,"transformer_id":"ts.dates","confidence_effect":0.1},{"after":2018,"field":"production_year","before":{"build_month":"201806","vehicle_year":2018,"registration_date":"20190430"},"target":"normalized","rule_ids":["DATE-REGISTRATION-V1","DATE-PRODUCTION-MONTH-V1"],"sequence":10,"transformer_id":"ts.dates","confidence_effect":0.1},{"after":"2019-04-30","field":"registration_date","before":{"build_month":"201806","vehicle_year":2018,"registration_date":"20190430"},"target":"normalized","rule_ids":["DATE-REGISTRATION-V1","DATE-PRODUCTION-MONTH-V1"],"sequence":11,"transformer_id":"ts.dates","confidence_effect":0.1},{"after":1598,"field":"displacement_cc","before":{"kw":100,"ccm":1598},"target":"normalized","rule_ids":["UNIT-POWER-KW-V1","UNIT-DISPLACEMENT-CCM-V1"],"sequence":12,"transformer_id":"ts.engine-measurements","confidence_effect":0.1},{"after":"ccm","field":"displacement_source_unit","before":{"kw":100,"ccm":1598},"target":"normalized","rule_ids":["UNIT-POWER-KW-V1","UNIT-DISPLACEMENT-CCM-V1"],"sequence":13,"transformer_id":"ts.engine-measurements","confidence_effect":0.1},{"after":100,"field":"power_kw","before":{"kw":100,"ccm":1598},"target":"normalized","rule_ids":["UNIT-POWER-KW-V1","UNIT-DISPLACEMENT-CCM-V1"],"sequence":14,"transformer_id":"ts.engine-measurements","confidence_effect":0.1},{"after":"kw","field":"power_source_unit","before":{"kw":100,"ccm":1598},"target":"normalized","rule_ids":["UNIT-POWER-KW-V1","UNIT-DISPLACEMENT-CCM-V1"],"sequence":15,"transformer_id":"ts.engine-measurements","confidence_effect":0.1},{"after":"automatic","field":"transmission_type","before":{"model":"SPORTAGE","gearbox":"A","variant":"F5D24","version":"D731Z1"},"target":"normalized","rule_ids":["TRN-002"],"sequence":16,"transformer_id":"ts.transmission","confidence_effect":0.1},{"after":"multi_purpose_vehicle","field":"bodywork_form","before":{"model":"SPORTAGE","variant":"F5D24","version":"D731Z1","body_code":"AF","eu_category":"M1","vehicle_type":"PB"},"target":"normalized","rule_ids":["BDY-113"],"sequence":17,"transformer_id":"ts.bodywork","confidence_effect":0.1},{"after":"Fordon avsett för flera ändamål","field":"bodywork_registry_label_sv","before":{"model":"SPORTAGE","variant":"F5D24","version":"D731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PORTAGE","variant":"F5D24","version":"D731Z1"},"target":"normalized","rule_ids":["FUEL-002"],"sequence":20,"transformer_id":"ts.fuel","confidence_effect":0.0}]</x:v>
      </x:c>
      <x:c r="X25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1" s="38" t="str">
        <x:v>{"candidates":{"drive_type":"awd","model_family":"SPORTAGE"},"confidence":0.8,"normalized":{"market":["SE"],"power_kw":100,"manufacturer":"Kia","bodywork_form":"multi_purpose_vehicle","energy_sources":["diesel"],"displacement_cc":1598,"production_date":"2018-06","production_year":2018,"manufacturer_role":"vehicle_manufacturer","power_source_unit":"kw","registration_date":"2019-04-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SPORTAGE","target":"normalized","rule_ids":["MODEL-CANDIDATE-V1"],"sequence":6,"transformer_id":"ts.model-family","confidence_effect":0.0},{"after":"SPORTAGE","field":"model_family","before":"SPORTAGE","target":"candidate","rule_ids":["MODEL-CANDIDATE-V1"],"sequence":7,"transformer_id":"ts.model-family","confidence_effect":0.05},{"after":"2018-06","field":"production_date","before":{"build_month":"201806","vehicle_year":2018,"registration_date":"20190430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20190430"},"target":"normalized","rule_ids":["DATE-REGISTRATION-V1","DATE-PRODUCTION-MONTH-V1"],"sequence":9,"transformer_id":"ts.dates","confidence_effect":0.1},{"after":2018,"field":"production_year","before":{"build_month":"201806","vehicle_year":2018,"registration_date":"20190430"},"target":"normalized","rule_ids":["DATE-REGISTRATION-V1","DATE-PRODUCTION-MONTH-V1"],"sequence":10,"transformer_id":"ts.dates","confidence_effect":0.1},{"after":"2019-04-30","field":"registration_date","before":{"build_month":"201806","vehicle_year":2018,"registration_date":"20190430"},"target":"normalized","rule_ids":["DATE-REGISTRATION-V1","DATE-PRODUCTION-MONTH-V1"],"sequence":11,"transformer_id":"ts.dates","confidence_effect":0.1},{"after":1598,"field":"displacement_cc","before":{"kw":100,"ccm":1598},"target":"normalized","rule_ids":["UNIT-POWER-KW-V1","UNIT-DISPLACEMENT-CCM-V1"],"sequence":12,"transformer_id":"ts.engine-measurements","confidence_effect":0.1},{"after":"ccm","field":"displacement_source_unit","before":{"kw":100,"ccm":1598},"target":"normalized","rule_ids":["UNIT-POWER-KW-V1","UNIT-DISPLACEMENT-CCM-V1"],"sequence":13,"transformer_id":"ts.engine-measurements","confidence_effect":0.1},{"after":100,"field":"power_kw","before":{"kw":100,"ccm":1598},"target":"normalized","rule_ids":["UNIT-POWER-KW-V1","UNIT-DISPLACEMENT-CCM-V1"],"sequence":14,"transformer_id":"ts.engine-measurements","confidence_effect":0.1},{"after":"kw","field":"power_source_unit","before":{"kw":100,"ccm":1598},"target":"normalized","rule_ids":["UNIT-POWER-KW-V1","UNIT-DISPLACEMENT-CCM-V1"],"sequence":15,"transformer_id":"ts.engine-measurements","confidence_effect":0.1},{"after":"automatic","field":"transmission_type","before":{"model":"SPORTAGE","gearbox":"A","variant":"F5D24","version":"D731Z1"},"target":"normalized","rule_ids":["TRN-002"],"sequence":16,"transformer_id":"ts.transmission","confidence_effect":0.1},{"after":"multi_purpose_vehicle","field":"bodywork_form","before":{"model":"SPORTAGE","variant":"F5D24","version":"D731Z1","body_code":"AF","eu_category":"M1","vehicle_type":"PB"},"target":"normalized","rule_ids":["BDY-113"],"sequence":17,"transformer_id":"ts.bodywork","confidence_effect":0.1},{"after":"Fordon avsett för flera ändamål","field":"bodywork_registry_label_sv","before":{"model":"SPORTAGE","variant":"F5D24","version":"D731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PORTAGE","variant":"F5D24","version":"D731Z1"},"target":"normalized","rule_ids":["FUEL-002"],"sequence":20,"transformer_id":"ts.fuel","confidence_effect":0.0}],"pipeline_version":"normalization-pipeline-v4","candidate_rule_ids":["DRV-008"]}</x:v>
      </x:c>
      <x:c r="Z251" s="36" t="n">
        <x:v>46239.78067015046</x:v>
      </x:c>
      <x:c r="AA251" s="36" t="n">
        <x:v>46239.78067015046</x:v>
      </x:c>
    </x:row>
    <x:row r="252" ht="18" customHeight="1">
      <x:c r="A252" s="36" t="n">
        <x:v>2854</x:v>
      </x:c>
      <x:c r="B252" s="36" t="str">
        <x:v>8fddd733-f597-55aa-a15c-3bb16d53c5a3</x:v>
      </x:c>
      <x:c r="C252" s="36" t="str">
        <x:v>Transportstyrelsen</x:v>
      </x:c>
      <x:c r="D252" s="36" t="str">
        <x:v>normalization-review-passenger-250-v1-rules-20260805T184409855703Z</x:v>
      </x:c>
      <x:c r="E252" s="36" t="str">
        <x:v>staging.transportstyrelsen_raw</x:v>
      </x:c>
      <x:c r="F252" s="36" t="n">
        <x:v>2972</x:v>
      </x:c>
      <x:c r="G252" s="36" t="str">
        <x:v>ts-mapping-v1</x:v>
      </x:c>
      <x:c r="H252" s="36" t="str">
        <x:v>ts-review-20260805T184254528647Z</x:v>
      </x:c>
      <x:c r="I252" s="36" t="str">
        <x:v>normalization-pipeline-v4</x:v>
      </x:c>
      <x:c r="J252" s="36" t="str">
        <x:v>provisional</x:v>
      </x:c>
      <x:c r="K252" s="39" t="n">
        <x:v>0.8</x:v>
      </x:c>
      <x:c r="L252" s="36" t="str">
        <x:v>Toyota</x:v>
      </x:c>
      <x:c r="M252" s="36"/>
      <x:c r="N252" s="36" t="str">
        <x:v>covered_body</x:v>
      </x:c>
      <x:c r="O252" s="38" t="str">
        <x:v>["petrol"]</x:v>
      </x:c>
      <x:c r="P252" s="36" t="str">
        <x:v>manual</x:v>
      </x:c>
      <x:c r="Q252" s="36" t="n">
        <x:v>1998</x:v>
      </x:c>
      <x:c r="R252" s="38" t="str">
        <x:v>["DATE-REGISTRATION-V1","DATE-PRODUCTION-YEAR-V1","UNIT-POWER-KW-V1","TRN-001","BDY-102","FUEL-001"]</x:v>
      </x:c>
      <x:c r="S252" s="38" t="str">
        <x:v>["MFR-BRAND-PREFIX-FALLBACK"]</x:v>
      </x:c>
      <x:c r="T252" s="38" t="str">
        <x:v>[]</x:v>
      </x:c>
      <x:c r="U252" s="38" t="str">
        <x:v>{"market":["SE"],"power_kw":94,"manufacturer":"Toyota","bodywork_form":"covered_body","energy_sources":["petrol"],"production_year":1998,"manufacturer_role":"vehicle_manufacturer","power_source_unit":"kw","registration_date":"1998-09-30","transmission_type":"manual","alias_types_present":["plate","vin"],"builder_converter_names":[],"production_date_precision":"model_year","bodywork_registry_label_sv":"Täckt"}</x:v>
      </x:c>
      <x:c r="V252" s="38" t="str">
        <x:v>{"manufacturer_confirmation":{"source_fields":["brand"],"canonical_name":"Toyota"}}</x:v>
      </x:c>
      <x:c r="W2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model_year","field":"production_date_precision","before":{"model_year":1998,"vehicle_year":1998,"registration_date":"19980930"},"target":"normalized","rule_ids":["DATE-REGISTRATION-V1","DATE-PRODUCTION-YEAR-V1"],"sequence":7,"transformer_id":"ts.dates","confidence_effect":0.1},{"after":1998,"field":"production_year","before":{"model_year":1998,"vehicle_year":1998,"registration_date":"19980930"},"target":"normalized","rule_ids":["DATE-REGISTRATION-V1","DATE-PRODUCTION-YEAR-V1"],"sequence":8,"transformer_id":"ts.dates","confidence_effect":0.1},{"after":"1998-09-30","field":"registration_date","before":{"model_year":1998,"vehicle_year":1998,"registration_date":"19980930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{"gearbox":"M","variant":"ST220(LS)","version":"ST220L-ALMEKW(1"},"target":"normalized","rule_ids":["TRN-001"],"sequence":12,"transformer_id":"ts.transmission","confidence_effect":0.1},{"after":"covered_body","field":"bodywork_form","before":{"variant":"ST220(LS)","version":"ST220L-ALMEKW(1","body_code":"01","eu_category":"M1","vehicle_type":"PB"},"target":"normalized","rule_ids":["BDY-102"],"sequence":13,"transformer_id":"ts.bodywork","confidence_effect":0.1},{"after":"Täckt","field":"bodywork_registry_label_sv","before":{"variant":"ST220(LS)","version":"ST220L-ALME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ST220(LS)","version":"ST220L-ALMEKW(1"},"target":"normalized","rule_ids":["FUEL-001"],"sequence":15,"transformer_id":"ts.fuel","confidence_effect":0.0}]</x:v>
      </x:c>
      <x:c r="X25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2" s="38" t="str">
        <x:v>{"candidates":{"manufacturer_confirmation":{"source_fields":["brand"],"canonical_name":"Toyota"}},"confidence":0.8,"normalized":{"market":["SE"],"power_kw":94,"manufacturer":"Toyota","bodywork_form":"covered_body","energy_sources":["petrol"],"production_year":1998,"manufacturer_role":"vehicle_manufacturer","power_source_unit":"kw","registration_date":"1998-09-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model_year","field":"production_date_precision","before":{"model_year":1998,"vehicle_year":1998,"registration_date":"19980930"},"target":"normalized","rule_ids":["DATE-REGISTRATION-V1","DATE-PRODUCTION-YEAR-V1"],"sequence":7,"transformer_id":"ts.dates","confidence_effect":0.1},{"after":1998,"field":"production_year","before":{"model_year":1998,"vehicle_year":1998,"registration_date":"19980930"},"target":"normalized","rule_ids":["DATE-REGISTRATION-V1","DATE-PRODUCTION-YEAR-V1"],"sequence":8,"transformer_id":"ts.dates","confidence_effect":0.1},{"after":"1998-09-30","field":"registration_date","before":{"model_year":1998,"vehicle_year":1998,"registration_date":"19980930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{"gearbox":"M","variant":"ST220(LS)","version":"ST220L-ALMEKW(1"},"target":"normalized","rule_ids":["TRN-001"],"sequence":12,"transformer_id":"ts.transmission","confidence_effect":0.1},{"after":"covered_body","field":"bodywork_form","before":{"variant":"ST220(LS)","version":"ST220L-ALMEKW(1","body_code":"01","eu_category":"M1","vehicle_type":"PB"},"target":"normalized","rule_ids":["BDY-102"],"sequence":13,"transformer_id":"ts.bodywork","confidence_effect":0.1},{"after":"Täckt","field":"bodywork_registry_label_sv","before":{"variant":"ST220(LS)","version":"ST220L-ALME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ST220(LS)","version":"ST220L-ALMEKW(1"},"target":"normalized","rule_ids":["FUEL-001"],"sequence":15,"transformer_id":"ts.fuel","confidence_effect":0.0}],"pipeline_version":"normalization-pipeline-v4","candidate_rule_ids":["MFR-BRAND-PREFIX-FALLBACK"]}</x:v>
      </x:c>
      <x:c r="Z252" s="36" t="n">
        <x:v>46239.78067015046</x:v>
      </x:c>
      <x:c r="AA252" s="36" t="n">
        <x:v>46239.78067015046</x:v>
      </x:c>
    </x:row>
    <x:row r="253" ht="18" customHeight="1">
      <x:c r="A253" s="36" t="n">
        <x:v>2855</x:v>
      </x:c>
      <x:c r="B253" s="36" t="str">
        <x:v>0413b099-aa65-52bf-8cf7-2f0418d1821e</x:v>
      </x:c>
      <x:c r="C253" s="36" t="str">
        <x:v>Transportstyrelsen</x:v>
      </x:c>
      <x:c r="D253" s="36" t="str">
        <x:v>normalization-review-passenger-250-v1-rules-20260805T184409855703Z</x:v>
      </x:c>
      <x:c r="E253" s="36" t="str">
        <x:v>staging.transportstyrelsen_raw</x:v>
      </x:c>
      <x:c r="F253" s="36" t="n">
        <x:v>2973</x:v>
      </x:c>
      <x:c r="G253" s="36" t="str">
        <x:v>ts-mapping-v1</x:v>
      </x:c>
      <x:c r="H253" s="36" t="str">
        <x:v>ts-review-20260805T184254528647Z</x:v>
      </x:c>
      <x:c r="I253" s="36" t="str">
        <x:v>normalization-pipeline-v4</x:v>
      </x:c>
      <x:c r="J253" s="36" t="str">
        <x:v>provisional</x:v>
      </x:c>
      <x:c r="K253" s="39" t="n">
        <x:v>0.8</x:v>
      </x:c>
      <x:c r="L253" s="36" t="str">
        <x:v>BMW</x:v>
      </x:c>
      <x:c r="M253" s="36" t="str">
        <x:v>320D XDRIVE</x:v>
      </x:c>
      <x:c r="N253" s="36" t="str">
        <x:v>sedan</x:v>
      </x:c>
      <x:c r="O253" s="38" t="str">
        <x:v>["diesel"]</x:v>
      </x:c>
      <x:c r="P253" s="36" t="str">
        <x:v>automatic</x:v>
      </x:c>
      <x:c r="Q253" s="36" t="n">
        <x:v>2015</x:v>
      </x:c>
      <x:c r="R253" s="38" t="str">
        <x:v>["MFR-BRAND-CONFIRMED","MFR-BRAND-VIN-WMI","DATE-REGISTRATION-V1","DATE-PRODUCTION-MONTH-V1","UNIT-POWER-KW-V1","UNIT-DISPLACEMENT-CCM-V1","TRN-002","BDY-101","FUEL-002"]</x:v>
      </x:c>
      <x:c r="S253" s="38" t="str">
        <x:v>["DRV-008"]</x:v>
      </x:c>
      <x:c r="T253" s="38" t="str">
        <x:v>[]</x:v>
      </x:c>
      <x:c r="U253" s="38" t="str">
        <x:v>{"market":["SE"],"power_kw":140,"manufacturer":"BMW","bodywork_form":"sedan","energy_sources":["diesel"],"displacement_cc":1995,"production_date":"2015-07","production_year":2015,"manufacturer_role":"vehicle_manufacturer","power_source_unit":"kw","registration_date":"2015-10-23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253" s="38" t="str">
        <x:v>{"drive_type":"awd","model_family":"320D XDRIVE"}</x:v>
      </x:c>
      <x:c r="W2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2015-07","field":"production_date","before":{"build_month":"201507","vehicle_year":2015,"registration_date":"20151023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20151023"},"target":"normalized","rule_ids":["DATE-REGISTRATION-V1","DATE-PRODUCTION-MONTH-V1"],"sequence":9,"transformer_id":"ts.dates","confidence_effect":0.1},{"after":2015,"field":"production_year","before":{"build_month":"201507","vehicle_year":2015,"registration_date":"20151023"},"target":"normalized","rule_ids":["DATE-REGISTRATION-V1","DATE-PRODUCTION-MONTH-V1"],"sequence":10,"transformer_id":"ts.dates","confidence_effect":0.1},{"after":"2015-10-23","field":"registration_date","before":{"build_month":"201507","vehicle_year":2015,"registration_date":"20151023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XDRIVE","gearbox":"A","variant":"8C91","version":"6A350700"},"target":"normalized","rule_ids":["TRN-002"],"sequence":16,"transformer_id":"ts.transmission","confidence_effect":0.1},{"after":"sedan","field":"bodywork_form","before":{"model":"320D XDRIVE","variant":"8C91","version":"6A350700","body_code":"AA","eu_category":"M1","vehicle_type":"PB"},"target":"normalized","rule_ids":["BDY-101"],"sequence":17,"transformer_id":"ts.bodywork","confidence_effect":0.1},{"after":"Sedan","field":"bodywork_registry_label_sv","before":{"model":"320D XDRIVE","variant":"8C91","version":"6A350700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XDRIVE","variant":"8C91","version":"6A350700"},"target":"normalized","rule_ids":["FUEL-002"],"sequence":20,"transformer_id":"ts.fuel","confidence_effect":0.0}]</x:v>
      </x:c>
      <x:c r="X253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3" s="38" t="str">
        <x:v>{"candidates":{"drive_type":"awd","model_family":"320D XDRIVE"},"confidence":0.8,"normalized":{"market":["SE"],"power_kw":140,"manufacturer":"BMW","bodywork_form":"sedan","energy_sources":["diesel"],"displacement_cc":1995,"production_date":"2015-07","production_year":2015,"manufacturer_role":"vehicle_manufacturer","power_source_unit":"kw","registration_date":"2015-10-23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2015-07","field":"production_date","before":{"build_month":"201507","vehicle_year":2015,"registration_date":"20151023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20151023"},"target":"normalized","rule_ids":["DATE-REGISTRATION-V1","DATE-PRODUCTION-MONTH-V1"],"sequence":9,"transformer_id":"ts.dates","confidence_effect":0.1},{"after":2015,"field":"production_year","before":{"build_month":"201507","vehicle_year":2015,"registration_date":"20151023"},"target":"normalized","rule_ids":["DATE-REGISTRATION-V1","DATE-PRODUCTION-MONTH-V1"],"sequence":10,"transformer_id":"ts.dates","confidence_effect":0.1},{"after":"2015-10-23","field":"registration_date","before":{"build_month":"201507","vehicle_year":2015,"registration_date":"20151023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XDRIVE","gearbox":"A","variant":"8C91","version":"6A350700"},"target":"normalized","rule_ids":["TRN-002"],"sequence":16,"transformer_id":"ts.transmission","confidence_effect":0.1},{"after":"sedan","field":"bodywork_form","before":{"model":"320D XDRIVE","variant":"8C91","version":"6A350700","body_code":"AA","eu_category":"M1","vehicle_type":"PB"},"target":"normalized","rule_ids":["BDY-101"],"sequence":17,"transformer_id":"ts.bodywork","confidence_effect":0.1},{"after":"Sedan","field":"bodywork_registry_label_sv","before":{"model":"320D XDRIVE","variant":"8C91","version":"6A350700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XDRIVE","variant":"8C91","version":"6A350700"},"target":"normalized","rule_ids":["FUEL-002"],"sequence":20,"transformer_id":"ts.fuel","confidence_effect":0.0}],"pipeline_version":"normalization-pipeline-v4","candidate_rule_ids":["DRV-008"]}</x:v>
      </x:c>
      <x:c r="Z253" s="36" t="n">
        <x:v>46239.78067015046</x:v>
      </x:c>
      <x:c r="AA253" s="36" t="n">
        <x:v>46239.78067015046</x:v>
      </x:c>
    </x:row>
    <x:row r="254" ht="18" customHeight="1">
      <x:c r="A254" s="36" t="n">
        <x:v>2856</x:v>
      </x:c>
      <x:c r="B254" s="36" t="str">
        <x:v>4a6683a4-b71a-53ae-b06c-28fa436c94cd</x:v>
      </x:c>
      <x:c r="C254" s="36" t="str">
        <x:v>Transportstyrelsen</x:v>
      </x:c>
      <x:c r="D254" s="36" t="str">
        <x:v>normalization-review-passenger-250-v1-rules-20260805T184409855703Z</x:v>
      </x:c>
      <x:c r="E254" s="36" t="str">
        <x:v>staging.transportstyrelsen_raw</x:v>
      </x:c>
      <x:c r="F254" s="36" t="n">
        <x:v>2974</x:v>
      </x:c>
      <x:c r="G254" s="36" t="str">
        <x:v>ts-mapping-v1</x:v>
      </x:c>
      <x:c r="H254" s="36" t="str">
        <x:v>ts-review-20260805T184254528647Z</x:v>
      </x:c>
      <x:c r="I254" s="36" t="str">
        <x:v>normalization-pipeline-v4</x:v>
      </x:c>
      <x:c r="J254" s="36" t="str">
        <x:v>resolved</x:v>
      </x:c>
      <x:c r="K254" s="39" t="n">
        <x:v>0.95</x:v>
      </x:c>
      <x:c r="L254" s="36" t="str">
        <x:v>Pontiac</x:v>
      </x:c>
      <x:c r="M254" s="36"/>
      <x:c r="N254" s="36" t="str">
        <x:v>covered_body</x:v>
      </x:c>
      <x:c r="O254" s="38" t="str">
        <x:v>["petrol"]</x:v>
      </x:c>
      <x:c r="P254" s="36" t="str">
        <x:v>manual</x:v>
      </x:c>
      <x:c r="Q254" s="36" t="n">
        <x:v>1928</x:v>
      </x:c>
      <x:c r="R254" s="38" t="str">
        <x:v>["MFE-2138A984B1BA5F","DATE-REGISTRATION-V1","DATE-PRODUCTION-YEAR-V1","UNIT-POWER-KW-V1","TRN-001","BDY-102","FUEL-001"]</x:v>
      </x:c>
      <x:c r="S254" s="38" t="str">
        <x:v>[]</x:v>
      </x:c>
      <x:c r="T254" s="38" t="str">
        <x:v>[]</x:v>
      </x:c>
      <x:c r="U254" s="38" t="str">
        <x:v>{"market":["SE"],"power_kw":32,"manufacturer":"Pontiac","bodywork_form":"covered_body","energy_sources":["petrol"],"production_year":1928,"manufacturer_role":"vehicle_manufacturer","power_source_unit":"kw","registration_date":"1928-01-01","transmission_type":"manual","alias_types_present":["plate","vin"],"builder_converter_names":[],"production_date_precision":"model_year","bodywork_registry_label_sv":"Täckt"}</x:v>
      </x:c>
      <x:c r="V254" s="38" t="str">
        <x:v>{}</x:v>
      </x:c>
      <x:c r="W2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","target":"normalized","rule_ids":["MFE-2138A984B1BA5F"],"sequence":3,"transformer_id":"ts.manufacturer","confidence_effect":0.2},{"after":"Pontiac","field":"manufacturer","before":"PONTIAC","target":"normalized","rule_ids":["MFE-2138A984B1BA5F"],"sequence":4,"transformer_id":"ts.manufacturer","confidence_effect":0.2},{"after":"vehicle_manufacturer","field":"manufacturer_role","before":"PONTIAC","target":"normalized","rule_ids":["MFE-2138A984B1BA5F"],"sequence":5,"transformer_id":"ts.manufacturer","confidence_effect":0.2},{"after":"model_year","field":"production_date_precision","before":{"model_year":1928,"vehicle_year":1928,"registration_date":"19280101"},"target":"normalized","rule_ids":["DATE-REGISTRATION-V1","DATE-PRODUCTION-YEAR-V1"],"sequence":6,"transformer_id":"ts.dates","confidence_effect":0.1},{"after":1928,"field":"production_year","before":{"model_year":1928,"vehicle_year":1928,"registration_date":"19280101"},"target":"normalized","rule_ids":["DATE-REGISTRATION-V1","DATE-PRODUCTION-YEAR-V1"],"sequence":7,"transformer_id":"ts.dates","confidence_effect":0.1},{"after":"1928-01-01","field":"registration_date","before":{"model_year":1928,"vehicle_year":1928,"registration_date":"19280101"},"target":"normalized","rule_ids":["DATE-REGISTRATION-V1","DATE-PRODUCTION-YEAR-V1"],"sequence":8,"transformer_id":"ts.dates","confidence_effect":0.1},{"after":32,"field":"power_kw","before":32,"target":"normalized","rule_ids":["UNIT-POWER-KW-V1"],"sequence":9,"transformer_id":"ts.engine-measurements","confidence_effect":0.1},{"after":"kw","field":"power_source_unit","before":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25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4" s="38" t="str">
        <x:v>{"candidates":{},"confidence":0.95,"normalized":{"market":["SE"],"power_kw":32,"manufacturer":"Pontiac","bodywork_form":"covered_body","energy_sources":["petrol"],"production_year":1928,"manufacturer_role":"vehicle_manufacturer","power_source_unit":"kw","registration_date":"1928-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","target":"normalized","rule_ids":["MFE-2138A984B1BA5F"],"sequence":3,"transformer_id":"ts.manufacturer","confidence_effect":0.2},{"after":"Pontiac","field":"manufacturer","before":"PONTIAC","target":"normalized","rule_ids":["MFE-2138A984B1BA5F"],"sequence":4,"transformer_id":"ts.manufacturer","confidence_effect":0.2},{"after":"vehicle_manufacturer","field":"manufacturer_role","before":"PONTIAC","target":"normalized","rule_ids":["MFE-2138A984B1BA5F"],"sequence":5,"transformer_id":"ts.manufacturer","confidence_effect":0.2},{"after":"model_year","field":"production_date_precision","before":{"model_year":1928,"vehicle_year":1928,"registration_date":"19280101"},"target":"normalized","rule_ids":["DATE-REGISTRATION-V1","DATE-PRODUCTION-YEAR-V1"],"sequence":6,"transformer_id":"ts.dates","confidence_effect":0.1},{"after":1928,"field":"production_year","before":{"model_year":1928,"vehicle_year":1928,"registration_date":"19280101"},"target":"normalized","rule_ids":["DATE-REGISTRATION-V1","DATE-PRODUCTION-YEAR-V1"],"sequence":7,"transformer_id":"ts.dates","confidence_effect":0.1},{"after":"1928-01-01","field":"registration_date","before":{"model_year":1928,"vehicle_year":1928,"registration_date":"19280101"},"target":"normalized","rule_ids":["DATE-REGISTRATION-V1","DATE-PRODUCTION-YEAR-V1"],"sequence":8,"transformer_id":"ts.dates","confidence_effect":0.1},{"after":32,"field":"power_kw","before":32,"target":"normalized","rule_ids":["UNIT-POWER-KW-V1"],"sequence":9,"transformer_id":"ts.engine-measurements","confidence_effect":0.1},{"after":"kw","field":"power_source_unit","before":32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254" s="36" t="n">
        <x:v>46239.78067015046</x:v>
      </x:c>
      <x:c r="AA254" s="36" t="n">
        <x:v>46239.78067015046</x:v>
      </x:c>
    </x:row>
  </x:sheetData>
  <x:mergeCells>
    <x:mergeCell ref="A1:AA1"/>
    <x:mergeCell ref="A2:AA2"/>
  </x:mergeCells>
  <x:conditionalFormatting sqref="J5:J254">
    <x:cfRule type="containsText" dxfId="0" priority="1" operator="containsText" text="review_required"/>
    <x:cfRule type="containsText" dxfId="1" priority="2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6f6c8429aa064a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55" hidden="0" customWidth="1"/>
    <x:col min="4" max="4" width="55" hidden="0" customWidth="1"/>
    <x:col min="5" max="5" width="24" hidden="0" customWidth="1"/>
    <x:col min="6" max="6" width="28" hidden="0" customWidth="1"/>
    <x:col min="7" max="7" width="14" hidden="0" customWidth="1"/>
    <x:col min="8" max="8" width="18" hidden="0" customWidth="1"/>
    <x:col min="9" max="9" width="55" hidden="0" customWidth="1"/>
    <x:col min="10" max="10" width="55" hidden="0" customWidth="1"/>
    <x:col min="11" max="11" width="75" hidden="0" customWidth="1"/>
  </x:cols>
  <x:sheetData>
    <x:row r="1" ht="34" customHeight="1">
      <x:c r="A1" s="28" t="str">
        <x:v>Effective activated translation rules</x:v>
      </x:c>
    </x:row>
    <x:row r="2" ht="34" customHeight="1">
      <x:c r="A2" s="31" t="str">
        <x:v>All effective rules from the active rule version. effective_rule_json preserves each complete API definition for auditing and comparison.</x:v>
      </x:c>
    </x:row>
    <x:row r="4" ht="30" customHeight="1">
      <x:c r="A4" s="34" t="str">
        <x:v>rule_id</x:v>
      </x:c>
      <x:c r="B4" s="34" t="str">
        <x:v>area</x:v>
      </x:c>
      <x:c r="C4" s="34" t="str">
        <x:v>source_fields</x:v>
      </x:c>
      <x:c r="D4" s="34" t="str">
        <x:v>source_terms</x:v>
      </x:c>
      <x:c r="E4" s="34" t="str">
        <x:v>canonical_field</x:v>
      </x:c>
      <x:c r="F4" s="34" t="str">
        <x:v>canonical_value</x:v>
      </x:c>
      <x:c r="G4" s="34" t="str">
        <x:v>decision</x:v>
      </x:c>
      <x:c r="H4" s="34" t="str">
        <x:v>display_value</x:v>
      </x:c>
      <x:c r="I4" s="34" t="str">
        <x:v>vehicle_scopes</x:v>
      </x:c>
      <x:c r="J4" s="34" t="str">
        <x:v>manufacturers</x:v>
      </x:c>
      <x:c r="K4" s="34" t="str">
        <x:v>effective_rule_json</x:v>
      </x:c>
    </x:row>
    <x:row r="5" ht="18" customHeight="1">
      <x:c r="A5" s="36" t="str">
        <x:v>BDY-001</x:v>
      </x:c>
      <x:c r="B5" s="36" t="str">
        <x:v>bodywork_marketing</x:v>
      </x:c>
      <x:c r="C5" s="38" t="str">
        <x:v>["model","variant","version","type"]</x:v>
      </x:c>
      <x:c r="D5" s="38" t="str">
        <x:v>["Touring"]</x:v>
      </x:c>
      <x:c r="E5" s="36" t="str">
        <x:v>bodywork_form</x:v>
      </x:c>
      <x:c r="F5" s="36" t="str">
        <x:v>estate</x:v>
      </x:c>
      <x:c r="G5" s="36" t="str">
        <x:v>accepted</x:v>
      </x:c>
      <x:c r="H5" s="36"/>
      <x:c r="I5" s="38" t="str">
        <x:v>[]</x:v>
      </x:c>
      <x:c r="J5" s="38" t="str">
        <x:v>["BMW"]</x:v>
      </x:c>
      <x:c r="K5" s="38" t="str">
        <x:v>{"rule_id":"BDY-001","area":"bodywork_marketing","source_fields":["model","variant","version","type"],"source_terms":["Touring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BMW"],"has_draft":false,"change_note":null}</x:v>
      </x:c>
    </x:row>
    <x:row r="6" ht="18" customHeight="1">
      <x:c r="A6" s="36" t="str">
        <x:v>BDY-002</x:v>
      </x:c>
      <x:c r="B6" s="36" t="str">
        <x:v>bodywork_marketing</x:v>
      </x:c>
      <x:c r="C6" s="38" t="str">
        <x:v>["model","variant","version","type"]</x:v>
      </x:c>
      <x:c r="D6" s="38" t="str">
        <x:v>["Avant"]</x:v>
      </x:c>
      <x:c r="E6" s="36" t="str">
        <x:v>bodywork_form</x:v>
      </x:c>
      <x:c r="F6" s="36" t="str">
        <x:v>estate</x:v>
      </x:c>
      <x:c r="G6" s="36" t="str">
        <x:v>accepted</x:v>
      </x:c>
      <x:c r="H6" s="36"/>
      <x:c r="I6" s="38" t="str">
        <x:v>[]</x:v>
      </x:c>
      <x:c r="J6" s="38" t="str">
        <x:v>["Audi"]</x:v>
      </x:c>
      <x:c r="K6" s="38" t="str">
        <x:v>{"rule_id":"BDY-002","area":"bodywork_marketing","source_fields":["model","variant","version","type"],"source_terms":["Avant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Audi"],"has_draft":false,"change_note":null}</x:v>
      </x:c>
    </x:row>
    <x:row r="7" ht="18" customHeight="1">
      <x:c r="A7" s="36" t="str">
        <x:v>BDY-003</x:v>
      </x:c>
      <x:c r="B7" s="36" t="str">
        <x:v>bodywork_marketing</x:v>
      </x:c>
      <x:c r="C7" s="38" t="str">
        <x:v>["model","variant","version","type"]</x:v>
      </x:c>
      <x:c r="D7" s="38" t="str">
        <x:v>["Variant"]</x:v>
      </x:c>
      <x:c r="E7" s="36" t="str">
        <x:v>bodywork_form</x:v>
      </x:c>
      <x:c r="F7" s="36" t="str">
        <x:v>estate</x:v>
      </x:c>
      <x:c r="G7" s="36" t="str">
        <x:v>accepted</x:v>
      </x:c>
      <x:c r="H7" s="36"/>
      <x:c r="I7" s="38" t="str">
        <x:v>[]</x:v>
      </x:c>
      <x:c r="J7" s="38" t="str">
        <x:v>["Volkswagen"]</x:v>
      </x:c>
      <x:c r="K7" s="38" t="str">
        <x:v>{"rule_id":"BDY-003","area":"bodywork_marketing","source_fields":["model","variant","version","type"],"source_terms":["Variant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Volkswagen"],"has_draft":false,"change_note":null}</x:v>
      </x:c>
    </x:row>
    <x:row r="8" ht="18" customHeight="1">
      <x:c r="A8" s="36" t="str">
        <x:v>BDY-004</x:v>
      </x:c>
      <x:c r="B8" s="36" t="str">
        <x:v>bodywork_marketing</x:v>
      </x:c>
      <x:c r="C8" s="38" t="str">
        <x:v>["model","variant","version","type"]</x:v>
      </x:c>
      <x:c r="D8" s="38" t="str">
        <x:v>["Estate","Wagon","Kombi","Break","Sport Tourer","Shooting Brake","SW"]</x:v>
      </x:c>
      <x:c r="E8" s="36" t="str">
        <x:v>bodywork_form</x:v>
      </x:c>
      <x:c r="F8" s="36" t="str">
        <x:v>estate</x:v>
      </x:c>
      <x:c r="G8" s="36" t="str">
        <x:v>accepted</x:v>
      </x:c>
      <x:c r="H8" s="36"/>
      <x:c r="I8" s="38" t="str">
        <x:v>[]</x:v>
      </x:c>
      <x:c r="J8" s="38" t="str">
        <x:v>["*"]</x:v>
      </x:c>
      <x:c r="K8" s="38" t="str">
        <x:v>{"rule_id":"BDY-004","area":"bodywork_marketing","source_fields":["model","variant","version","type"],"source_terms":["Estate","Wagon","Kombi","Break","Sport Tourer","Shooting Brake","SW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9" ht="18" customHeight="1">
      <x:c r="A9" s="36" t="str">
        <x:v>BDY-005</x:v>
      </x:c>
      <x:c r="B9" s="36" t="str">
        <x:v>bodywork_marketing</x:v>
      </x:c>
      <x:c r="C9" s="38" t="str">
        <x:v>["model","variant","version","type"]</x:v>
      </x:c>
      <x:c r="D9" s="38" t="str">
        <x:v>["Cabrio","Cabriolet","Convertible","Roadster","Spider","Spyder"]</x:v>
      </x:c>
      <x:c r="E9" s="36" t="str">
        <x:v>bodywork_form</x:v>
      </x:c>
      <x:c r="F9" s="36" t="str">
        <x:v>convertible</x:v>
      </x:c>
      <x:c r="G9" s="36" t="str">
        <x:v>accepted</x:v>
      </x:c>
      <x:c r="H9" s="36"/>
      <x:c r="I9" s="38" t="str">
        <x:v>[]</x:v>
      </x:c>
      <x:c r="J9" s="38" t="str">
        <x:v>["*"]</x:v>
      </x:c>
      <x:c r="K9" s="38" t="str">
        <x:v>{"rule_id":"BDY-005","area":"bodywork_marketing","source_fields":["model","variant","version","type"],"source_terms":["Cabrio","Cabriolet","Convertible","Roadster","Spider","Spyder"],"canonical_field":"bodywork_form","base_canonical_value":"convertible","active_canonical_value":"convertible","effective_canonical_value":"convertib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0" ht="18" customHeight="1">
      <x:c r="A10" s="36" t="str">
        <x:v>BDY-006</x:v>
      </x:c>
      <x:c r="B10" s="36" t="str">
        <x:v>bodywork_marketing</x:v>
      </x:c>
      <x:c r="C10" s="38" t="str">
        <x:v>["model","variant","version","type"]</x:v>
      </x:c>
      <x:c r="D10" s="38" t="str">
        <x:v>["Sedan","Saloon","Limousine","Limusine","Limo"]</x:v>
      </x:c>
      <x:c r="E10" s="36" t="str">
        <x:v>bodywork_form</x:v>
      </x:c>
      <x:c r="F10" s="36" t="str">
        <x:v>sedan</x:v>
      </x:c>
      <x:c r="G10" s="36" t="str">
        <x:v>accepted</x:v>
      </x:c>
      <x:c r="H10" s="36"/>
      <x:c r="I10" s="38" t="str">
        <x:v>[]</x:v>
      </x:c>
      <x:c r="J10" s="38" t="str">
        <x:v>["*"]</x:v>
      </x:c>
      <x:c r="K10" s="38" t="str">
        <x:v>{"rule_id":"BDY-006","area":"bodywork_marketing","source_fields":["model","variant","version","type"],"source_terms":["Sedan","Saloon","Limousine","Limusine","Limo"],"canonical_field":"bodywork_form","base_canonical_value":"sedan","active_canonical_value":"sedan","effective_canonical_value":"sed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1" ht="18" customHeight="1">
      <x:c r="A11" s="36" t="str">
        <x:v>BDY-007</x:v>
      </x:c>
      <x:c r="B11" s="36" t="str">
        <x:v>bodywork_marketing</x:v>
      </x:c>
      <x:c r="C11" s="38" t="str">
        <x:v>["model","variant","version","type"]</x:v>
      </x:c>
      <x:c r="D11" s="38" t="str">
        <x:v>["Coupe","Coupé","Gran Coupe","Gran Coupé"]</x:v>
      </x:c>
      <x:c r="E11" s="36" t="str">
        <x:v>bodywork_form</x:v>
      </x:c>
      <x:c r="F11" s="36" t="str">
        <x:v>coupe</x:v>
      </x:c>
      <x:c r="G11" s="36" t="str">
        <x:v>accepted</x:v>
      </x:c>
      <x:c r="H11" s="36"/>
      <x:c r="I11" s="38" t="str">
        <x:v>[]</x:v>
      </x:c>
      <x:c r="J11" s="38" t="str">
        <x:v>["*"]</x:v>
      </x:c>
      <x:c r="K11" s="38" t="str">
        <x:v>{"rule_id":"BDY-007","area":"bodywork_marketing","source_fields":["model","variant","version","type"],"source_terms":["Coupe","Coupé","Gran Coupe","Gran Coupé"],"canonical_field":"bodywork_form","base_canonical_value":"coupe","active_canonical_value":"coupe","effective_canonical_value":"coup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2" ht="18" customHeight="1">
      <x:c r="A12" s="36" t="str">
        <x:v>BDY-008</x:v>
      </x:c>
      <x:c r="B12" s="36" t="str">
        <x:v>bodywork_marketing</x:v>
      </x:c>
      <x:c r="C12" s="38" t="str">
        <x:v>["model","variant","version","type"]</x:v>
      </x:c>
      <x:c r="D12" s="38" t="str">
        <x:v>["SUV","Crossover","Off-road"]</x:v>
      </x:c>
      <x:c r="E12" s="36" t="str">
        <x:v>bodywork_form</x:v>
      </x:c>
      <x:c r="F12" s="36" t="str">
        <x:v>suv</x:v>
      </x:c>
      <x:c r="G12" s="36" t="str">
        <x:v>accepted</x:v>
      </x:c>
      <x:c r="H12" s="36"/>
      <x:c r="I12" s="38" t="str">
        <x:v>[]</x:v>
      </x:c>
      <x:c r="J12" s="38" t="str">
        <x:v>["*"]</x:v>
      </x:c>
      <x:c r="K12" s="38" t="str">
        <x:v>{"rule_id":"BDY-008","area":"bodywork_marketing","source_fields":["model","variant","version","type"],"source_terms":["SUV","Crossover","Off-road"],"canonical_field":"bodywork_form","base_canonical_value":"suv","active_canonical_value":"suv","effective_canonical_value":"suv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3" ht="18" customHeight="1">
      <x:c r="A13" s="36" t="str">
        <x:v>BDY-009</x:v>
      </x:c>
      <x:c r="B13" s="36" t="str">
        <x:v>bodywork_marketing</x:v>
      </x:c>
      <x:c r="C13" s="38" t="str">
        <x:v>["model","variant","version","type"]</x:v>
      </x:c>
      <x:c r="D13" s="38" t="str">
        <x:v>["Panel Van","Cargo Van","Van","Skåp","Furgon"]</x:v>
      </x:c>
      <x:c r="E13" s="36" t="str">
        <x:v>bodywork_form</x:v>
      </x:c>
      <x:c r="F13" s="36" t="str">
        <x:v>van</x:v>
      </x:c>
      <x:c r="G13" s="36" t="str">
        <x:v>accepted</x:v>
      </x:c>
      <x:c r="H13" s="36"/>
      <x:c r="I13" s="38" t="str">
        <x:v>["goods"]</x:v>
      </x:c>
      <x:c r="J13" s="38" t="str">
        <x:v>["*"]</x:v>
      </x:c>
      <x:c r="K13" s="38" t="str">
        <x:v>{"rule_id":"BDY-009","area":"bodywork_marketing","source_fields":["model","variant","version","type"],"source_terms":["Panel Van","Cargo Van","Van","Skåp","Furgon"],"canonical_field":"bodywork_form","base_canonical_value":"van","active_canonical_value":"van","effective_canonical_value":"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4" ht="18" customHeight="1">
      <x:c r="A14" s="36" t="str">
        <x:v>BDY-010</x:v>
      </x:c>
      <x:c r="B14" s="36" t="str">
        <x:v>bodywork_marketing</x:v>
      </x:c>
      <x:c r="C14" s="38" t="str">
        <x:v>["model","variant","version","type"]</x:v>
      </x:c>
      <x:c r="D14" s="38" t="str">
        <x:v>["Minivan","Multivan","Caravelle","Shuttle","Passenger Van"]</x:v>
      </x:c>
      <x:c r="E14" s="36" t="str">
        <x:v>bodywork_form</x:v>
      </x:c>
      <x:c r="F14" s="36" t="str">
        <x:v>passenger_van</x:v>
      </x:c>
      <x:c r="G14" s="36" t="str">
        <x:v>accepted</x:v>
      </x:c>
      <x:c r="H14" s="36" t="str">
        <x:v>Passenger van</x:v>
      </x:c>
      <x:c r="I14" s="38" t="str">
        <x:v>["passenger"]</x:v>
      </x:c>
      <x:c r="J14" s="38" t="str">
        <x:v>["*"]</x:v>
      </x:c>
      <x:c r="K14" s="38" t="str">
        <x:v>{"rule_id":"BDY-010","area":"bodywork_marketing","source_fields":["model","variant","version","type"],"source_terms":["Minivan","Multivan","Caravelle","Shuttle","Passenger Van"],"canonical_field":"bodywork_form","base_canonical_value":"passenger_van","active_canonical_value":"passenger_van","effective_canonical_value":"passenger_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assenger van","effective_display_value":"Passenger van","vehicle_scopes":["passenger"],"manufacturers":["*"],"has_draft":false,"change_note":null}</x:v>
      </x:c>
    </x:row>
    <x:row r="15" ht="18" customHeight="1">
      <x:c r="A15" s="36" t="str">
        <x:v>BDY-011</x:v>
      </x:c>
      <x:c r="B15" s="36" t="str">
        <x:v>bodywork_marketing</x:v>
      </x:c>
      <x:c r="C15" s="38" t="str">
        <x:v>["model","variant","version","type"]</x:v>
      </x:c>
      <x:c r="D15" s="38" t="str">
        <x:v>["Pickup","Pick-up"]</x:v>
      </x:c>
      <x:c r="E15" s="36" t="str">
        <x:v>bodywork_form</x:v>
      </x:c>
      <x:c r="F15" s="36" t="str">
        <x:v>pickup</x:v>
      </x:c>
      <x:c r="G15" s="36" t="str">
        <x:v>accepted</x:v>
      </x:c>
      <x:c r="H15" s="36"/>
      <x:c r="I15" s="38" t="str">
        <x:v>["goods"]</x:v>
      </x:c>
      <x:c r="J15" s="38" t="str">
        <x:v>["*"]</x:v>
      </x:c>
      <x:c r="K15" s="38" t="str">
        <x:v>{"rule_id":"BDY-011","area":"bodywork_marketing","source_fields":["model","variant","version","type"],"source_terms":["Pickup","Pick-up"],"canonical_field":"bodywork_form","base_canonical_value":"pickup","active_canonical_value":"pickup","effective_canonical_value":"pickup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6" ht="18" customHeight="1">
      <x:c r="A16" s="36" t="str">
        <x:v>BDY-012</x:v>
      </x:c>
      <x:c r="B16" s="36" t="str">
        <x:v>bodywork_marketing</x:v>
      </x:c>
      <x:c r="C16" s="38" t="str">
        <x:v>["model","variant","version","type"]</x:v>
      </x:c>
      <x:c r="D16" s="38" t="str">
        <x:v>["Platform/Chassis","Flak/Chassi","Flatbed","Chassis Cab"]</x:v>
      </x:c>
      <x:c r="E16" s="36" t="str">
        <x:v>bodywork_form</x:v>
      </x:c>
      <x:c r="F16" s="36" t="str">
        <x:v>chassis_cab</x:v>
      </x:c>
      <x:c r="G16" s="36" t="str">
        <x:v>accepted</x:v>
      </x:c>
      <x:c r="H16" s="36"/>
      <x:c r="I16" s="38" t="str">
        <x:v>["goods"]</x:v>
      </x:c>
      <x:c r="J16" s="38" t="str">
        <x:v>["*"]</x:v>
      </x:c>
      <x:c r="K16" s="38" t="str">
        <x:v>{"rule_id":"BDY-012","area":"bodywork_marketing","source_fields":["model","variant","version","type"],"source_terms":["Platform/Chassis","Flak/Chassi","Flatbed","Chassis Cab"],"canonical_field":"bodywork_form","base_canonical_value":"chassis_cab","active_canonical_value":"chassis_cab","effective_canonical_value":"chassis_cab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7" ht="18" customHeight="1">
      <x:c r="A17" s="36" t="str">
        <x:v>BDY-013</x:v>
      </x:c>
      <x:c r="B17" s="36" t="str">
        <x:v>bodywork_marketing</x:v>
      </x:c>
      <x:c r="C17" s="38" t="str">
        <x:v>["model","variant","version","type"]</x:v>
      </x:c>
      <x:c r="D17" s="38" t="str">
        <x:v>["Camper","California","Motorhome"]</x:v>
      </x:c>
      <x:c r="E17" s="36" t="str">
        <x:v>bodywork_form</x:v>
      </x:c>
      <x:c r="F17" s="36" t="str">
        <x:v>motorhome</x:v>
      </x:c>
      <x:c r="G17" s="36" t="str">
        <x:v>accepted</x:v>
      </x:c>
      <x:c r="H17" s="36"/>
      <x:c r="I17" s="38" t="str">
        <x:v>[]</x:v>
      </x:c>
      <x:c r="J17" s="38" t="str">
        <x:v>["*"]</x:v>
      </x:c>
      <x:c r="K17" s="38" t="str">
        <x:v>{"rule_id":"BDY-013","area":"bodywork_marketing","source_fields":["model","variant","version","type"],"source_terms":["Camper","California","Motorhome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8" ht="18" customHeight="1">
      <x:c r="A18" s="36" t="str">
        <x:v>BDY-101</x:v>
      </x:c>
      <x:c r="B18" s="36" t="str">
        <x:v>bodywork_code</x:v>
      </x:c>
      <x:c r="C18" s="38" t="str">
        <x:v>["body_code"]</x:v>
      </x:c>
      <x:c r="D18" s="38" t="str">
        <x:v>["AA"]</x:v>
      </x:c>
      <x:c r="E18" s="36" t="str">
        <x:v>bodywork_form</x:v>
      </x:c>
      <x:c r="F18" s="36" t="str">
        <x:v>sedan</x:v>
      </x:c>
      <x:c r="G18" s="36" t="str">
        <x:v>accepted</x:v>
      </x:c>
      <x:c r="H18" s="36" t="str">
        <x:v>Sedan</x:v>
      </x:c>
      <x:c r="I18" s="38" t="str">
        <x:v>["passenger"]</x:v>
      </x:c>
      <x:c r="J18" s="38" t="str">
        <x:v>[]</x:v>
      </x:c>
      <x:c r="K18" s="38" t="str">
        <x:v>{"rule_id":"BDY-101","area":"bodywork_code","source_fields":["body_code"],"source_terms":["AA"],"canonical_field":"bodywork_form","base_canonical_value":"sedan","active_canonical_value":"sedan","effective_canonical_value":"sed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edan","effective_display_value":"Sedan","vehicle_scopes":["passenger"],"manufacturers":[],"has_draft":false,"change_note":null}</x:v>
      </x:c>
    </x:row>
    <x:row r="19" ht="18" customHeight="1">
      <x:c r="A19" s="36" t="str">
        <x:v>BDY-102</x:v>
      </x:c>
      <x:c r="B19" s="36" t="str">
        <x:v>bodywork_code</x:v>
      </x:c>
      <x:c r="C19" s="38" t="str">
        <x:v>["body_code"]</x:v>
      </x:c>
      <x:c r="D19" s="38" t="str">
        <x:v>["01"]</x:v>
      </x:c>
      <x:c r="E19" s="36" t="str">
        <x:v>bodywork_form</x:v>
      </x:c>
      <x:c r="F19" s="36" t="str">
        <x:v>covered_body</x:v>
      </x:c>
      <x:c r="G19" s="36" t="str">
        <x:v>accepted</x:v>
      </x:c>
      <x:c r="H19" s="36" t="str">
        <x:v>Täckt</x:v>
      </x:c>
      <x:c r="I19" s="38" t="str">
        <x:v>["passenger"]</x:v>
      </x:c>
      <x:c r="J19" s="38" t="str">
        <x:v>[]</x:v>
      </x:c>
      <x:c r="K19" s="38" t="str">
        <x:v>{"rule_id":"BDY-102","area":"bodywork_code","source_fields":["body_code"],"source_terms":["01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","effective_display_value":"Täckt","vehicle_scopes":["passenger"],"manufacturers":[],"has_draft":false,"change_note":null}</x:v>
      </x:c>
    </x:row>
    <x:row r="20" ht="18" customHeight="1">
      <x:c r="A20" s="36" t="str">
        <x:v>BDY-103</x:v>
      </x:c>
      <x:c r="B20" s="36" t="str">
        <x:v>bodywork_code</x:v>
      </x:c>
      <x:c r="C20" s="38" t="str">
        <x:v>["body_code"]</x:v>
      </x:c>
      <x:c r="D20" s="38" t="str">
        <x:v>["03"]</x:v>
      </x:c>
      <x:c r="E20" s="36" t="str">
        <x:v>bodywork_form</x:v>
      </x:c>
      <x:c r="F20" s="36" t="str">
        <x:v>estate</x:v>
      </x:c>
      <x:c r="G20" s="36" t="str">
        <x:v>accepted</x:v>
      </x:c>
      <x:c r="H20" s="36" t="str">
        <x:v>Kombi</x:v>
      </x:c>
      <x:c r="I20" s="38" t="str">
        <x:v>["passenger"]</x:v>
      </x:c>
      <x:c r="J20" s="38" t="str">
        <x:v>[]</x:v>
      </x:c>
      <x:c r="K20" s="38" t="str">
        <x:v>{"rule_id":"BDY-103","area":"bodywork_code","source_fields":["body_code"],"source_terms":["03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","effective_display_value":"Kombi","vehicle_scopes":["passenger"],"manufacturers":[],"has_draft":false,"change_note":null}</x:v>
      </x:c>
    </x:row>
    <x:row r="21" ht="18" customHeight="1">
      <x:c r="A21" s="36" t="str">
        <x:v>BDY-104</x:v>
      </x:c>
      <x:c r="B21" s="36" t="str">
        <x:v>bodywork_code</x:v>
      </x:c>
      <x:c r="C21" s="38" t="str">
        <x:v>["body_code"]</x:v>
      </x:c>
      <x:c r="D21" s="38" t="str">
        <x:v>["04"]</x:v>
      </x:c>
      <x:c r="E21" s="36" t="str">
        <x:v>bodywork_form</x:v>
      </x:c>
      <x:c r="F21" s="36" t="str">
        <x:v>covered_body</x:v>
      </x:c>
      <x:c r="G21" s="36" t="str">
        <x:v>accepted</x:v>
      </x:c>
      <x:c r="H21" s="36" t="str">
        <x:v>Täckt, taklucka</x:v>
      </x:c>
      <x:c r="I21" s="38" t="str">
        <x:v>["passenger"]</x:v>
      </x:c>
      <x:c r="J21" s="38" t="str">
        <x:v>[]</x:v>
      </x:c>
      <x:c r="K21" s="38" t="str">
        <x:v>{"rule_id":"BDY-104","area":"bodywork_code","source_fields":["body_code"],"source_terms":["04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, taklucka","effective_display_value":"Täckt, taklucka","vehicle_scopes":["passenger"],"manufacturers":[],"has_draft":false,"change_note":null}</x:v>
      </x:c>
    </x:row>
    <x:row r="22" ht="18" customHeight="1">
      <x:c r="A22" s="36" t="str">
        <x:v>BDY-105</x:v>
      </x:c>
      <x:c r="B22" s="36" t="str">
        <x:v>bodywork_code</x:v>
      </x:c>
      <x:c r="C22" s="38" t="str">
        <x:v>["body_code"]</x:v>
      </x:c>
      <x:c r="D22" s="38" t="str">
        <x:v>["06"]</x:v>
      </x:c>
      <x:c r="E22" s="36" t="str">
        <x:v>bodywork_form</x:v>
      </x:c>
      <x:c r="F22" s="36" t="str">
        <x:v>covered_body</x:v>
      </x:c>
      <x:c r="G22" s="36" t="str">
        <x:v>accepted</x:v>
      </x:c>
      <x:c r="H22" s="36" t="str">
        <x:v>Täckt, taxi</x:v>
      </x:c>
      <x:c r="I22" s="38" t="str">
        <x:v>["passenger"]</x:v>
      </x:c>
      <x:c r="J22" s="38" t="str">
        <x:v>[]</x:v>
      </x:c>
      <x:c r="K22" s="38" t="str">
        <x:v>{"rule_id":"BDY-105","area":"bodywork_code","source_fields":["body_code"],"source_terms":["06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, taxi","effective_display_value":"Täckt, taxi","vehicle_scopes":["passenger"],"manufacturers":[],"has_draft":false,"change_note":null}</x:v>
      </x:c>
    </x:row>
    <x:row r="23" ht="18" customHeight="1">
      <x:c r="A23" s="36" t="str">
        <x:v>BDY-106</x:v>
      </x:c>
      <x:c r="B23" s="36" t="str">
        <x:v>bodywork_code</x:v>
      </x:c>
      <x:c r="C23" s="38" t="str">
        <x:v>["body_code"]</x:v>
      </x:c>
      <x:c r="D23" s="38" t="str">
        <x:v>["07"]</x:v>
      </x:c>
      <x:c r="E23" s="36" t="str">
        <x:v>bodywork_form</x:v>
      </x:c>
      <x:c r="F23" s="36" t="str">
        <x:v>estate</x:v>
      </x:c>
      <x:c r="G23" s="36" t="str">
        <x:v>accepted</x:v>
      </x:c>
      <x:c r="H23" s="36" t="str">
        <x:v>Kombi, taxi</x:v>
      </x:c>
      <x:c r="I23" s="38" t="str">
        <x:v>["passenger"]</x:v>
      </x:c>
      <x:c r="J23" s="38" t="str">
        <x:v>[]</x:v>
      </x:c>
      <x:c r="K23" s="38" t="str">
        <x:v>{"rule_id":"BDY-106","area":"bodywork_code","source_fields":["body_code"],"source_terms":["07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, taxi","effective_display_value":"Kombi, taxi","vehicle_scopes":["passenger"],"manufacturers":[],"has_draft":false,"change_note":null}</x:v>
      </x:c>
    </x:row>
    <x:row r="24" ht="18" customHeight="1">
      <x:c r="A24" s="36" t="str">
        <x:v>BDY-107</x:v>
      </x:c>
      <x:c r="B24" s="36" t="str">
        <x:v>bodywork_code</x:v>
      </x:c>
      <x:c r="C24" s="38" t="str">
        <x:v>["body_code"]</x:v>
      </x:c>
      <x:c r="D24" s="38" t="str">
        <x:v>["AD"]</x:v>
      </x:c>
      <x:c r="E24" s="36" t="str">
        <x:v>bodywork_form</x:v>
      </x:c>
      <x:c r="F24" s="36" t="str">
        <x:v>coupe</x:v>
      </x:c>
      <x:c r="G24" s="36" t="str">
        <x:v>accepted</x:v>
      </x:c>
      <x:c r="H24" s="36" t="str">
        <x:v>Kupé</x:v>
      </x:c>
      <x:c r="I24" s="38" t="str">
        <x:v>["passenger"]</x:v>
      </x:c>
      <x:c r="J24" s="38" t="str">
        <x:v>[]</x:v>
      </x:c>
      <x:c r="K24" s="38" t="str">
        <x:v>{"rule_id":"BDY-107","area":"bodywork_code","source_fields":["body_code"],"source_terms":["AD"],"canonical_field":"bodywork_form","base_canonical_value":"coupe","active_canonical_value":"coupe","effective_canonical_value":"coup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upé","effective_display_value":"Kupé","vehicle_scopes":["passenger"],"manufacturers":[],"has_draft":false,"change_note":null}</x:v>
      </x:c>
    </x:row>
    <x:row r="25" ht="18" customHeight="1">
      <x:c r="A25" s="36" t="str">
        <x:v>BDY-108</x:v>
      </x:c>
      <x:c r="B25" s="36" t="str">
        <x:v>bodywork_code</x:v>
      </x:c>
      <x:c r="C25" s="38" t="str">
        <x:v>["body_code"]</x:v>
      </x:c>
      <x:c r="D25" s="38" t="str">
        <x:v>["BB"]</x:v>
      </x:c>
      <x:c r="E25" s="36" t="str">
        <x:v>bodywork_form</x:v>
      </x:c>
      <x:c r="F25" s="36" t="str">
        <x:v>van</x:v>
      </x:c>
      <x:c r="G25" s="36" t="str">
        <x:v>accepted</x:v>
      </x:c>
      <x:c r="H25" s="36" t="str">
        <x:v>Skåpbil</x:v>
      </x:c>
      <x:c r="I25" s="38" t="str">
        <x:v>["goods"]</x:v>
      </x:c>
      <x:c r="J25" s="38" t="str">
        <x:v>[]</x:v>
      </x:c>
      <x:c r="K25" s="38" t="str">
        <x:v>{"rule_id":"BDY-108","area":"bodywork_code","source_fields":["body_code"],"source_terms":["BB"],"canonical_field":"bodywork_form","base_canonical_value":"van","active_canonical_value":"van","effective_canonical_value":"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kåpbil","effective_display_value":"Skåpbil","vehicle_scopes":["goods"],"manufacturers":[],"has_draft":false,"change_note":null}</x:v>
      </x:c>
    </x:row>
    <x:row r="26" ht="18" customHeight="1">
      <x:c r="A26" s="36" t="str">
        <x:v>BDY-109</x:v>
      </x:c>
      <x:c r="B26" s="36" t="str">
        <x:v>bodywork_code</x:v>
      </x:c>
      <x:c r="C26" s="38" t="str">
        <x:v>["body_code"]</x:v>
      </x:c>
      <x:c r="D26" s="38" t="str">
        <x:v>["AB"]</x:v>
      </x:c>
      <x:c r="E26" s="36" t="str">
        <x:v>bodywork_form</x:v>
      </x:c>
      <x:c r="F26" s="36" t="str">
        <x:v>hatchback</x:v>
      </x:c>
      <x:c r="G26" s="36" t="str">
        <x:v>accepted</x:v>
      </x:c>
      <x:c r="H26" s="36" t="str">
        <x:v>Halvkombi</x:v>
      </x:c>
      <x:c r="I26" s="38" t="str">
        <x:v>["passenger"]</x:v>
      </x:c>
      <x:c r="J26" s="38" t="str">
        <x:v>[]</x:v>
      </x:c>
      <x:c r="K26" s="38" t="str">
        <x:v>{"rule_id":"BDY-109","area":"bodywork_code","source_fields":["body_code"],"source_terms":["AB"],"canonical_field":"bodywork_form","base_canonical_value":"hatchback","active_canonical_value":"hatchback","effective_canonical_value":"hatchback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Halvkombi","effective_display_value":"Halvkombi","vehicle_scopes":["passenger"],"manufacturers":[],"has_draft":false,"change_note":null}</x:v>
      </x:c>
    </x:row>
    <x:row r="27" ht="18" customHeight="1">
      <x:c r="A27" s="36" t="str">
        <x:v>BDY-110</x:v>
      </x:c>
      <x:c r="B27" s="36" t="str">
        <x:v>bodywork_code</x:v>
      </x:c>
      <x:c r="C27" s="38" t="str">
        <x:v>["body_code"]</x:v>
      </x:c>
      <x:c r="D27" s="38" t="str">
        <x:v>["AC"]</x:v>
      </x:c>
      <x:c r="E27" s="36" t="str">
        <x:v>bodywork_form</x:v>
      </x:c>
      <x:c r="F27" s="36" t="str">
        <x:v>estate</x:v>
      </x:c>
      <x:c r="G27" s="36" t="str">
        <x:v>accepted</x:v>
      </x:c>
      <x:c r="H27" s="36" t="str">
        <x:v>Stationsvagn (kombivagn)</x:v>
      </x:c>
      <x:c r="I27" s="38" t="str">
        <x:v>["passenger"]</x:v>
      </x:c>
      <x:c r="J27" s="38" t="str">
        <x:v>[]</x:v>
      </x:c>
      <x:c r="K27" s="38" t="str">
        <x:v>{"rule_id":"BDY-110","area":"bodywork_code","source_fields":["body_code"],"source_terms":["AC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tationsvagn (kombivagn)","effective_display_value":"Stationsvagn (kombivagn)","vehicle_scopes":["passenger"],"manufacturers":[],"has_draft":false,"change_note":null}</x:v>
      </x:c>
    </x:row>
    <x:row r="28" ht="18" customHeight="1">
      <x:c r="A28" s="36" t="str">
        <x:v>BDY-111</x:v>
      </x:c>
      <x:c r="B28" s="36" t="str">
        <x:v>bodywork_code</x:v>
      </x:c>
      <x:c r="C28" s="38" t="str">
        <x:v>["body_code"]</x:v>
      </x:c>
      <x:c r="D28" s="38" t="str">
        <x:v>["AE"]</x:v>
      </x:c>
      <x:c r="E28" s="36" t="str">
        <x:v>bodywork_form</x:v>
      </x:c>
      <x:c r="F28" s="36" t="str">
        <x:v>convertible</x:v>
      </x:c>
      <x:c r="G28" s="36" t="str">
        <x:v>accepted</x:v>
      </x:c>
      <x:c r="H28" s="36" t="str">
        <x:v>Cabriolet</x:v>
      </x:c>
      <x:c r="I28" s="38" t="str">
        <x:v>["passenger"]</x:v>
      </x:c>
      <x:c r="J28" s="38" t="str">
        <x:v>[]</x:v>
      </x:c>
      <x:c r="K28" s="38" t="str">
        <x:v>{"rule_id":"BDY-111","area":"bodywork_code","source_fields":["body_code"],"source_terms":["AE"],"canonical_field":"bodywork_form","base_canonical_value":"convertible","active_canonical_value":"convertible","effective_canonical_value":"convertib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Cabriolet","effective_display_value":"Cabriolet","vehicle_scopes":["passenger"],"manufacturers":[],"has_draft":false,"change_note":null}</x:v>
      </x:c>
    </x:row>
    <x:row r="29" ht="18" customHeight="1">
      <x:c r="A29" s="36" t="str">
        <x:v>BDY-112</x:v>
      </x:c>
      <x:c r="B29" s="36" t="str">
        <x:v>bodywork_code</x:v>
      </x:c>
      <x:c r="C29" s="38" t="str">
        <x:v>["body_code"]</x:v>
      </x:c>
      <x:c r="D29" s="38" t="str">
        <x:v>["05"]</x:v>
      </x:c>
      <x:c r="E29" s="36" t="str">
        <x:v>bodywork_form</x:v>
      </x:c>
      <x:c r="F29" s="36" t="str">
        <x:v>estate</x:v>
      </x:c>
      <x:c r="G29" s="36" t="str">
        <x:v>accepted</x:v>
      </x:c>
      <x:c r="H29" s="36" t="str">
        <x:v>Kombi, taklucka</x:v>
      </x:c>
      <x:c r="I29" s="38" t="str">
        <x:v>["passenger"]</x:v>
      </x:c>
      <x:c r="J29" s="38" t="str">
        <x:v>[]</x:v>
      </x:c>
      <x:c r="K29" s="38" t="str">
        <x:v>{"rule_id":"BDY-112","area":"bodywork_code","source_fields":["body_code"],"source_terms":["05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, taklucka","effective_display_value":"Kombi, taklucka","vehicle_scopes":["passenger"],"manufacturers":[],"has_draft":false,"change_note":null}</x:v>
      </x:c>
    </x:row>
    <x:row r="30" ht="18" customHeight="1">
      <x:c r="A30" s="36" t="str">
        <x:v>BDY-113</x:v>
      </x:c>
      <x:c r="B30" s="36" t="str">
        <x:v>bodywork_code</x:v>
      </x:c>
      <x:c r="C30" s="38" t="str">
        <x:v>["body_code"]</x:v>
      </x:c>
      <x:c r="D30" s="38" t="str">
        <x:v>["AF"]</x:v>
      </x:c>
      <x:c r="E30" s="36" t="str">
        <x:v>bodywork_form</x:v>
      </x:c>
      <x:c r="F30" s="36" t="str">
        <x:v>multi_purpose_vehicle</x:v>
      </x:c>
      <x:c r="G30" s="36" t="str">
        <x:v>accepted</x:v>
      </x:c>
      <x:c r="H30" s="36" t="str">
        <x:v>Fordon avsett för flera ändamål</x:v>
      </x:c>
      <x:c r="I30" s="38" t="str">
        <x:v>["passenger"]</x:v>
      </x:c>
      <x:c r="J30" s="38" t="str">
        <x:v>[]</x:v>
      </x:c>
      <x:c r="K30" s="38" t="str">
        <x:v>{"rule_id":"BDY-113","area":"bodywork_code","source_fields":["body_code"],"source_terms":["AF"],"canonical_field":"bodywork_form","base_canonical_value":"multi_purpose_vehicle","active_canonical_value":"multi_purpose_vehicle","effective_canonical_value":"multi_purpose_vehic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Fordon avsett för flera ändamål","effective_display_value":"Fordon avsett för flera ändamål","vehicle_scopes":["passenger"],"manufacturers":[],"has_draft":false,"change_note":null}</x:v>
      </x:c>
    </x:row>
    <x:row r="31" ht="18" customHeight="1">
      <x:c r="A31" s="36" t="str">
        <x:v>BDY-114</x:v>
      </x:c>
      <x:c r="B31" s="36" t="str">
        <x:v>bodywork_code</x:v>
      </x:c>
      <x:c r="C31" s="38" t="str">
        <x:v>["body_code"]</x:v>
      </x:c>
      <x:c r="D31" s="38" t="str">
        <x:v>["20"]</x:v>
      </x:c>
      <x:c r="E31" s="36" t="str">
        <x:v>bodywork_form</x:v>
      </x:c>
      <x:c r="F31" s="36" t="str">
        <x:v>box_body</x:v>
      </x:c>
      <x:c r="G31" s="36" t="str">
        <x:v>accepted</x:v>
      </x:c>
      <x:c r="H31" s="36" t="str">
        <x:v>Skåp</x:v>
      </x:c>
      <x:c r="I31" s="38" t="str">
        <x:v>["goods","trailer"]</x:v>
      </x:c>
      <x:c r="J31" s="38" t="str">
        <x:v>[]</x:v>
      </x:c>
      <x:c r="K31" s="38" t="str">
        <x:v>{"rule_id":"BDY-114","area":"bodywork_code","source_fields":["body_code"],"source_terms":["20"],"canonical_field":"bodywork_form","base_canonical_value":"box_body","active_canonical_value":"box_body","effective_canonical_value":"box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kåp","effective_display_value":"Skåp","vehicle_scopes":["goods","trailer"],"manufacturers":[],"has_draft":false,"change_note":null}</x:v>
      </x:c>
    </x:row>
    <x:row r="32" ht="18" customHeight="1">
      <x:c r="A32" s="36" t="str">
        <x:v>BDY-115</x:v>
      </x:c>
      <x:c r="B32" s="36" t="str">
        <x:v>bodywork_code</x:v>
      </x:c>
      <x:c r="C32" s="38" t="str">
        <x:v>["body_code"]</x:v>
      </x:c>
      <x:c r="D32" s="38" t="str">
        <x:v>["BA"]</x:v>
      </x:c>
      <x:c r="E32" s="36" t="str">
        <x:v>bodywork_form</x:v>
      </x:c>
      <x:c r="F32" s="36" t="str">
        <x:v>truck</x:v>
      </x:c>
      <x:c r="G32" s="36" t="str">
        <x:v>accepted</x:v>
      </x:c>
      <x:c r="H32" s="36" t="str">
        <x:v>Lastbil</x:v>
      </x:c>
      <x:c r="I32" s="38" t="str">
        <x:v>["goods"]</x:v>
      </x:c>
      <x:c r="J32" s="38" t="str">
        <x:v>[]</x:v>
      </x:c>
      <x:c r="K32" s="38" t="str">
        <x:v>{"rule_id":"BDY-115","area":"bodywork_code","source_fields":["body_code"],"source_terms":["BA"],"canonical_field":"bodywork_form","base_canonical_value":"truck","active_canonical_value":"truck","effective_canonical_value":"truck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astbil","effective_display_value":"Lastbil","vehicle_scopes":["goods"],"manufacturers":[],"has_draft":false,"change_note":null}</x:v>
      </x:c>
    </x:row>
    <x:row r="33" ht="18" customHeight="1">
      <x:c r="A33" s="36" t="str">
        <x:v>BDY-116</x:v>
      </x:c>
      <x:c r="B33" s="36" t="str">
        <x:v>bodywork_code</x:v>
      </x:c>
      <x:c r="C33" s="38" t="str">
        <x:v>["body_code"]</x:v>
      </x:c>
      <x:c r="D33" s="38" t="str">
        <x:v>["02"]</x:v>
      </x:c>
      <x:c r="E33" s="36" t="str">
        <x:v>bodywork_form</x:v>
      </x:c>
      <x:c r="F33" s="36" t="str">
        <x:v>open_body</x:v>
      </x:c>
      <x:c r="G33" s="36" t="str">
        <x:v>accepted</x:v>
      </x:c>
      <x:c r="H33" s="36" t="str">
        <x:v>Öppet</x:v>
      </x:c>
      <x:c r="I33" s="38" t="str">
        <x:v>["passenger"]</x:v>
      </x:c>
      <x:c r="J33" s="38" t="str">
        <x:v>[]</x:v>
      </x:c>
      <x:c r="K33" s="38" t="str">
        <x:v>{"rule_id":"BDY-116","area":"bodywork_code","source_fields":["body_code"],"source_terms":["02"],"canonical_field":"bodywork_form","base_canonical_value":"open_body","active_canonical_value":"open_body","effective_canonical_value":"open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Öppet","effective_display_value":"Öppet","vehicle_scopes":["passenger"],"manufacturers":[],"has_draft":false,"change_note":null}</x:v>
      </x:c>
    </x:row>
    <x:row r="34" ht="18" customHeight="1">
      <x:c r="A34" s="36" t="str">
        <x:v>BDY-117</x:v>
      </x:c>
      <x:c r="B34" s="36" t="str">
        <x:v>bodywork_code</x:v>
      </x:c>
      <x:c r="C34" s="38" t="str">
        <x:v>["body_code"]</x:v>
      </x:c>
      <x:c r="D34" s="38" t="str">
        <x:v>["AG"]</x:v>
      </x:c>
      <x:c r="E34" s="36" t="str">
        <x:v>bodywork_form</x:v>
      </x:c>
      <x:c r="F34" s="36" t="str">
        <x:v>cargo_estate</x:v>
      </x:c>
      <x:c r="G34" s="36" t="str">
        <x:v>accepted</x:v>
      </x:c>
      <x:c r="H34" s="36" t="str">
        <x:v>Lastkombi</x:v>
      </x:c>
      <x:c r="I34" s="38" t="str">
        <x:v>["passenger"]</x:v>
      </x:c>
      <x:c r="J34" s="38" t="str">
        <x:v>[]</x:v>
      </x:c>
      <x:c r="K34" s="38" t="str">
        <x:v>{"rule_id":"BDY-117","area":"bodywork_code","source_fields":["body_code"],"source_terms":["AG"],"canonical_field":"bodywork_form","base_canonical_value":"cargo_estate","active_canonical_value":"cargo_estate","effective_canonical_value":"cargo_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astkombi","effective_display_value":"Lastkombi","vehicle_scopes":["passenger"],"manufacturers":[],"has_draft":false,"change_note":null}</x:v>
      </x:c>
    </x:row>
    <x:row r="35" ht="18" customHeight="1">
      <x:c r="A35" s="36" t="str">
        <x:v>BDY-118</x:v>
      </x:c>
      <x:c r="B35" s="36" t="str">
        <x:v>bodywork_code</x:v>
      </x:c>
      <x:c r="C35" s="38" t="str">
        <x:v>["body_code"]</x:v>
      </x:c>
      <x:c r="D35" s="38" t="str">
        <x:v>["08"]</x:v>
      </x:c>
      <x:c r="E35" s="36" t="str">
        <x:v>bodywork_form</x:v>
      </x:c>
      <x:c r="F35" s="36" t="str">
        <x:v>motorhome</x:v>
      </x:c>
      <x:c r="G35" s="36" t="str">
        <x:v>accepted</x:v>
      </x:c>
      <x:c r="H35" s="36" t="str">
        <x:v>Bostadsinredning</x:v>
      </x:c>
      <x:c r="I35" s="38" t="str">
        <x:v>["passenger"]</x:v>
      </x:c>
      <x:c r="J35" s="38" t="str">
        <x:v>[]</x:v>
      </x:c>
      <x:c r="K35" s="38" t="str">
        <x:v>{"rule_id":"BDY-118","area":"bodywork_code","source_fields":["body_code"],"source_terms":["08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ostadsinredning","effective_display_value":"Bostadsinredning","vehicle_scopes":["passenger"],"manufacturers":[],"has_draft":false,"change_note":null}</x:v>
      </x:c>
    </x:row>
    <x:row r="36" ht="18" customHeight="1">
      <x:c r="A36" s="36" t="str">
        <x:v>BDY-119</x:v>
      </x:c>
      <x:c r="B36" s="36" t="str">
        <x:v>bodywork_code</x:v>
      </x:c>
      <x:c r="C36" s="38" t="str">
        <x:v>["body_code"]</x:v>
      </x:c>
      <x:c r="D36" s="38" t="str">
        <x:v>["96"]</x:v>
      </x:c>
      <x:c r="E36" s="36" t="str">
        <x:v>bodywork_form</x:v>
      </x:c>
      <x:c r="F36" s="36"/>
      <x:c r="G36" s="36" t="str">
        <x:v>accepted</x:v>
      </x:c>
      <x:c r="H36" s="36" t="str">
        <x:v>Polisbil</x:v>
      </x:c>
      <x:c r="I36" s="38" t="str">
        <x:v>["passenger"]</x:v>
      </x:c>
      <x:c r="J36" s="38" t="str">
        <x:v>[]</x:v>
      </x:c>
      <x:c r="K36" s="38" t="str">
        <x:v>{"rule_id":"BDY-119","area":"bodywork_code","source_fields":["body_code"],"source_terms":["96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olisbil","effective_display_value":"Polisbil","vehicle_scopes":["passenger"],"manufacturers":[],"has_draft":false,"change_note":null}</x:v>
      </x:c>
    </x:row>
    <x:row r="37" ht="18" customHeight="1">
      <x:c r="A37" s="36" t="str">
        <x:v>BDY-120</x:v>
      </x:c>
      <x:c r="B37" s="36" t="str">
        <x:v>bodywork_code</x:v>
      </x:c>
      <x:c r="C37" s="38" t="str">
        <x:v>["body_code"]</x:v>
      </x:c>
      <x:c r="D37" s="38" t="str">
        <x:v>["98"]</x:v>
      </x:c>
      <x:c r="E37" s="36" t="str">
        <x:v>bodywork_form</x:v>
      </x:c>
      <x:c r="F37" s="36"/>
      <x:c r="G37" s="36" t="str">
        <x:v>accepted</x:v>
      </x:c>
      <x:c r="H37" s="36" t="str">
        <x:v>Övrigt</x:v>
      </x:c>
      <x:c r="I37" s="38" t="str">
        <x:v>["passenger"]</x:v>
      </x:c>
      <x:c r="J37" s="38" t="str">
        <x:v>[]</x:v>
      </x:c>
      <x:c r="K37" s="38" t="str">
        <x:v>{"rule_id":"BDY-120","area":"bodywork_code","source_fields":["body_code"],"source_terms":["98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Övrigt","effective_display_value":"Övrigt","vehicle_scopes":["passenger"],"manufacturers":[],"has_draft":false,"change_note":null}</x:v>
      </x:c>
    </x:row>
    <x:row r="38" ht="18" customHeight="1">
      <x:c r="A38" s="36" t="str">
        <x:v>BDY-BUS</x:v>
      </x:c>
      <x:c r="B38" s="36" t="str">
        <x:v>bodywork_code</x:v>
      </x:c>
      <x:c r="C38" s="38" t="str">
        <x:v>["body_code"]</x:v>
      </x:c>
      <x:c r="D38" s="38" t="str">
        <x:v>["CA","CB","CC","CD","CE","CF","CG","CH","CI","CJ"]</x:v>
      </x:c>
      <x:c r="E38" s="36" t="str">
        <x:v>bodywork_form</x:v>
      </x:c>
      <x:c r="F38" s="36" t="str">
        <x:v>bus</x:v>
      </x:c>
      <x:c r="G38" s="36" t="str">
        <x:v>accepted</x:v>
      </x:c>
      <x:c r="H38" s="36" t="str">
        <x:v>Buss</x:v>
      </x:c>
      <x:c r="I38" s="38" t="str">
        <x:v>["bus"]</x:v>
      </x:c>
      <x:c r="J38" s="38" t="str">
        <x:v>[]</x:v>
      </x:c>
      <x:c r="K38" s="38" t="str">
        <x:v>{"rule_id":"BDY-BUS","area":"bodywork_code","source_fields":["body_code"],"source_terms":["CA","CB","CC","CD","CE","CF","CG","CH","CI","CJ"],"canonical_field":"bodywork_form","base_canonical_value":"bus","active_canonical_value":"bus","effective_canonical_value":"bus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uss","effective_display_value":"Buss","vehicle_scopes":["bus"],"manufacturers":[],"has_draft":false,"change_note":null}</x:v>
      </x:c>
    </x:row>
    <x:row r="39" ht="18" customHeight="1">
      <x:c r="A39" s="36" t="str">
        <x:v>BDY-N-BC</x:v>
      </x:c>
      <x:c r="B39" s="36" t="str">
        <x:v>bodywork_code</x:v>
      </x:c>
      <x:c r="C39" s="38" t="str">
        <x:v>["body_code"]</x:v>
      </x:c>
      <x:c r="D39" s="38" t="str">
        <x:v>["BC"]</x:v>
      </x:c>
      <x:c r="E39" s="36" t="str">
        <x:v>bodywork_form</x:v>
      </x:c>
      <x:c r="F39" s="36" t="str">
        <x:v>semi_trailer_tractor</x:v>
      </x:c>
      <x:c r="G39" s="36" t="str">
        <x:v>accepted</x:v>
      </x:c>
      <x:c r="H39" s="36" t="str">
        <x:v>Dragfordon för påhängsvagn</x:v>
      </x:c>
      <x:c r="I39" s="38" t="str">
        <x:v>["goods"]</x:v>
      </x:c>
      <x:c r="J39" s="38" t="str">
        <x:v>[]</x:v>
      </x:c>
      <x:c r="K39" s="38" t="str">
        <x:v>{"rule_id":"BDY-N-BC","area":"bodywork_code","source_fields":["body_code"],"source_terms":["BC"],"canonical_field":"bodywork_form","base_canonical_value":"semi_trailer_tractor","active_canonical_value":"semi_trailer_tractor","effective_canonical_value":"semi_trailer_tracto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ragfordon för påhängsvagn","effective_display_value":"Dragfordon för påhängsvagn","vehicle_scopes":["goods"],"manufacturers":[],"has_draft":false,"change_note":null}</x:v>
      </x:c>
    </x:row>
    <x:row r="40" ht="18" customHeight="1">
      <x:c r="A40" s="36" t="str">
        <x:v>BDY-N-BD</x:v>
      </x:c>
      <x:c r="B40" s="36" t="str">
        <x:v>bodywork_code</x:v>
      </x:c>
      <x:c r="C40" s="38" t="str">
        <x:v>["body_code"]</x:v>
      </x:c>
      <x:c r="D40" s="38" t="str">
        <x:v>["BD"]</x:v>
      </x:c>
      <x:c r="E40" s="36" t="str">
        <x:v>bodywork_form</x:v>
      </x:c>
      <x:c r="F40" s="36" t="str">
        <x:v>trailer_tractor</x:v>
      </x:c>
      <x:c r="G40" s="36" t="str">
        <x:v>accepted</x:v>
      </x:c>
      <x:c r="H40" s="36" t="str">
        <x:v>Dragfordon för släpvagn</x:v>
      </x:c>
      <x:c r="I40" s="38" t="str">
        <x:v>["goods"]</x:v>
      </x:c>
      <x:c r="J40" s="38" t="str">
        <x:v>[]</x:v>
      </x:c>
      <x:c r="K40" s="38" t="str">
        <x:v>{"rule_id":"BDY-N-BD","area":"bodywork_code","source_fields":["body_code"],"source_terms":["BD"],"canonical_field":"bodywork_form","base_canonical_value":"trailer_tractor","active_canonical_value":"trailer_tractor","effective_canonical_value":"trailer_tracto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ragfordon för släpvagn","effective_display_value":"Dragfordon för släpvagn","vehicle_scopes":["goods"],"manufacturers":[],"has_draft":false,"change_note":null}</x:v>
      </x:c>
    </x:row>
    <x:row r="41" ht="18" customHeight="1">
      <x:c r="A41" s="36" t="str">
        <x:v>BDY-N-BE</x:v>
      </x:c>
      <x:c r="B41" s="36" t="str">
        <x:v>bodywork_code</x:v>
      </x:c>
      <x:c r="C41" s="38" t="str">
        <x:v>["body_code"]</x:v>
      </x:c>
      <x:c r="D41" s="38" t="str">
        <x:v>["BE"]</x:v>
      </x:c>
      <x:c r="E41" s="36" t="str">
        <x:v>bodywork_form</x:v>
      </x:c>
      <x:c r="F41" s="36" t="str">
        <x:v>pickup</x:v>
      </x:c>
      <x:c r="G41" s="36" t="str">
        <x:v>accepted</x:v>
      </x:c>
      <x:c r="H41" s="36" t="str">
        <x:v>Pick-up</x:v>
      </x:c>
      <x:c r="I41" s="38" t="str">
        <x:v>["goods"]</x:v>
      </x:c>
      <x:c r="J41" s="38" t="str">
        <x:v>[]</x:v>
      </x:c>
      <x:c r="K41" s="38" t="str">
        <x:v>{"rule_id":"BDY-N-BE","area":"bodywork_code","source_fields":["body_code"],"source_terms":["BE"],"canonical_field":"bodywork_form","base_canonical_value":"pickup","active_canonical_value":"pickup","effective_canonical_value":"pickup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ick-up","effective_display_value":"Pick-up","vehicle_scopes":["goods"],"manufacturers":[],"has_draft":false,"change_note":null}</x:v>
      </x:c>
    </x:row>
    <x:row r="42" ht="18" customHeight="1">
      <x:c r="A42" s="36" t="str">
        <x:v>BDY-O-DA</x:v>
      </x:c>
      <x:c r="B42" s="36" t="str">
        <x:v>bodywork_code</x:v>
      </x:c>
      <x:c r="C42" s="38" t="str">
        <x:v>["body_code"]</x:v>
      </x:c>
      <x:c r="D42" s="38" t="str">
        <x:v>["DA"]</x:v>
      </x:c>
      <x:c r="E42" s="36" t="str">
        <x:v>bodywork_form</x:v>
      </x:c>
      <x:c r="F42" s="36" t="str">
        <x:v>semi_trailer</x:v>
      </x:c>
      <x:c r="G42" s="36" t="str">
        <x:v>accepted</x:v>
      </x:c>
      <x:c r="H42" s="36" t="str">
        <x:v>Påhängsvagn</x:v>
      </x:c>
      <x:c r="I42" s="38" t="str">
        <x:v>["trailer"]</x:v>
      </x:c>
      <x:c r="J42" s="38" t="str">
        <x:v>[]</x:v>
      </x:c>
      <x:c r="K42" s="38" t="str">
        <x:v>{"rule_id":"BDY-O-DA","area":"bodywork_code","source_fields":["body_code"],"source_terms":["DA"],"canonical_field":"bodywork_form","base_canonical_value":"semi_trailer","active_canonical_value":"semi_trailer","effective_canonical_value":"semi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åhängsvagn","effective_display_value":"Påhängsvagn","vehicle_scopes":["trailer"],"manufacturers":[],"has_draft":false,"change_note":null}</x:v>
      </x:c>
    </x:row>
    <x:row r="43" ht="18" customHeight="1">
      <x:c r="A43" s="36" t="str">
        <x:v>BDY-O-DB</x:v>
      </x:c>
      <x:c r="B43" s="36" t="str">
        <x:v>bodywork_code</x:v>
      </x:c>
      <x:c r="C43" s="38" t="str">
        <x:v>["body_code"]</x:v>
      </x:c>
      <x:c r="D43" s="38" t="str">
        <x:v>["DB"]</x:v>
      </x:c>
      <x:c r="E43" s="36" t="str">
        <x:v>bodywork_form</x:v>
      </x:c>
      <x:c r="F43" s="36" t="str">
        <x:v>drawbar_trailer</x:v>
      </x:c>
      <x:c r="G43" s="36" t="str">
        <x:v>accepted</x:v>
      </x:c>
      <x:c r="H43" s="36" t="str">
        <x:v>Släpvagn med dragstång</x:v>
      </x:c>
      <x:c r="I43" s="38" t="str">
        <x:v>["trailer"]</x:v>
      </x:c>
      <x:c r="J43" s="38" t="str">
        <x:v>[]</x:v>
      </x:c>
      <x:c r="K43" s="38" t="str">
        <x:v>{"rule_id":"BDY-O-DB","area":"bodywork_code","source_fields":["body_code"],"source_terms":["DB"],"canonical_field":"bodywork_form","base_canonical_value":"drawbar_trailer","active_canonical_value":"drawbar_trailer","effective_canonical_value":"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med dragstång","effective_display_value":"Släpvagn med dragstång","vehicle_scopes":["trailer"],"manufacturers":[],"has_draft":false,"change_note":null}</x:v>
      </x:c>
    </x:row>
    <x:row r="44" ht="18" customHeight="1">
      <x:c r="A44" s="36" t="str">
        <x:v>BDY-O-DC</x:v>
      </x:c>
      <x:c r="B44" s="36" t="str">
        <x:v>bodywork_code</x:v>
      </x:c>
      <x:c r="C44" s="38" t="str">
        <x:v>["body_code"]</x:v>
      </x:c>
      <x:c r="D44" s="38" t="str">
        <x:v>["DC"]</x:v>
      </x:c>
      <x:c r="E44" s="36" t="str">
        <x:v>bodywork_form</x:v>
      </x:c>
      <x:c r="F44" s="36" t="str">
        <x:v>centre_axle_trailer</x:v>
      </x:c>
      <x:c r="G44" s="36" t="str">
        <x:v>accepted</x:v>
      </x:c>
      <x:c r="H44" s="36" t="str">
        <x:v>Släpkärra</x:v>
      </x:c>
      <x:c r="I44" s="38" t="str">
        <x:v>["trailer"]</x:v>
      </x:c>
      <x:c r="J44" s="38" t="str">
        <x:v>[]</x:v>
      </x:c>
      <x:c r="K44" s="38" t="str">
        <x:v>{"rule_id":"BDY-O-DC","area":"bodywork_code","source_fields":["body_code"],"source_terms":["DC"],"canonical_field":"bodywork_form","base_canonical_value":"centre_axle_trailer","active_canonical_value":"centre_axle_trailer","effective_canonical_value":"centre_axle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kärra","effective_display_value":"Släpkärra","vehicle_scopes":["trailer"],"manufacturers":[],"has_draft":false,"change_note":null}</x:v>
      </x:c>
    </x:row>
    <x:row r="45" ht="18" customHeight="1">
      <x:c r="A45" s="36" t="str">
        <x:v>BDY-O-DE</x:v>
      </x:c>
      <x:c r="B45" s="36" t="str">
        <x:v>bodywork_code</x:v>
      </x:c>
      <x:c r="C45" s="38" t="str">
        <x:v>["body_code"]</x:v>
      </x:c>
      <x:c r="D45" s="38" t="str">
        <x:v>["DE"]</x:v>
      </x:c>
      <x:c r="E45" s="36" t="str">
        <x:v>bodywork_form</x:v>
      </x:c>
      <x:c r="F45" s="36" t="str">
        <x:v>rigid_drawbar_trailer</x:v>
      </x:c>
      <x:c r="G45" s="36" t="str">
        <x:v>accepted</x:v>
      </x:c>
      <x:c r="H45" s="36" t="str">
        <x:v>Släpvagn med fast dragstång</x:v>
      </x:c>
      <x:c r="I45" s="38" t="str">
        <x:v>["trailer"]</x:v>
      </x:c>
      <x:c r="J45" s="38" t="str">
        <x:v>[]</x:v>
      </x:c>
      <x:c r="K45" s="38" t="str">
        <x:v>{"rule_id":"BDY-O-DE","area":"bodywork_code","source_fields":["body_code"],"source_terms":["DE"],"canonical_field":"bodywork_form","base_canonical_value":"rigid_drawbar_trailer","active_canonical_value":"rigid_drawbar_trailer","effective_canonical_value":"rigid_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med fast dragstång","effective_display_value":"Släpvagn med fast dragstång","vehicle_scopes":["trailer"],"manufacturers":[],"has_draft":false,"change_note":null}</x:v>
      </x:c>
    </x:row>
    <x:row r="46" ht="18" customHeight="1">
      <x:c r="A46" s="36" t="str">
        <x:v>BDY-O-DF</x:v>
      </x:c>
      <x:c r="B46" s="36" t="str">
        <x:v>bodywork_code</x:v>
      </x:c>
      <x:c r="C46" s="38" t="str">
        <x:v>["body_code"]</x:v>
      </x:c>
      <x:c r="D46" s="38" t="str">
        <x:v>["DF"]</x:v>
      </x:c>
      <x:c r="E46" s="36" t="str">
        <x:v>bodywork_form</x:v>
      </x:c>
      <x:c r="F46" s="36" t="str">
        <x:v>link_semi_trailer</x:v>
      </x:c>
      <x:c r="G46" s="36" t="str">
        <x:v>accepted</x:v>
      </x:c>
      <x:c r="H46" s="36" t="str">
        <x:v>Link-påhängsvagn</x:v>
      </x:c>
      <x:c r="I46" s="38" t="str">
        <x:v>["trailer"]</x:v>
      </x:c>
      <x:c r="J46" s="38" t="str">
        <x:v>[]</x:v>
      </x:c>
      <x:c r="K46" s="38" t="str">
        <x:v>{"rule_id":"BDY-O-DF","area":"bodywork_code","source_fields":["body_code"],"source_terms":["DF"],"canonical_field":"bodywork_form","base_canonical_value":"link_semi_trailer","active_canonical_value":"link_semi_trailer","effective_canonical_value":"link_semi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nk-påhängsvagn","effective_display_value":"Link-påhängsvagn","vehicle_scopes":["trailer"],"manufacturers":[],"has_draft":false,"change_note":null}</x:v>
      </x:c>
    </x:row>
    <x:row r="47" ht="18" customHeight="1">
      <x:c r="A47" s="36" t="str">
        <x:v>BDY-O-DG</x:v>
      </x:c>
      <x:c r="B47" s="36" t="str">
        <x:v>bodywork_code</x:v>
      </x:c>
      <x:c r="C47" s="38" t="str">
        <x:v>["body_code"]</x:v>
      </x:c>
      <x:c r="D47" s="38" t="str">
        <x:v>["DG"]</x:v>
      </x:c>
      <x:c r="E47" s="36" t="str">
        <x:v>bodywork_form</x:v>
      </x:c>
      <x:c r="F47" s="36" t="str">
        <x:v>link_drawbar_trailer</x:v>
      </x:c>
      <x:c r="G47" s="36" t="str">
        <x:v>accepted</x:v>
      </x:c>
      <x:c r="H47" s="36" t="str">
        <x:v>Link-släpvagn med dragstång</x:v>
      </x:c>
      <x:c r="I47" s="38" t="str">
        <x:v>["trailer"]</x:v>
      </x:c>
      <x:c r="J47" s="38" t="str">
        <x:v>[]</x:v>
      </x:c>
      <x:c r="K47" s="38" t="str">
        <x:v>{"rule_id":"BDY-O-DG","area":"bodywork_code","source_fields":["body_code"],"source_terms":["DG"],"canonical_field":"bodywork_form","base_canonical_value":"link_drawbar_trailer","active_canonical_value":"link_drawbar_trailer","effective_canonical_value":"link_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nk-släpvagn med dragstång","effective_display_value":"Link-släpvagn med dragstång","vehicle_scopes":["trailer"],"manufacturers":[],"has_draft":false,"change_note":null}</x:v>
      </x:c>
    </x:row>
    <x:row r="48" ht="18" customHeight="1">
      <x:c r="A48" s="36" t="str">
        <x:v>BDY-SA</x:v>
      </x:c>
      <x:c r="B48" s="36" t="str">
        <x:v>bodywork_code</x:v>
      </x:c>
      <x:c r="C48" s="38" t="str">
        <x:v>["body_code"]</x:v>
      </x:c>
      <x:c r="D48" s="38" t="str">
        <x:v>["SA"]</x:v>
      </x:c>
      <x:c r="E48" s="36" t="str">
        <x:v>bodywork_form</x:v>
      </x:c>
      <x:c r="F48" s="36" t="str">
        <x:v>motorhome</x:v>
      </x:c>
      <x:c r="G48" s="36" t="str">
        <x:v>accepted</x:v>
      </x:c>
      <x:c r="H48" s="36" t="str">
        <x:v>Campingbil</x:v>
      </x:c>
      <x:c r="I48" s="38" t="str">
        <x:v>[]</x:v>
      </x:c>
      <x:c r="J48" s="38" t="str">
        <x:v>[]</x:v>
      </x:c>
      <x:c r="K48" s="38" t="str">
        <x:v>{"rule_id":"BDY-SA","area":"bodywork_code","source_fields":["body_code"],"source_terms":["SA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Campingbil","effective_display_value":"Campingbil","vehicle_scopes":[],"manufacturers":[],"has_draft":false,"change_note":null}</x:v>
      </x:c>
    </x:row>
    <x:row r="49" ht="18" customHeight="1">
      <x:c r="A49" s="36" t="str">
        <x:v>BDY-SB</x:v>
      </x:c>
      <x:c r="B49" s="36" t="str">
        <x:v>bodywork_code</x:v>
      </x:c>
      <x:c r="C49" s="38" t="str">
        <x:v>["body_code"]</x:v>
      </x:c>
      <x:c r="D49" s="38" t="str">
        <x:v>["SB"]</x:v>
      </x:c>
      <x:c r="E49" s="36" t="str">
        <x:v>bodywork_form</x:v>
      </x:c>
      <x:c r="F49" s="36"/>
      <x:c r="G49" s="36" t="str">
        <x:v>accepted</x:v>
      </x:c>
      <x:c r="H49" s="36" t="str">
        <x:v>Bepansrat fordon</x:v>
      </x:c>
      <x:c r="I49" s="38" t="str">
        <x:v>[]</x:v>
      </x:c>
      <x:c r="J49" s="38" t="str">
        <x:v>[]</x:v>
      </x:c>
      <x:c r="K49" s="38" t="str">
        <x:v>{"rule_id":"BDY-SB","area":"bodywork_code","source_fields":["body_code"],"source_terms":["SB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epansrat fordon","effective_display_value":"Bepansrat fordon","vehicle_scopes":[],"manufacturers":[],"has_draft":false,"change_note":null}</x:v>
      </x:c>
    </x:row>
    <x:row r="50" ht="18" customHeight="1">
      <x:c r="A50" s="36" t="str">
        <x:v>BDY-SC</x:v>
      </x:c>
      <x:c r="B50" s="36" t="str">
        <x:v>bodywork_code</x:v>
      </x:c>
      <x:c r="C50" s="38" t="str">
        <x:v>["body_code"]</x:v>
      </x:c>
      <x:c r="D50" s="38" t="str">
        <x:v>["SC"]</x:v>
      </x:c>
      <x:c r="E50" s="36" t="str">
        <x:v>bodywork_form</x:v>
      </x:c>
      <x:c r="F50" s="36"/>
      <x:c r="G50" s="36" t="str">
        <x:v>accepted</x:v>
      </x:c>
      <x:c r="H50" s="36" t="str">
        <x:v>Ambulans</x:v>
      </x:c>
      <x:c r="I50" s="38" t="str">
        <x:v>[]</x:v>
      </x:c>
      <x:c r="J50" s="38" t="str">
        <x:v>[]</x:v>
      </x:c>
      <x:c r="K50" s="38" t="str">
        <x:v>{"rule_id":"BDY-SC","area":"bodywork_code","source_fields":["body_code"],"source_terms":["SC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Ambulans","effective_display_value":"Ambulans","vehicle_scopes":[],"manufacturers":[],"has_draft":false,"change_note":null}</x:v>
      </x:c>
    </x:row>
    <x:row r="51" ht="18" customHeight="1">
      <x:c r="A51" s="36" t="str">
        <x:v>BDY-SD</x:v>
      </x:c>
      <x:c r="B51" s="36" t="str">
        <x:v>bodywork_code</x:v>
      </x:c>
      <x:c r="C51" s="38" t="str">
        <x:v>["body_code"]</x:v>
      </x:c>
      <x:c r="D51" s="38" t="str">
        <x:v>["SD"]</x:v>
      </x:c>
      <x:c r="E51" s="36" t="str">
        <x:v>bodywork_form</x:v>
      </x:c>
      <x:c r="F51" s="36"/>
      <x:c r="G51" s="36" t="str">
        <x:v>accepted</x:v>
      </x:c>
      <x:c r="H51" s="36" t="str">
        <x:v>Likbil</x:v>
      </x:c>
      <x:c r="I51" s="38" t="str">
        <x:v>[]</x:v>
      </x:c>
      <x:c r="J51" s="38" t="str">
        <x:v>[]</x:v>
      </x:c>
      <x:c r="K51" s="38" t="str">
        <x:v>{"rule_id":"BDY-SD","area":"bodywork_code","source_fields":["body_code"],"source_terms":["SD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kbil","effective_display_value":"Likbil","vehicle_scopes":[],"manufacturers":[],"has_draft":false,"change_note":null}</x:v>
      </x:c>
    </x:row>
    <x:row r="52" ht="18" customHeight="1">
      <x:c r="A52" s="36" t="str">
        <x:v>BDY-SE</x:v>
      </x:c>
      <x:c r="B52" s="36" t="str">
        <x:v>bodywork_code</x:v>
      </x:c>
      <x:c r="C52" s="38" t="str">
        <x:v>["body_code"]</x:v>
      </x:c>
      <x:c r="D52" s="38" t="str">
        <x:v>["SE"]</x:v>
      </x:c>
      <x:c r="E52" s="36" t="str">
        <x:v>bodywork_form</x:v>
      </x:c>
      <x:c r="F52" s="36" t="str">
        <x:v>caravan</x:v>
      </x:c>
      <x:c r="G52" s="36" t="str">
        <x:v>accepted</x:v>
      </x:c>
      <x:c r="H52" s="36" t="str">
        <x:v>Husvagn</x:v>
      </x:c>
      <x:c r="I52" s="38" t="str">
        <x:v>[]</x:v>
      </x:c>
      <x:c r="J52" s="38" t="str">
        <x:v>[]</x:v>
      </x:c>
      <x:c r="K52" s="38" t="str">
        <x:v>{"rule_id":"BDY-SE","area":"bodywork_code","source_fields":["body_code"],"source_terms":["SE"],"canonical_field":"bodywork_form","base_canonical_value":"caravan","active_canonical_value":"caravan","effective_canonical_value":"cara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Husvagn","effective_display_value":"Husvagn","vehicle_scopes":[],"manufacturers":[],"has_draft":false,"change_note":null}</x:v>
      </x:c>
    </x:row>
    <x:row r="53" ht="18" customHeight="1">
      <x:c r="A53" s="36" t="str">
        <x:v>BDY-SF</x:v>
      </x:c>
      <x:c r="B53" s="36" t="str">
        <x:v>bodywork_code</x:v>
      </x:c>
      <x:c r="C53" s="38" t="str">
        <x:v>["body_code"]</x:v>
      </x:c>
      <x:c r="D53" s="38" t="str">
        <x:v>["SF"]</x:v>
      </x:c>
      <x:c r="E53" s="36" t="str">
        <x:v>bodywork_form</x:v>
      </x:c>
      <x:c r="F53" s="36"/>
      <x:c r="G53" s="36" t="str">
        <x:v>accepted</x:v>
      </x:c>
      <x:c r="H53" s="36" t="str">
        <x:v>Mobilkran</x:v>
      </x:c>
      <x:c r="I53" s="38" t="str">
        <x:v>[]</x:v>
      </x:c>
      <x:c r="J53" s="38" t="str">
        <x:v>[]</x:v>
      </x:c>
      <x:c r="K53" s="38" t="str">
        <x:v>{"rule_id":"BDY-SF","area":"bodywork_code","source_fields":["body_code"],"source_terms":["SF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Mobilkran","effective_display_value":"Mobilkran","vehicle_scopes":[],"manufacturers":[],"has_draft":false,"change_note":null}</x:v>
      </x:c>
    </x:row>
    <x:row r="54" ht="18" customHeight="1">
      <x:c r="A54" s="36" t="str">
        <x:v>BDY-SG</x:v>
      </x:c>
      <x:c r="B54" s="36" t="str">
        <x:v>bodywork_code</x:v>
      </x:c>
      <x:c r="C54" s="38" t="str">
        <x:v>["body_code"]</x:v>
      </x:c>
      <x:c r="D54" s="38" t="str">
        <x:v>["SG"]</x:v>
      </x:c>
      <x:c r="E54" s="36" t="str">
        <x:v>bodywork_form</x:v>
      </x:c>
      <x:c r="F54" s="36"/>
      <x:c r="G54" s="36" t="str">
        <x:v>accepted</x:v>
      </x:c>
      <x:c r="H54" s="36" t="str">
        <x:v>Annat fordon avsett för särskilt ändamål</x:v>
      </x:c>
      <x:c r="I54" s="38" t="str">
        <x:v>[]</x:v>
      </x:c>
      <x:c r="J54" s="38" t="str">
        <x:v>[]</x:v>
      </x:c>
      <x:c r="K54" s="38" t="str">
        <x:v>{"rule_id":"BDY-SG","area":"bodywork_code","source_fields":["body_code"],"source_terms":["SG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Annat fordon avsett för särskilt ändamål","effective_display_value":"Annat fordon avsett för särskilt ändamål","vehicle_scopes":[],"manufacturers":[],"has_draft":false,"change_note":null}</x:v>
      </x:c>
    </x:row>
    <x:row r="55" ht="18" customHeight="1">
      <x:c r="A55" s="36" t="str">
        <x:v>BDY-SH</x:v>
      </x:c>
      <x:c r="B55" s="36" t="str">
        <x:v>bodywork_code</x:v>
      </x:c>
      <x:c r="C55" s="38" t="str">
        <x:v>["body_code"]</x:v>
      </x:c>
      <x:c r="D55" s="38" t="str">
        <x:v>["SH"]</x:v>
      </x:c>
      <x:c r="E55" s="36" t="str">
        <x:v>bodywork_form</x:v>
      </x:c>
      <x:c r="F55" s="36"/>
      <x:c r="G55" s="36" t="str">
        <x:v>accepted</x:v>
      </x:c>
      <x:c r="H55" s="36" t="str">
        <x:v>Rullstolsanpassat fordon</x:v>
      </x:c>
      <x:c r="I55" s="38" t="str">
        <x:v>[]</x:v>
      </x:c>
      <x:c r="J55" s="38" t="str">
        <x:v>[]</x:v>
      </x:c>
      <x:c r="K55" s="38" t="str">
        <x:v>{"rule_id":"BDY-SH","area":"bodywork_code","source_fields":["body_code"],"source_terms":["SH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Rullstolsanpassat fordon","effective_display_value":"Rullstolsanpassat fordon","vehicle_scopes":[],"manufacturers":[],"has_draft":false,"change_note":null}</x:v>
      </x:c>
    </x:row>
    <x:row r="56" ht="18" customHeight="1">
      <x:c r="A56" s="36" t="str">
        <x:v>BDY-SJ</x:v>
      </x:c>
      <x:c r="B56" s="36" t="str">
        <x:v>bodywork_code</x:v>
      </x:c>
      <x:c r="C56" s="38" t="str">
        <x:v>["body_code"]</x:v>
      </x:c>
      <x:c r="D56" s="38" t="str">
        <x:v>["SJ"]</x:v>
      </x:c>
      <x:c r="E56" s="36" t="str">
        <x:v>bodywork_form</x:v>
      </x:c>
      <x:c r="F56" s="36" t="str">
        <x:v>dolly</x:v>
      </x:c>
      <x:c r="G56" s="36" t="str">
        <x:v>accepted</x:v>
      </x:c>
      <x:c r="H56" s="36" t="str">
        <x:v>Dollyaxel</x:v>
      </x:c>
      <x:c r="I56" s="38" t="str">
        <x:v>[]</x:v>
      </x:c>
      <x:c r="J56" s="38" t="str">
        <x:v>[]</x:v>
      </x:c>
      <x:c r="K56" s="38" t="str">
        <x:v>{"rule_id":"BDY-SJ","area":"bodywork_code","source_fields":["body_code"],"source_terms":["SJ"],"canonical_field":"bodywork_form","base_canonical_value":"dolly","active_canonical_value":"dolly","effective_canonical_value":"doll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ollyaxel","effective_display_value":"Dollyaxel","vehicle_scopes":[],"manufacturers":[],"has_draft":false,"change_note":null}</x:v>
      </x:c>
    </x:row>
    <x:row r="57" ht="18" customHeight="1">
      <x:c r="A57" s="36" t="str">
        <x:v>BDY-SK</x:v>
      </x:c>
      <x:c r="B57" s="36" t="str">
        <x:v>bodywork_code</x:v>
      </x:c>
      <x:c r="C57" s="38" t="str">
        <x:v>["body_code"]</x:v>
      </x:c>
      <x:c r="D57" s="38" t="str">
        <x:v>["SK"]</x:v>
      </x:c>
      <x:c r="E57" s="36" t="str">
        <x:v>bodywork_form</x:v>
      </x:c>
      <x:c r="F57" s="36" t="str">
        <x:v>exceptional_load_trailer</x:v>
      </x:c>
      <x:c r="G57" s="36" t="str">
        <x:v>accepted</x:v>
      </x:c>
      <x:c r="H57" s="36" t="str">
        <x:v>Släpvagn för exceptionell last</x:v>
      </x:c>
      <x:c r="I57" s="38" t="str">
        <x:v>[]</x:v>
      </x:c>
      <x:c r="J57" s="38" t="str">
        <x:v>[]</x:v>
      </x:c>
      <x:c r="K57" s="38" t="str">
        <x:v>{"rule_id":"BDY-SK","area":"bodywork_code","source_fields":["body_code"],"source_terms":["SK"],"canonical_field":"bodywork_form","base_canonical_value":"exceptional_load_trailer","active_canonical_value":"exceptional_load_trailer","effective_canonical_value":"exceptional_load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för exceptionell last","effective_display_value":"Släpvagn för exceptionell last","vehicle_scopes":[],"manufacturers":[],"has_draft":false,"change_note":null}</x:v>
      </x:c>
    </x:row>
    <x:row r="58" ht="18" customHeight="1">
      <x:c r="A58" s="36" t="str">
        <x:v>BDY-SL</x:v>
      </x:c>
      <x:c r="B58" s="36" t="str">
        <x:v>bodywork_code</x:v>
      </x:c>
      <x:c r="C58" s="38" t="str">
        <x:v>["body_code"]</x:v>
      </x:c>
      <x:c r="D58" s="38" t="str">
        <x:v>["SL"]</x:v>
      </x:c>
      <x:c r="E58" s="36" t="str">
        <x:v>bodywork_form</x:v>
      </x:c>
      <x:c r="F58" s="36"/>
      <x:c r="G58" s="36" t="str">
        <x:v>accepted</x:v>
      </x:c>
      <x:c r="H58" s="36" t="str">
        <x:v>Motorfordon för exceptionell last</x:v>
      </x:c>
      <x:c r="I58" s="38" t="str">
        <x:v>[]</x:v>
      </x:c>
      <x:c r="J58" s="38" t="str">
        <x:v>[]</x:v>
      </x:c>
      <x:c r="K58" s="38" t="str">
        <x:v>{"rule_id":"BDY-SL","area":"bodywork_code","source_fields":["body_code"],"source_terms":["SL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Motorfordon för exceptionell last","effective_display_value":"Motorfordon för exceptionell last","vehicle_scopes":[],"manufacturers":[],"has_draft":false,"change_note":null}</x:v>
      </x:c>
    </x:row>
    <x:row r="59" ht="18" customHeight="1">
      <x:c r="A59" s="36" t="str">
        <x:v>BDY-SM</x:v>
      </x:c>
      <x:c r="B59" s="36" t="str">
        <x:v>bodywork_code</x:v>
      </x:c>
      <x:c r="C59" s="38" t="str">
        <x:v>["body_code"]</x:v>
      </x:c>
      <x:c r="D59" s="38" t="str">
        <x:v>["SM"]</x:v>
      </x:c>
      <x:c r="E59" s="36" t="str">
        <x:v>bodywork_form</x:v>
      </x:c>
      <x:c r="F59" s="36"/>
      <x:c r="G59" s="36" t="str">
        <x:v>accepted</x:v>
      </x:c>
      <x:c r="H59" s="36" t="str">
        <x:v>Redskapsbärare</x:v>
      </x:c>
      <x:c r="I59" s="38" t="str">
        <x:v>[]</x:v>
      </x:c>
      <x:c r="J59" s="38" t="str">
        <x:v>[]</x:v>
      </x:c>
      <x:c r="K59" s="38" t="str">
        <x:v>{"rule_id":"BDY-SM","area":"bodywork_code","source_fields":["body_code"],"source_terms":["SM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Redskapsbärare","effective_display_value":"Redskapsbärare","vehicle_scopes":[],"manufacturers":[],"has_draft":false,"change_note":null}</x:v>
      </x:c>
    </x:row>
    <x:row r="60" ht="18" customHeight="1">
      <x:c r="A60" s="36" t="str">
        <x:v>ELEC-001</x:v>
      </x:c>
      <x:c r="B60" s="36" t="str">
        <x:v>electrification</x:v>
      </x:c>
      <x:c r="C60" s="38" t="str">
        <x:v>["ev_config"]</x:v>
      </x:c>
      <x:c r="D60" s="38" t="str">
        <x:v>["EL"]</x:v>
      </x:c>
      <x:c r="E60" s="36" t="str">
        <x:v>electrification_type</x:v>
      </x:c>
      <x:c r="F60" s="36" t="str">
        <x:v>battery_electric</x:v>
      </x:c>
      <x:c r="G60" s="36" t="str">
        <x:v>accepted</x:v>
      </x:c>
      <x:c r="H60" s="36"/>
      <x:c r="I60" s="38" t="str">
        <x:v>[]</x:v>
      </x:c>
      <x:c r="J60" s="38" t="str">
        <x:v>[]</x:v>
      </x:c>
      <x:c r="K60" s="38" t="str">
        <x:v>{"rule_id":"ELEC-001","area":"electrification","source_fields":["ev_config"],"source_terms":["EL"],"canonical_field":"electrification_type","base_canonical_value":"battery_electric","active_canonical_value":"battery_electric","effective_canonical_value":"battery_electric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1" ht="18" customHeight="1">
      <x:c r="A61" s="36" t="str">
        <x:v>ELEC-002</x:v>
      </x:c>
      <x:c r="B61" s="36" t="str">
        <x:v>electrification</x:v>
      </x:c>
      <x:c r="C61" s="38" t="str">
        <x:v>["ev_config"]</x:v>
      </x:c>
      <x:c r="D61" s="38" t="str">
        <x:v>["ELHYBRID"]</x:v>
      </x:c>
      <x:c r="E61" s="36" t="str">
        <x:v>electrification_type</x:v>
      </x:c>
      <x:c r="F61" s="36" t="str">
        <x:v>hybrid</x:v>
      </x:c>
      <x:c r="G61" s="36" t="str">
        <x:v>accepted</x:v>
      </x:c>
      <x:c r="H61" s="36"/>
      <x:c r="I61" s="38" t="str">
        <x:v>[]</x:v>
      </x:c>
      <x:c r="J61" s="38" t="str">
        <x:v>[]</x:v>
      </x:c>
      <x:c r="K61" s="38" t="str">
        <x:v>{"rule_id":"ELEC-002","area":"electrification","source_fields":["ev_config"],"source_terms":["ELHYBRID"],"canonical_field":"electrification_type","base_canonical_value":"hybrid","active_canonical_value":"hybrid","effective_canonical_value":"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2" ht="18" customHeight="1">
      <x:c r="A62" s="36" t="str">
        <x:v>ELEC-003</x:v>
      </x:c>
      <x:c r="B62" s="36" t="str">
        <x:v>electrification</x:v>
      </x:c>
      <x:c r="C62" s="38" t="str">
        <x:v>["ev_config"]</x:v>
      </x:c>
      <x:c r="D62" s="38" t="str">
        <x:v>["LADDHYBRID"]</x:v>
      </x:c>
      <x:c r="E62" s="36" t="str">
        <x:v>electrification_type</x:v>
      </x:c>
      <x:c r="F62" s="36" t="str">
        <x:v>plug_in_hybrid</x:v>
      </x:c>
      <x:c r="G62" s="36" t="str">
        <x:v>accepted</x:v>
      </x:c>
      <x:c r="H62" s="36"/>
      <x:c r="I62" s="38" t="str">
        <x:v>[]</x:v>
      </x:c>
      <x:c r="J62" s="38" t="str">
        <x:v>[]</x:v>
      </x:c>
      <x:c r="K62" s="38" t="str">
        <x:v>{"rule_id":"ELEC-003","area":"electrification","source_fields":["ev_config"],"source_terms":["LADDHYBRID"],"canonical_field":"electrification_type","base_canonical_value":"plug_in_hybrid","active_canonical_value":"plug_in_hybrid","effective_canonical_value":"plug_in_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3" ht="18" customHeight="1">
      <x:c r="A63" s="36" t="str">
        <x:v>ELEC-004</x:v>
      </x:c>
      <x:c r="B63" s="36" t="str">
        <x:v>electrification</x:v>
      </x:c>
      <x:c r="C63" s="38" t="str">
        <x:v>["ev_config"]</x:v>
      </x:c>
      <x:c r="D63" s="38" t="str">
        <x:v>["ELHYBRID BRÄNSLECELL","LADDHYBRID BRÄNSLECELL"]</x:v>
      </x:c>
      <x:c r="E63" s="36" t="str">
        <x:v>electrification_type</x:v>
      </x:c>
      <x:c r="F63" s="36" t="str">
        <x:v>fuel_cell_hybrid</x:v>
      </x:c>
      <x:c r="G63" s="36" t="str">
        <x:v>accepted</x:v>
      </x:c>
      <x:c r="H63" s="36"/>
      <x:c r="I63" s="38" t="str">
        <x:v>[]</x:v>
      </x:c>
      <x:c r="J63" s="38" t="str">
        <x:v>[]</x:v>
      </x:c>
      <x:c r="K63" s="38" t="str">
        <x:v>{"rule_id":"ELEC-004","area":"electrification","source_fields":["ev_config"],"source_terms":["ELHYBRID BRÄNSLECELL","LADDHYBRID BRÄNSLECELL"],"canonical_field":"electrification_type","base_canonical_value":"fuel_cell_hybrid","active_canonical_value":"fuel_cell_hybrid","effective_canonical_value":"fuel_cell_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4" ht="18" customHeight="1">
      <x:c r="A64" s="36" t="str">
        <x:v>ELEC-005</x:v>
      </x:c>
      <x:c r="B64" s="36" t="str">
        <x:v>electrification_marketing</x:v>
      </x:c>
      <x:c r="C64" s="38" t="str">
        <x:v>["model","variant","version","type"]</x:v>
      </x:c>
      <x:c r="D64" s="38" t="str">
        <x:v>["MHEV","Mild Hybrid","48V","eTSI","EQ Boost"]</x:v>
      </x:c>
      <x:c r="E64" s="36" t="str">
        <x:v>electrification_type</x:v>
      </x:c>
      <x:c r="F64" s="36" t="str">
        <x:v>hybrid</x:v>
      </x:c>
      <x:c r="G64" s="36" t="str">
        <x:v>accepted</x:v>
      </x:c>
      <x:c r="H64" s="36"/>
      <x:c r="I64" s="38" t="str">
        <x:v>[]</x:v>
      </x:c>
      <x:c r="J64" s="38" t="str">
        <x:v>["*"]</x:v>
      </x:c>
      <x:c r="K64" s="38" t="str">
        <x:v>{"rule_id":"ELEC-005","area":"electrification_marketing","source_fields":["model","variant","version","type"],"source_terms":["MHEV","Mild Hybrid","48V","eTSI","EQ Boost"],"canonical_field":"electrification_type","base_canonical_value":"hybrid","active_canonical_value":"hybrid","effective_canonical_value":"hybrid","canonical_options":["battery_electric","fuel_cell_hybrid","hybrid","plug_in_hybrid"],"active_decision":"accepted","effective_decision":"accepted","active_display_value":null,"effective_display_value":null,"vehicle_scopes":[],"manufacturers":["*"],"has_draft":false,"change_note":null}</x:v>
      </x:c>
    </x:row>
    <x:row r="65" ht="18" customHeight="1">
      <x:c r="A65" s="36" t="str">
        <x:v>FCOM-B</x:v>
      </x:c>
      <x:c r="B65" s="36" t="str">
        <x:v>fuel_combination</x:v>
      </x:c>
      <x:c r="C65" s="38" t="str">
        <x:v>["fuel_combo"]</x:v>
      </x:c>
      <x:c r="D65" s="38" t="str">
        <x:v>["B"]</x:v>
      </x:c>
      <x:c r="E65" s="36" t="str">
        <x:v>fuel_combination</x:v>
      </x:c>
      <x:c r="F65" s="36" t="str">
        <x:v>bi_fuel</x:v>
      </x:c>
      <x:c r="G65" s="36" t="str">
        <x:v>accepted</x:v>
      </x:c>
      <x:c r="H65" s="36"/>
      <x:c r="I65" s="38" t="str">
        <x:v>[]</x:v>
      </x:c>
      <x:c r="J65" s="38" t="str">
        <x:v>[]</x:v>
      </x:c>
      <x:c r="K65" s="38" t="str">
        <x:v>{"rule_id":"FCOM-B","area":"fuel_combination","source_fields":["fuel_combo"],"source_terms":["B"],"canonical_field":"fuel_combination","base_canonical_value":"bi_fuel","active_canonical_value":"bi_fuel","effective_canonical_value":"bi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6" ht="18" customHeight="1">
      <x:c r="A66" s="36" t="str">
        <x:v>FCOM-D</x:v>
      </x:c>
      <x:c r="B66" s="36" t="str">
        <x:v>fuel_combination</x:v>
      </x:c>
      <x:c r="C66" s="38" t="str">
        <x:v>["fuel_combo"]</x:v>
      </x:c>
      <x:c r="D66" s="38" t="str">
        <x:v>["D"]</x:v>
      </x:c>
      <x:c r="E66" s="36" t="str">
        <x:v>fuel_combination</x:v>
      </x:c>
      <x:c r="F66" s="36" t="str">
        <x:v>dual_fuel</x:v>
      </x:c>
      <x:c r="G66" s="36" t="str">
        <x:v>accepted</x:v>
      </x:c>
      <x:c r="H66" s="36"/>
      <x:c r="I66" s="38" t="str">
        <x:v>[]</x:v>
      </x:c>
      <x:c r="J66" s="38" t="str">
        <x:v>[]</x:v>
      </x:c>
      <x:c r="K66" s="38" t="str">
        <x:v>{"rule_id":"FCOM-D","area":"fuel_combination","source_fields":["fuel_combo"],"source_terms":["D"],"canonical_field":"fuel_combination","base_canonical_value":"dual_fuel","active_canonical_value":"dual_fuel","effective_canonical_value":"dual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7" ht="18" customHeight="1">
      <x:c r="A67" s="36" t="str">
        <x:v>FCOM-F</x:v>
      </x:c>
      <x:c r="B67" s="36" t="str">
        <x:v>fuel_combination</x:v>
      </x:c>
      <x:c r="C67" s="38" t="str">
        <x:v>["fuel_combo"]</x:v>
      </x:c>
      <x:c r="D67" s="38" t="str">
        <x:v>["F"]</x:v>
      </x:c>
      <x:c r="E67" s="36" t="str">
        <x:v>fuel_combination</x:v>
      </x:c>
      <x:c r="F67" s="36" t="str">
        <x:v>flex_fuel</x:v>
      </x:c>
      <x:c r="G67" s="36" t="str">
        <x:v>accepted</x:v>
      </x:c>
      <x:c r="H67" s="36"/>
      <x:c r="I67" s="38" t="str">
        <x:v>[]</x:v>
      </x:c>
      <x:c r="J67" s="38" t="str">
        <x:v>[]</x:v>
      </x:c>
      <x:c r="K67" s="38" t="str">
        <x:v>{"rule_id":"FCOM-F","area":"fuel_combination","source_fields":["fuel_combo"],"source_terms":["F"],"canonical_field":"fuel_combination","base_canonical_value":"flex_fuel","active_canonical_value":"flex_fuel","effective_canonical_value":"flex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8" ht="18" customHeight="1">
      <x:c r="A68" s="36" t="str">
        <x:v>FCOM-T</x:v>
      </x:c>
      <x:c r="B68" s="36" t="str">
        <x:v>fuel_combination</x:v>
      </x:c>
      <x:c r="C68" s="38" t="str">
        <x:v>["fuel_combo"]</x:v>
      </x:c>
      <x:c r="D68" s="38" t="str">
        <x:v>["T"]</x:v>
      </x:c>
      <x:c r="E68" s="36" t="str">
        <x:v>fuel_combination</x:v>
      </x:c>
      <x:c r="F68" s="36" t="str">
        <x:v>tri_fuel</x:v>
      </x:c>
      <x:c r="G68" s="36" t="str">
        <x:v>accepted</x:v>
      </x:c>
      <x:c r="H68" s="36"/>
      <x:c r="I68" s="38" t="str">
        <x:v>[]</x:v>
      </x:c>
      <x:c r="J68" s="38" t="str">
        <x:v>[]</x:v>
      </x:c>
      <x:c r="K68" s="38" t="str">
        <x:v>{"rule_id":"FCOM-T","area":"fuel_combination","source_fields":["fuel_combo"],"source_terms":["T"],"canonical_field":"fuel_combination","base_canonical_value":"tri_fuel","active_canonical_value":"tri_fuel","effective_canonical_value":"tri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9" ht="18" customHeight="1">
      <x:c r="A69" s="36" t="str">
        <x:v>FUEL-000</x:v>
      </x:c>
      <x:c r="B69" s="36" t="str">
        <x:v>fuel_carrier</x:v>
      </x:c>
      <x:c r="C69" s="38" t="str">
        <x:v>["fuel1","fuel2","fuel3"]</x:v>
      </x:c>
      <x:c r="D69" s="38" t="str">
        <x:v>["0",""]</x:v>
      </x:c>
      <x:c r="E69" s="36" t="str">
        <x:v>energy_sources</x:v>
      </x:c>
      <x:c r="F69" s="36"/>
      <x:c r="G69" s="36" t="str">
        <x:v>proposed</x:v>
      </x:c>
      <x:c r="H69" s="36"/>
      <x:c r="I69" s="38" t="str">
        <x:v>[]</x:v>
      </x:c>
      <x:c r="J69" s="38" t="str">
        <x:v>[]</x:v>
      </x:c>
      <x:c r="K69" s="38" t="str">
        <x:v>{"rule_id":"FUEL-000","area":"fuel_carrier","source_fields":["fuel1","fuel2","fuel3"],"source_terms":["0",""],"canonical_field":"energy_sources","base_canonical_value":null,"active_canonical_value":null,"effective_canonical_value":null,"canonical_options":["cng","diesel","e85","electricity","ethanol","gengas","hydrogen","kerosene","lng","lpg","methane","methanol","other","paraffin_oil","petrol","renewable_cng","rme"],"active_decision":"proposed","effective_decision":"proposed","active_display_value":null,"effective_display_value":null,"vehicle_scopes":[],"manufacturers":[],"has_draft":false,"change_note":null}</x:v>
      </x:c>
    </x:row>
    <x:row r="70" ht="18" customHeight="1">
      <x:c r="A70" s="36" t="str">
        <x:v>FUEL-001</x:v>
      </x:c>
      <x:c r="B70" s="36" t="str">
        <x:v>fuel_carrier</x:v>
      </x:c>
      <x:c r="C70" s="38" t="str">
        <x:v>["fuel1","fuel2","fuel3"]</x:v>
      </x:c>
      <x:c r="D70" s="38" t="str">
        <x:v>["1","B"]</x:v>
      </x:c>
      <x:c r="E70" s="36" t="str">
        <x:v>energy_sources</x:v>
      </x:c>
      <x:c r="F70" s="36" t="str">
        <x:v>petrol</x:v>
      </x:c>
      <x:c r="G70" s="36" t="str">
        <x:v>accepted</x:v>
      </x:c>
      <x:c r="H70" s="36"/>
      <x:c r="I70" s="38" t="str">
        <x:v>[]</x:v>
      </x:c>
      <x:c r="J70" s="38" t="str">
        <x:v>[]</x:v>
      </x:c>
      <x:c r="K70" s="38" t="str">
        <x:v>{"rule_id":"FUEL-001","area":"fuel_carrier","source_fields":["fuel1","fuel2","fuel3"],"source_terms":["1","B"],"canonical_field":"energy_sources","base_canonical_value":"petrol","active_canonical_value":"petrol","effective_canonical_value":"petr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1" ht="18" customHeight="1">
      <x:c r="A71" s="36" t="str">
        <x:v>FUEL-002</x:v>
      </x:c>
      <x:c r="B71" s="36" t="str">
        <x:v>fuel_carrier</x:v>
      </x:c>
      <x:c r="C71" s="38" t="str">
        <x:v>["fuel1","fuel2","fuel3"]</x:v>
      </x:c>
      <x:c r="D71" s="38" t="str">
        <x:v>["2","D"]</x:v>
      </x:c>
      <x:c r="E71" s="36" t="str">
        <x:v>energy_sources</x:v>
      </x:c>
      <x:c r="F71" s="36" t="str">
        <x:v>diesel</x:v>
      </x:c>
      <x:c r="G71" s="36" t="str">
        <x:v>accepted</x:v>
      </x:c>
      <x:c r="H71" s="36"/>
      <x:c r="I71" s="38" t="str">
        <x:v>[]</x:v>
      </x:c>
      <x:c r="J71" s="38" t="str">
        <x:v>[]</x:v>
      </x:c>
      <x:c r="K71" s="38" t="str">
        <x:v>{"rule_id":"FUEL-002","area":"fuel_carrier","source_fields":["fuel1","fuel2","fuel3"],"source_terms":["2","D"],"canonical_field":"energy_sources","base_canonical_value":"diesel","active_canonical_value":"diesel","effective_canonical_value":"diese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2" ht="18" customHeight="1">
      <x:c r="A72" s="36" t="str">
        <x:v>FUEL-003</x:v>
      </x:c>
      <x:c r="B72" s="36" t="str">
        <x:v>fuel_carrier</x:v>
      </x:c>
      <x:c r="C72" s="38" t="str">
        <x:v>["fuel1","fuel2","fuel3"]</x:v>
      </x:c>
      <x:c r="D72" s="38" t="str">
        <x:v>["3","E","EL"]</x:v>
      </x:c>
      <x:c r="E72" s="36" t="str">
        <x:v>energy_sources</x:v>
      </x:c>
      <x:c r="F72" s="36" t="str">
        <x:v>electricity</x:v>
      </x:c>
      <x:c r="G72" s="36" t="str">
        <x:v>accepted</x:v>
      </x:c>
      <x:c r="H72" s="36" t="str">
        <x:v>EV / Electric / El</x:v>
      </x:c>
      <x:c r="I72" s="38" t="str">
        <x:v>[]</x:v>
      </x:c>
      <x:c r="J72" s="38" t="str">
        <x:v>[]</x:v>
      </x:c>
      <x:c r="K72" s="38" t="str">
        <x:v>{"rule_id":"FUEL-003","area":"fuel_carrier","source_fields":["fuel1","fuel2","fuel3"],"source_terms":["3","E","EL"],"canonical_field":"energy_sources","base_canonical_value":"electricity","active_canonical_value":"electricity","effective_canonical_value":"electricity","canonical_options":["cng","diesel","e85","electricity","ethanol","gengas","hydrogen","kerosene","lng","lpg","methane","methanol","other","paraffin_oil","petrol","renewable_cng","rme"],"active_decision":"accepted","effective_decision":"accepted","active_display_value":"EV / Electric / El","effective_display_value":"EV / Electric / El","vehicle_scopes":[],"manufacturers":[],"has_draft":false,"change_note":null}</x:v>
      </x:c>
    </x:row>
    <x:row r="73" ht="18" customHeight="1">
      <x:c r="A73" s="36" t="str">
        <x:v>FUEL-004</x:v>
      </x:c>
      <x:c r="B73" s="36" t="str">
        <x:v>fuel_carrier</x:v>
      </x:c>
      <x:c r="C73" s="38" t="str">
        <x:v>["fuel1","fuel2","fuel3"]</x:v>
      </x:c>
      <x:c r="D73" s="38" t="str">
        <x:v>["4"]</x:v>
      </x:c>
      <x:c r="E73" s="36" t="str">
        <x:v>energy_sources</x:v>
      </x:c>
      <x:c r="F73" s="36" t="str">
        <x:v>kerosene</x:v>
      </x:c>
      <x:c r="G73" s="36" t="str">
        <x:v>accepted</x:v>
      </x:c>
      <x:c r="H73" s="36"/>
      <x:c r="I73" s="38" t="str">
        <x:v>[]</x:v>
      </x:c>
      <x:c r="J73" s="38" t="str">
        <x:v>[]</x:v>
      </x:c>
      <x:c r="K73" s="38" t="str">
        <x:v>{"rule_id":"FUEL-004","area":"fuel_carrier","source_fields":["fuel1","fuel2","fuel3"],"source_terms":["4"],"canonical_field":"energy_sources","base_canonical_value":"kerosene","active_canonical_value":"kerosene","effective_canonical_value":"kerosen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4" ht="18" customHeight="1">
      <x:c r="A74" s="36" t="str">
        <x:v>FUEL-005</x:v>
      </x:c>
      <x:c r="B74" s="36" t="str">
        <x:v>fuel_carrier</x:v>
      </x:c>
      <x:c r="C74" s="38" t="str">
        <x:v>["fuel1","fuel2","fuel3"]</x:v>
      </x:c>
      <x:c r="D74" s="38" t="str">
        <x:v>["5"]</x:v>
      </x:c>
      <x:c r="E74" s="36" t="str">
        <x:v>energy_sources</x:v>
      </x:c>
      <x:c r="F74" s="36" t="str">
        <x:v>lpg</x:v>
      </x:c>
      <x:c r="G74" s="36" t="str">
        <x:v>accepted</x:v>
      </x:c>
      <x:c r="H74" s="36"/>
      <x:c r="I74" s="38" t="str">
        <x:v>[]</x:v>
      </x:c>
      <x:c r="J74" s="38" t="str">
        <x:v>[]</x:v>
      </x:c>
      <x:c r="K74" s="38" t="str">
        <x:v>{"rule_id":"FUEL-005","area":"fuel_carrier","source_fields":["fuel1","fuel2","fuel3"],"source_terms":["5"],"canonical_field":"energy_sources","base_canonical_value":"lpg","active_canonical_value":"lpg","effective_canonical_value":"lp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5" ht="18" customHeight="1">
      <x:c r="A75" s="36" t="str">
        <x:v>FUEL-006</x:v>
      </x:c>
      <x:c r="B75" s="36" t="str">
        <x:v>fuel_carrier</x:v>
      </x:c>
      <x:c r="C75" s="38" t="str">
        <x:v>["fuel1","fuel2","fuel3"]</x:v>
      </x:c>
      <x:c r="D75" s="38" t="str">
        <x:v>["6"]</x:v>
      </x:c>
      <x:c r="E75" s="36" t="str">
        <x:v>energy_sources</x:v>
      </x:c>
      <x:c r="F75" s="36" t="str">
        <x:v>gengas</x:v>
      </x:c>
      <x:c r="G75" s="36" t="str">
        <x:v>accepted</x:v>
      </x:c>
      <x:c r="H75" s="36"/>
      <x:c r="I75" s="38" t="str">
        <x:v>[]</x:v>
      </x:c>
      <x:c r="J75" s="38" t="str">
        <x:v>[]</x:v>
      </x:c>
      <x:c r="K75" s="38" t="str">
        <x:v>{"rule_id":"FUEL-006","area":"fuel_carrier","source_fields":["fuel1","fuel2","fuel3"],"source_terms":["6"],"canonical_field":"energy_sources","base_canonical_value":"gengas","active_canonical_value":"gengas","effective_canonical_value":"gengas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6" ht="18" customHeight="1">
      <x:c r="A76" s="36" t="str">
        <x:v>FUEL-007</x:v>
      </x:c>
      <x:c r="B76" s="36" t="str">
        <x:v>fuel_carrier</x:v>
      </x:c>
      <x:c r="C76" s="38" t="str">
        <x:v>["fuel1","fuel2","fuel3"]</x:v>
      </x:c>
      <x:c r="D76" s="38" t="str">
        <x:v>["7"]</x:v>
      </x:c>
      <x:c r="E76" s="36" t="str">
        <x:v>energy_sources</x:v>
      </x:c>
      <x:c r="F76" s="36" t="str">
        <x:v>ethanol</x:v>
      </x:c>
      <x:c r="G76" s="36" t="str">
        <x:v>accepted</x:v>
      </x:c>
      <x:c r="H76" s="36"/>
      <x:c r="I76" s="38" t="str">
        <x:v>[]</x:v>
      </x:c>
      <x:c r="J76" s="38" t="str">
        <x:v>[]</x:v>
      </x:c>
      <x:c r="K76" s="38" t="str">
        <x:v>{"rule_id":"FUEL-007","area":"fuel_carrier","source_fields":["fuel1","fuel2","fuel3"],"source_terms":["7"],"canonical_field":"energy_sources","base_canonical_value":"ethanol","active_canonical_value":"ethanol","effective_canonical_value":"ethan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7" ht="18" customHeight="1">
      <x:c r="A77" s="36" t="str">
        <x:v>FUEL-008</x:v>
      </x:c>
      <x:c r="B77" s="36" t="str">
        <x:v>fuel_carrier</x:v>
      </x:c>
      <x:c r="C77" s="38" t="str">
        <x:v>["fuel1","fuel2","fuel3"]</x:v>
      </x:c>
      <x:c r="D77" s="38" t="str">
        <x:v>["8"]</x:v>
      </x:c>
      <x:c r="E77" s="36" t="str">
        <x:v>energy_sources</x:v>
      </x:c>
      <x:c r="F77" s="36" t="str">
        <x:v>methanol</x:v>
      </x:c>
      <x:c r="G77" s="36" t="str">
        <x:v>accepted</x:v>
      </x:c>
      <x:c r="H77" s="36"/>
      <x:c r="I77" s="38" t="str">
        <x:v>[]</x:v>
      </x:c>
      <x:c r="J77" s="38" t="str">
        <x:v>[]</x:v>
      </x:c>
      <x:c r="K77" s="38" t="str">
        <x:v>{"rule_id":"FUEL-008","area":"fuel_carrier","source_fields":["fuel1","fuel2","fuel3"],"source_terms":["8"],"canonical_field":"energy_sources","base_canonical_value":"methanol","active_canonical_value":"methanol","effective_canonical_value":"methan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8" ht="18" customHeight="1">
      <x:c r="A78" s="36" t="str">
        <x:v>FUEL-009</x:v>
      </x:c>
      <x:c r="B78" s="36" t="str">
        <x:v>fuel_carrier</x:v>
      </x:c>
      <x:c r="C78" s="38" t="str">
        <x:v>["fuel1","fuel2","fuel3"]</x:v>
      </x:c>
      <x:c r="D78" s="38" t="str">
        <x:v>["9"]</x:v>
      </x:c>
      <x:c r="E78" s="36" t="str">
        <x:v>energy_sources</x:v>
      </x:c>
      <x:c r="F78" s="36" t="str">
        <x:v>cng</x:v>
      </x:c>
      <x:c r="G78" s="36" t="str">
        <x:v>accepted</x:v>
      </x:c>
      <x:c r="H78" s="36"/>
      <x:c r="I78" s="38" t="str">
        <x:v>[]</x:v>
      </x:c>
      <x:c r="J78" s="38" t="str">
        <x:v>[]</x:v>
      </x:c>
      <x:c r="K78" s="38" t="str">
        <x:v>{"rule_id":"FUEL-009","area":"fuel_carrier","source_fields":["fuel1","fuel2","fuel3"],"source_terms":["9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9" ht="18" customHeight="1">
      <x:c r="A79" s="36" t="str">
        <x:v>FUEL-010</x:v>
      </x:c>
      <x:c r="B79" s="36" t="str">
        <x:v>fuel_carrier</x:v>
      </x:c>
      <x:c r="C79" s="38" t="str">
        <x:v>["fuel1","fuel2","fuel3"]</x:v>
      </x:c>
      <x:c r="D79" s="38" t="str">
        <x:v>["10"]</x:v>
      </x:c>
      <x:c r="E79" s="36" t="str">
        <x:v>energy_sources</x:v>
      </x:c>
      <x:c r="F79" s="36" t="str">
        <x:v>rme</x:v>
      </x:c>
      <x:c r="G79" s="36" t="str">
        <x:v>accepted</x:v>
      </x:c>
      <x:c r="H79" s="36"/>
      <x:c r="I79" s="38" t="str">
        <x:v>[]</x:v>
      </x:c>
      <x:c r="J79" s="38" t="str">
        <x:v>[]</x:v>
      </x:c>
      <x:c r="K79" s="38" t="str">
        <x:v>{"rule_id":"FUEL-010","area":"fuel_carrier","source_fields":["fuel1","fuel2","fuel3"],"source_terms":["10"],"canonical_field":"energy_sources","base_canonical_value":"rme","active_canonical_value":"rme","effective_canonical_value":"rm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0" ht="18" customHeight="1">
      <x:c r="A80" s="36" t="str">
        <x:v>FUEL-011</x:v>
      </x:c>
      <x:c r="B80" s="36" t="str">
        <x:v>fuel_carrier</x:v>
      </x:c>
      <x:c r="C80" s="38" t="str">
        <x:v>["fuel1","fuel2","fuel3"]</x:v>
      </x:c>
      <x:c r="D80" s="38" t="str">
        <x:v>["11"]</x:v>
      </x:c>
      <x:c r="E80" s="36" t="str">
        <x:v>energy_sources</x:v>
      </x:c>
      <x:c r="F80" s="36" t="str">
        <x:v>paraffin_oil</x:v>
      </x:c>
      <x:c r="G80" s="36" t="str">
        <x:v>accepted</x:v>
      </x:c>
      <x:c r="H80" s="36"/>
      <x:c r="I80" s="38" t="str">
        <x:v>[]</x:v>
      </x:c>
      <x:c r="J80" s="38" t="str">
        <x:v>[]</x:v>
      </x:c>
      <x:c r="K80" s="38" t="str">
        <x:v>{"rule_id":"FUEL-011","area":"fuel_carrier","source_fields":["fuel1","fuel2","fuel3"],"source_terms":["11"],"canonical_field":"energy_sources","base_canonical_value":"paraffin_oil","active_canonical_value":"paraffin_oil","effective_canonical_value":"paraffin_oi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1" ht="18" customHeight="1">
      <x:c r="A81" s="36" t="str">
        <x:v>FUEL-012</x:v>
      </x:c>
      <x:c r="B81" s="36" t="str">
        <x:v>fuel_carrier</x:v>
      </x:c>
      <x:c r="C81" s="38" t="str">
        <x:v>["fuel1","fuel2","fuel3"]</x:v>
      </x:c>
      <x:c r="D81" s="38" t="str">
        <x:v>["12"]</x:v>
      </x:c>
      <x:c r="E81" s="36" t="str">
        <x:v>energy_sources</x:v>
      </x:c>
      <x:c r="F81" s="36" t="str">
        <x:v>cng</x:v>
      </x:c>
      <x:c r="G81" s="36" t="str">
        <x:v>accepted</x:v>
      </x:c>
      <x:c r="H81" s="36"/>
      <x:c r="I81" s="38" t="str">
        <x:v>[]</x:v>
      </x:c>
      <x:c r="J81" s="38" t="str">
        <x:v>[]</x:v>
      </x:c>
      <x:c r="K81" s="38" t="str">
        <x:v>{"rule_id":"FUEL-012","area":"fuel_carrier","source_fields":["fuel1","fuel2","fuel3"],"source_terms":["12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2" ht="18" customHeight="1">
      <x:c r="A82" s="36" t="str">
        <x:v>FUEL-013</x:v>
      </x:c>
      <x:c r="B82" s="36" t="str">
        <x:v>fuel_carrier</x:v>
      </x:c>
      <x:c r="C82" s="38" t="str">
        <x:v>["fuel1","fuel2","fuel3"]</x:v>
      </x:c>
      <x:c r="D82" s="38" t="str">
        <x:v>["13"]</x:v>
      </x:c>
      <x:c r="E82" s="36" t="str">
        <x:v>energy_sources</x:v>
      </x:c>
      <x:c r="F82" s="36" t="str">
        <x:v>renewable_cng</x:v>
      </x:c>
      <x:c r="G82" s="36" t="str">
        <x:v>accepted</x:v>
      </x:c>
      <x:c r="H82" s="36" t="str">
        <x:v>rCNG / Renewable CNG</x:v>
      </x:c>
      <x:c r="I82" s="38" t="str">
        <x:v>[]</x:v>
      </x:c>
      <x:c r="J82" s="38" t="str">
        <x:v>[]</x:v>
      </x:c>
      <x:c r="K82" s="38" t="str">
        <x:v>{"rule_id":"FUEL-013","area":"fuel_carrier","source_fields":["fuel1","fuel2","fuel3"],"source_terms":["13"],"canonical_field":"energy_sources","base_canonical_value":"renewable_cng","active_canonical_value":"renewable_cng","effective_canonical_value":"renewable_cng","canonical_options":["cng","diesel","e85","electricity","ethanol","gengas","hydrogen","kerosene","lng","lpg","methane","methanol","other","paraffin_oil","petrol","renewable_cng","rme"],"active_decision":"accepted","effective_decision":"accepted","active_display_value":"rCNG / Renewable CNG","effective_display_value":"rCNG / Renewable CNG","vehicle_scopes":[],"manufacturers":[],"has_draft":false,"change_note":null}</x:v>
      </x:c>
    </x:row>
    <x:row r="83" ht="18" customHeight="1">
      <x:c r="A83" s="36" t="str">
        <x:v>FUEL-014</x:v>
      </x:c>
      <x:c r="B83" s="36" t="str">
        <x:v>fuel_carrier</x:v>
      </x:c>
      <x:c r="C83" s="38" t="str">
        <x:v>["fuel1","fuel2","fuel3"]</x:v>
      </x:c>
      <x:c r="D83" s="38" t="str">
        <x:v>["14"]</x:v>
      </x:c>
      <x:c r="E83" s="36" t="str">
        <x:v>energy_sources</x:v>
      </x:c>
      <x:c r="F83" s="36" t="str">
        <x:v>e85</x:v>
      </x:c>
      <x:c r="G83" s="36" t="str">
        <x:v>accepted</x:v>
      </x:c>
      <x:c r="H83" s="36"/>
      <x:c r="I83" s="38" t="str">
        <x:v>[]</x:v>
      </x:c>
      <x:c r="J83" s="38" t="str">
        <x:v>[]</x:v>
      </x:c>
      <x:c r="K83" s="38" t="str">
        <x:v>{"rule_id":"FUEL-014","area":"fuel_carrier","source_fields":["fuel1","fuel2","fuel3"],"source_terms":["14"],"canonical_field":"energy_sources","base_canonical_value":"e85","active_canonical_value":"e85","effective_canonical_value":"e85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4" ht="18" customHeight="1">
      <x:c r="A84" s="36" t="str">
        <x:v>FUEL-015</x:v>
      </x:c>
      <x:c r="B84" s="36" t="str">
        <x:v>fuel_carrier</x:v>
      </x:c>
      <x:c r="C84" s="38" t="str">
        <x:v>["fuel1","fuel2","fuel3"]</x:v>
      </x:c>
      <x:c r="D84" s="38" t="str">
        <x:v>["15"]</x:v>
      </x:c>
      <x:c r="E84" s="36" t="str">
        <x:v>energy_sources</x:v>
      </x:c>
      <x:c r="F84" s="36" t="str">
        <x:v>rme</x:v>
      </x:c>
      <x:c r="G84" s="36" t="str">
        <x:v>accepted</x:v>
      </x:c>
      <x:c r="H84" s="36"/>
      <x:c r="I84" s="38" t="str">
        <x:v>[]</x:v>
      </x:c>
      <x:c r="J84" s="38" t="str">
        <x:v>[]</x:v>
      </x:c>
      <x:c r="K84" s="38" t="str">
        <x:v>{"rule_id":"FUEL-015","area":"fuel_carrier","source_fields":["fuel1","fuel2","fuel3"],"source_terms":["15"],"canonical_field":"energy_sources","base_canonical_value":"rme","active_canonical_value":"rme","effective_canonical_value":"rm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5" ht="18" customHeight="1">
      <x:c r="A85" s="36" t="str">
        <x:v>FUEL-016</x:v>
      </x:c>
      <x:c r="B85" s="36" t="str">
        <x:v>fuel_carrier</x:v>
      </x:c>
      <x:c r="C85" s="38" t="str">
        <x:v>["fuel1","fuel2","fuel3"]</x:v>
      </x:c>
      <x:c r="D85" s="38" t="str">
        <x:v>["16"]</x:v>
      </x:c>
      <x:c r="E85" s="36" t="str">
        <x:v>energy_sources</x:v>
      </x:c>
      <x:c r="F85" s="36" t="str">
        <x:v>methane</x:v>
      </x:c>
      <x:c r="G85" s="36" t="str">
        <x:v>accepted</x:v>
      </x:c>
      <x:c r="H85" s="36" t="str">
        <x:v>Metan</x:v>
      </x:c>
      <x:c r="I85" s="38" t="str">
        <x:v>[]</x:v>
      </x:c>
      <x:c r="J85" s="38" t="str">
        <x:v>[]</x:v>
      </x:c>
      <x:c r="K85" s="38" t="str">
        <x:v>{"rule_id":"FUEL-016","area":"fuel_carrier","source_fields":["fuel1","fuel2","fuel3"],"source_terms":["16"],"canonical_field":"energy_sources","base_canonical_value":"methane","active_canonical_value":"methane","effective_canonical_value":"methane","canonical_options":["cng","diesel","e85","electricity","ethanol","gengas","hydrogen","kerosene","lng","lpg","methane","methanol","other","paraffin_oil","petrol","renewable_cng","rme"],"active_decision":"accepted","effective_decision":"accepted","active_display_value":"Metan","effective_display_value":"Metan","vehicle_scopes":[],"manufacturers":[],"has_draft":false,"change_note":null}</x:v>
      </x:c>
    </x:row>
    <x:row r="86" ht="18" customHeight="1">
      <x:c r="A86" s="36" t="str">
        <x:v>FUEL-017</x:v>
      </x:c>
      <x:c r="B86" s="36" t="str">
        <x:v>fuel_carrier</x:v>
      </x:c>
      <x:c r="C86" s="38" t="str">
        <x:v>["fuel1","fuel2","fuel3"]</x:v>
      </x:c>
      <x:c r="D86" s="38" t="str">
        <x:v>["17"]</x:v>
      </x:c>
      <x:c r="E86" s="36" t="str">
        <x:v>energy_sources</x:v>
      </x:c>
      <x:c r="F86" s="36" t="str">
        <x:v>hydrogen</x:v>
      </x:c>
      <x:c r="G86" s="36" t="str">
        <x:v>accepted</x:v>
      </x:c>
      <x:c r="H86" s="36"/>
      <x:c r="I86" s="38" t="str">
        <x:v>[]</x:v>
      </x:c>
      <x:c r="J86" s="38" t="str">
        <x:v>[]</x:v>
      </x:c>
      <x:c r="K86" s="38" t="str">
        <x:v>{"rule_id":"FUEL-017","area":"fuel_carrier","source_fields":["fuel1","fuel2","fuel3"],"source_terms":["17"],"canonical_field":"energy_sources","base_canonical_value":"hydrogen","active_canonical_value":"hydrogen","effective_canonical_value":"hydrogen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7" ht="18" customHeight="1">
      <x:c r="A87" s="36" t="str">
        <x:v>FUEL-018</x:v>
      </x:c>
      <x:c r="B87" s="36" t="str">
        <x:v>fuel_carrier</x:v>
      </x:c>
      <x:c r="C87" s="38" t="str">
        <x:v>["fuel1","fuel2","fuel3"]</x:v>
      </x:c>
      <x:c r="D87" s="38" t="str">
        <x:v>["18"]</x:v>
      </x:c>
      <x:c r="E87" s="36" t="str">
        <x:v>energy_sources</x:v>
      </x:c>
      <x:c r="F87" s="36" t="str">
        <x:v>other</x:v>
      </x:c>
      <x:c r="G87" s="36" t="str">
        <x:v>accepted</x:v>
      </x:c>
      <x:c r="H87" s="36"/>
      <x:c r="I87" s="38" t="str">
        <x:v>[]</x:v>
      </x:c>
      <x:c r="J87" s="38" t="str">
        <x:v>[]</x:v>
      </x:c>
      <x:c r="K87" s="38" t="str">
        <x:v>{"rule_id":"FUEL-018","area":"fuel_carrier","source_fields":["fuel1","fuel2","fuel3"],"source_terms":["18"],"canonical_field":"energy_sources","base_canonical_value":"other","active_canonical_value":"other","effective_canonical_value":"other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8" ht="18" customHeight="1">
      <x:c r="A88" s="36" t="str">
        <x:v>FUEL-019</x:v>
      </x:c>
      <x:c r="B88" s="36" t="str">
        <x:v>fuel_carrier</x:v>
      </x:c>
      <x:c r="C88" s="38" t="str">
        <x:v>["fuel1","fuel2","fuel3"]</x:v>
      </x:c>
      <x:c r="D88" s="38" t="str">
        <x:v>["19"]</x:v>
      </x:c>
      <x:c r="E88" s="36" t="str">
        <x:v>energy_sources</x:v>
      </x:c>
      <x:c r="F88" s="36" t="str">
        <x:v>diesel</x:v>
      </x:c>
      <x:c r="G88" s="36" t="str">
        <x:v>accepted</x:v>
      </x:c>
      <x:c r="H88" s="36"/>
      <x:c r="I88" s="38" t="str">
        <x:v>[]</x:v>
      </x:c>
      <x:c r="J88" s="38" t="str">
        <x:v>[]</x:v>
      </x:c>
      <x:c r="K88" s="38" t="str">
        <x:v>{"rule_id":"FUEL-019","area":"fuel_carrier","source_fields":["fuel1","fuel2","fuel3"],"source_terms":["19"],"canonical_field":"energy_sources","base_canonical_value":"diesel","active_canonical_value":"diesel","effective_canonical_value":"diese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9" ht="18" customHeight="1">
      <x:c r="A89" s="36" t="str">
        <x:v>FUEL-020</x:v>
      </x:c>
      <x:c r="B89" s="36" t="str">
        <x:v>fuel_carrier</x:v>
      </x:c>
      <x:c r="C89" s="38" t="str">
        <x:v>["fuel1","fuel2","fuel3"]</x:v>
      </x:c>
      <x:c r="D89" s="38" t="str">
        <x:v>["20"]</x:v>
      </x:c>
      <x:c r="E89" s="36" t="str">
        <x:v>energy_sources</x:v>
      </x:c>
      <x:c r="F89" s="36" t="str">
        <x:v>cng</x:v>
      </x:c>
      <x:c r="G89" s="36" t="str">
        <x:v>accepted</x:v>
      </x:c>
      <x:c r="H89" s="36"/>
      <x:c r="I89" s="38" t="str">
        <x:v>[]</x:v>
      </x:c>
      <x:c r="J89" s="38" t="str">
        <x:v>[]</x:v>
      </x:c>
      <x:c r="K89" s="38" t="str">
        <x:v>{"rule_id":"FUEL-020","area":"fuel_carrier","source_fields":["fuel1","fuel2","fuel3"],"source_terms":["20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90" ht="18" customHeight="1">
      <x:c r="A90" s="36" t="str">
        <x:v>FUEL-021</x:v>
      </x:c>
      <x:c r="B90" s="36" t="str">
        <x:v>fuel_carrier</x:v>
      </x:c>
      <x:c r="C90" s="38" t="str">
        <x:v>["fuel1","fuel2","fuel3"]</x:v>
      </x:c>
      <x:c r="D90" s="38" t="str">
        <x:v>["21"]</x:v>
      </x:c>
      <x:c r="E90" s="36" t="str">
        <x:v>energy_sources</x:v>
      </x:c>
      <x:c r="F90" s="36" t="str">
        <x:v>lng</x:v>
      </x:c>
      <x:c r="G90" s="36" t="str">
        <x:v>accepted</x:v>
      </x:c>
      <x:c r="H90" s="36"/>
      <x:c r="I90" s="38" t="str">
        <x:v>[]</x:v>
      </x:c>
      <x:c r="J90" s="38" t="str">
        <x:v>[]</x:v>
      </x:c>
      <x:c r="K90" s="38" t="str">
        <x:v>{"rule_id":"FUEL-021","area":"fuel_carrier","source_fields":["fuel1","fuel2","fuel3"],"source_terms":["21"],"canonical_field":"energy_sources","base_canonical_value":"lng","active_canonical_value":"lng","effective_canonical_value":"l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91" ht="18" customHeight="1">
      <x:c r="A91" s="36" t="str">
        <x:v>TRN-001</x:v>
      </x:c>
      <x:c r="B91" s="36" t="str">
        <x:v>transmission_code</x:v>
      </x:c>
      <x:c r="C91" s="38" t="str">
        <x:v>["gearbox"]</x:v>
      </x:c>
      <x:c r="D91" s="38" t="str">
        <x:v>["M"]</x:v>
      </x:c>
      <x:c r="E91" s="36" t="str">
        <x:v>transmission_type</x:v>
      </x:c>
      <x:c r="F91" s="36" t="str">
        <x:v>manual</x:v>
      </x:c>
      <x:c r="G91" s="36" t="str">
        <x:v>accepted</x:v>
      </x:c>
      <x:c r="H91" s="36"/>
      <x:c r="I91" s="38" t="str">
        <x:v>[]</x:v>
      </x:c>
      <x:c r="J91" s="38" t="str">
        <x:v>[]</x:v>
      </x:c>
      <x:c r="K91" s="38" t="str">
        <x:v>{"rule_id":"TRN-001","area":"transmission_code","source_fields":["gearbox"],"source_terms":["M"],"canonical_field":"transmission_type","base_canonical_value":"manual","active_canonical_value":"manual","effective_canonical_value":"manual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  <x:row r="92" ht="18" customHeight="1">
      <x:c r="A92" s="36" t="str">
        <x:v>TRN-002</x:v>
      </x:c>
      <x:c r="B92" s="36" t="str">
        <x:v>transmission_code</x:v>
      </x:c>
      <x:c r="C92" s="38" t="str">
        <x:v>["gearbox"]</x:v>
      </x:c>
      <x:c r="D92" s="38" t="str">
        <x:v>["A"]</x:v>
      </x:c>
      <x:c r="E92" s="36" t="str">
        <x:v>transmission_type</x:v>
      </x:c>
      <x:c r="F92" s="36" t="str">
        <x:v>automatic</x:v>
      </x:c>
      <x:c r="G92" s="36" t="str">
        <x:v>accepted</x:v>
      </x:c>
      <x:c r="H92" s="36"/>
      <x:c r="I92" s="38" t="str">
        <x:v>[]</x:v>
      </x:c>
      <x:c r="J92" s="38" t="str">
        <x:v>[]</x:v>
      </x:c>
      <x:c r="K92" s="38" t="str">
        <x:v>{"rule_id":"TRN-002","area":"transmission_code","source_fields":["gearbox"],"source_terms":["A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  <x:row r="93" ht="18" customHeight="1">
      <x:c r="A93" s="36" t="str">
        <x:v>TRN-003</x:v>
      </x:c>
      <x:c r="B93" s="36" t="str">
        <x:v>transmission_code</x:v>
      </x:c>
      <x:c r="C93" s="38" t="str">
        <x:v>["gearbox"]</x:v>
      </x:c>
      <x:c r="D93" s="38" t="str">
        <x:v>["V"]</x:v>
      </x:c>
      <x:c r="E93" s="36" t="str">
        <x:v>transmission_type</x:v>
      </x:c>
      <x:c r="F93" s="36" t="str">
        <x:v>cvt</x:v>
      </x:c>
      <x:c r="G93" s="36" t="str">
        <x:v>accepted</x:v>
      </x:c>
      <x:c r="H93" s="36" t="str">
        <x:v>Variomatic</x:v>
      </x:c>
      <x:c r="I93" s="38" t="str">
        <x:v>[]</x:v>
      </x:c>
      <x:c r="J93" s="38" t="str">
        <x:v>[]</x:v>
      </x:c>
      <x:c r="K93" s="38" t="str">
        <x:v>{"rule_id":"TRN-003","area":"transmission_code","source_fields":["gearbox"],"source_terms":["V"],"canonical_field":"transmission_type","base_canonical_value":"cvt","active_canonical_value":"cvt","effective_canonical_value":"cvt","canonical_options":["amt","automatic","cvt","dct","manual"],"active_decision":"accepted","effective_decision":"accepted","active_display_value":"Variomatic","effective_display_value":"Variomatic","vehicle_scopes":[],"manufacturers":[],"has_draft":false,"change_note":null}</x:v>
      </x:c>
    </x:row>
    <x:row r="94" ht="18" customHeight="1">
      <x:c r="A94" s="36" t="str">
        <x:v>TRN-004A</x:v>
      </x:c>
      <x:c r="B94" s="36" t="str">
        <x:v>transmission_marketing</x:v>
      </x:c>
      <x:c r="C94" s="38" t="str">
        <x:v>["model","variant","version","type"]</x:v>
      </x:c>
      <x:c r="D94" s="38" t="str">
        <x:v>["Geartronic"]</x:v>
      </x:c>
      <x:c r="E94" s="36" t="str">
        <x:v>transmission_type</x:v>
      </x:c>
      <x:c r="F94" s="36" t="str">
        <x:v>automatic</x:v>
      </x:c>
      <x:c r="G94" s="36" t="str">
        <x:v>accepted</x:v>
      </x:c>
      <x:c r="H94" s="36"/>
      <x:c r="I94" s="38" t="str">
        <x:v>[]</x:v>
      </x:c>
      <x:c r="J94" s="38" t="str">
        <x:v>["Volvo"]</x:v>
      </x:c>
      <x:c r="K94" s="38" t="str">
        <x:v>{"rule_id":"TRN-004A","area":"transmission_marketing","source_fields":["model","variant","version","type"],"source_terms":["Gear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Volvo"],"has_draft":false,"change_note":null}</x:v>
      </x:c>
    </x:row>
    <x:row r="95" ht="18" customHeight="1">
      <x:c r="A95" s="36" t="str">
        <x:v>TRN-004B</x:v>
      </x:c>
      <x:c r="B95" s="36" t="str">
        <x:v>transmission_marketing</x:v>
      </x:c>
      <x:c r="C95" s="38" t="str">
        <x:v>["model","variant","version","type"]</x:v>
      </x:c>
      <x:c r="D95" s="38" t="str">
        <x:v>["Tiptronic"]</x:v>
      </x:c>
      <x:c r="E95" s="36" t="str">
        <x:v>transmission_type</x:v>
      </x:c>
      <x:c r="F95" s="36" t="str">
        <x:v>automatic</x:v>
      </x:c>
      <x:c r="G95" s="36" t="str">
        <x:v>accepted</x:v>
      </x:c>
      <x:c r="H95" s="36"/>
      <x:c r="I95" s="38" t="str">
        <x:v>[]</x:v>
      </x:c>
      <x:c r="J95" s="38" t="str">
        <x:v>["*"]</x:v>
      </x:c>
      <x:c r="K95" s="38" t="str">
        <x:v>{"rule_id":"TRN-004B","area":"transmission_marketing","source_fields":["model","variant","version","type"],"source_terms":["Tip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*"],"has_draft":false,"change_note":null}</x:v>
      </x:c>
    </x:row>
    <x:row r="96" ht="18" customHeight="1">
      <x:c r="A96" s="36" t="str">
        <x:v>TRN-004C</x:v>
      </x:c>
      <x:c r="B96" s="36" t="str">
        <x:v>transmission_marketing</x:v>
      </x:c>
      <x:c r="C96" s="38" t="str">
        <x:v>["model","variant","version","type"]</x:v>
      </x:c>
      <x:c r="D96" s="38" t="str">
        <x:v>["Steptronic"]</x:v>
      </x:c>
      <x:c r="E96" s="36" t="str">
        <x:v>transmission_type</x:v>
      </x:c>
      <x:c r="F96" s="36" t="str">
        <x:v>automatic</x:v>
      </x:c>
      <x:c r="G96" s="36" t="str">
        <x:v>accepted</x:v>
      </x:c>
      <x:c r="H96" s="36"/>
      <x:c r="I96" s="38" t="str">
        <x:v>[]</x:v>
      </x:c>
      <x:c r="J96" s="38" t="str">
        <x:v>["BMW"]</x:v>
      </x:c>
      <x:c r="K96" s="38" t="str">
        <x:v>{"rule_id":"TRN-004C","area":"transmission_marketing","source_fields":["model","variant","version","type"],"source_terms":["Step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BMW"],"has_draft":false,"change_note":null}</x:v>
      </x:c>
    </x:row>
    <x:row r="97" ht="18" customHeight="1">
      <x:c r="A97" s="36" t="str">
        <x:v>TRN-005A</x:v>
      </x:c>
      <x:c r="B97" s="36" t="str">
        <x:v>transmission_marketing</x:v>
      </x:c>
      <x:c r="C97" s="38" t="str">
        <x:v>["model","variant","version","type"]</x:v>
      </x:c>
      <x:c r="D97" s="38" t="str">
        <x:v>["CVT","Xtronic","Multitronic"]</x:v>
      </x:c>
      <x:c r="E97" s="36" t="str">
        <x:v>transmission_type</x:v>
      </x:c>
      <x:c r="F97" s="36" t="str">
        <x:v>cvt</x:v>
      </x:c>
      <x:c r="G97" s="36" t="str">
        <x:v>accepted</x:v>
      </x:c>
      <x:c r="H97" s="36"/>
      <x:c r="I97" s="38" t="str">
        <x:v>[]</x:v>
      </x:c>
      <x:c r="J97" s="38" t="str">
        <x:v>["*"]</x:v>
      </x:c>
      <x:c r="K97" s="38" t="str">
        <x:v>{"rule_id":"TRN-005A","area":"transmission_marketing","source_fields":["model","variant","version","type"],"source_terms":["CVT","Xtronic","Multitronic"],"canonical_field":"transmission_type","base_canonical_value":"cvt","active_canonical_value":"cvt","effective_canonical_value":"cvt","canonical_options":["amt","automatic","cvt","dct","manual"],"active_decision":"accepted","effective_decision":"accepted","active_display_value":null,"effective_display_value":null,"vehicle_scopes":[],"manufacturers":["*"],"has_draft":false,"change_note":null}</x:v>
      </x:c>
    </x:row>
    <x:row r="98" ht="18" customHeight="1">
      <x:c r="A98" s="36" t="str">
        <x:v>TRN-005B</x:v>
      </x:c>
      <x:c r="B98" s="36" t="str">
        <x:v>transmission_marketing</x:v>
      </x:c>
      <x:c r="C98" s="38" t="str">
        <x:v>["model","variant","version","type"]</x:v>
      </x:c>
      <x:c r="D98" s="38" t="str">
        <x:v>["e-CVT","ECVT"]</x:v>
      </x:c>
      <x:c r="E98" s="36" t="str">
        <x:v>transmission_type</x:v>
      </x:c>
      <x:c r="F98" s="36" t="str">
        <x:v>automatic</x:v>
      </x:c>
      <x:c r="G98" s="36" t="str">
        <x:v>accepted</x:v>
      </x:c>
      <x:c r="H98" s="36" t="str">
        <x:v>e-CVT</x:v>
      </x:c>
      <x:c r="I98" s="38" t="str">
        <x:v>[]</x:v>
      </x:c>
      <x:c r="J98" s="38" t="str">
        <x:v>["*"]</x:v>
      </x:c>
      <x:c r="K98" s="38" t="str">
        <x:v>{"rule_id":"TRN-005B","area":"transmission_marketing","source_fields":["model","variant","version","type"],"source_terms":["e-CVT","ECVT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"e-CVT","effective_display_value":"e-CVT","vehicle_scopes":[],"manufacturers":["*"],"has_draft":false,"change_note":null}</x:v>
      </x:c>
    </x:row>
    <x:row r="99" ht="18" customHeight="1">
      <x:c r="A99" s="36" t="str">
        <x:v>TRN-006A</x:v>
      </x:c>
      <x:c r="B99" s="36" t="str">
        <x:v>transmission_marketing</x:v>
      </x:c>
      <x:c r="C99" s="38" t="str">
        <x:v>["model","variant","version","type"]</x:v>
      </x:c>
      <x:c r="D99" s="38" t="str">
        <x:v>["DSG"]</x:v>
      </x:c>
      <x:c r="E99" s="36" t="str">
        <x:v>transmission_type</x:v>
      </x:c>
      <x:c r="F99" s="36" t="str">
        <x:v>dct</x:v>
      </x:c>
      <x:c r="G99" s="36" t="str">
        <x:v>accepted</x:v>
      </x:c>
      <x:c r="H99" s="36"/>
      <x:c r="I99" s="38" t="str">
        <x:v>[]</x:v>
      </x:c>
      <x:c r="J99" s="38" t="str">
        <x:v>["Volkswagen","Audi"]</x:v>
      </x:c>
      <x:c r="K99" s="38" t="str">
        <x:v>{"rule_id":"TRN-006A","area":"transmission_marketing","source_fields":["model","variant","version","type"],"source_terms":["DSG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Volkswagen","Audi"],"has_draft":false,"change_note":null}</x:v>
      </x:c>
    </x:row>
    <x:row r="100" ht="18" customHeight="1">
      <x:c r="A100" s="36" t="str">
        <x:v>TRN-006B</x:v>
      </x:c>
      <x:c r="B100" s="36" t="str">
        <x:v>transmission_marketing</x:v>
      </x:c>
      <x:c r="C100" s="38" t="str">
        <x:v>["model","variant","version","type"]</x:v>
      </x:c>
      <x:c r="D100" s="38" t="str">
        <x:v>["S tronic","S-Tronic"]</x:v>
      </x:c>
      <x:c r="E100" s="36" t="str">
        <x:v>transmission_type</x:v>
      </x:c>
      <x:c r="F100" s="36" t="str">
        <x:v>dct</x:v>
      </x:c>
      <x:c r="G100" s="36" t="str">
        <x:v>accepted</x:v>
      </x:c>
      <x:c r="H100" s="36"/>
      <x:c r="I100" s="38" t="str">
        <x:v>[]</x:v>
      </x:c>
      <x:c r="J100" s="38" t="str">
        <x:v>["Audi"]</x:v>
      </x:c>
      <x:c r="K100" s="38" t="str">
        <x:v>{"rule_id":"TRN-006B","area":"transmission_marketing","source_fields":["model","variant","version","type"],"source_terms":["S tronic","S-Tronic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Audi"],"has_draft":false,"change_note":null}</x:v>
      </x:c>
    </x:row>
    <x:row r="101" ht="18" customHeight="1">
      <x:c r="A101" s="36" t="str">
        <x:v>TRN-006C</x:v>
      </x:c>
      <x:c r="B101" s="36" t="str">
        <x:v>transmission_marketing</x:v>
      </x:c>
      <x:c r="C101" s="38" t="str">
        <x:v>["model","variant","version","type"]</x:v>
      </x:c>
      <x:c r="D101" s="38" t="str">
        <x:v>["PDK"]</x:v>
      </x:c>
      <x:c r="E101" s="36" t="str">
        <x:v>transmission_type</x:v>
      </x:c>
      <x:c r="F101" s="36" t="str">
        <x:v>dct</x:v>
      </x:c>
      <x:c r="G101" s="36" t="str">
        <x:v>accepted</x:v>
      </x:c>
      <x:c r="H101" s="36"/>
      <x:c r="I101" s="38" t="str">
        <x:v>[]</x:v>
      </x:c>
      <x:c r="J101" s="38" t="str">
        <x:v>["Porsche"]</x:v>
      </x:c>
      <x:c r="K101" s="38" t="str">
        <x:v>{"rule_id":"TRN-006C","area":"transmission_marketing","source_fields":["model","variant","version","type"],"source_terms":["PDK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Porsche"],"has_draft":false,"change_note":null}</x:v>
      </x:c>
    </x:row>
    <x:row r="102" ht="18" customHeight="1">
      <x:c r="A102" s="36" t="str">
        <x:v>TRN-007</x:v>
      </x:c>
      <x:c r="B102" s="36" t="str">
        <x:v>transmission_code</x:v>
      </x:c>
      <x:c r="C102" s="38" t="str">
        <x:v>["gearbox"]</x:v>
      </x:c>
      <x:c r="D102" s="38" t="str">
        <x:v>["T"]</x:v>
      </x:c>
      <x:c r="E102" s="36" t="str">
        <x:v>transmission_type</x:v>
      </x:c>
      <x:c r="F102" s="36" t="str">
        <x:v>amt</x:v>
      </x:c>
      <x:c r="G102" s="36" t="str">
        <x:v>accepted</x:v>
      </x:c>
      <x:c r="H102" s="36" t="str">
        <x:v>Automated manual</x:v>
      </x:c>
      <x:c r="I102" s="38" t="str">
        <x:v>[]</x:v>
      </x:c>
      <x:c r="J102" s="38" t="str">
        <x:v>[]</x:v>
      </x:c>
      <x:c r="K102" s="38" t="str">
        <x:v>{"rule_id":"TRN-007","area":"transmission_code","source_fields":["gearbox"],"source_terms":["T"],"canonical_field":"transmission_type","base_canonical_value":"amt","active_canonical_value":"amt","effective_canonical_value":"amt","canonical_options":["amt","automatic","cvt","dct","manual"],"active_decision":"accepted","effective_decision":"accepted","active_display_value":"Automated manual","effective_display_value":"Automated manual","vehicle_scopes":[],"manufacturers":[],"has_draft":false,"change_note":null}</x:v>
      </x:c>
    </x:row>
    <x:row r="103" ht="18" customHeight="1">
      <x:c r="A103" s="36" t="str">
        <x:v>TRN-008</x:v>
      </x:c>
      <x:c r="B103" s="36" t="str">
        <x:v>transmission_code</x:v>
      </x:c>
      <x:c r="C103" s="38" t="str">
        <x:v>["gearbox"]</x:v>
      </x:c>
      <x:c r="D103" s="38" t="str">
        <x:v>["Z"]</x:v>
      </x:c>
      <x:c r="E103" s="36" t="str">
        <x:v>transmission_type</x:v>
      </x:c>
      <x:c r="F103" s="36" t="str">
        <x:v>automatic</x:v>
      </x:c>
      <x:c r="G103" s="36" t="str">
        <x:v>accepted</x:v>
      </x:c>
      <x:c r="H103" s="36"/>
      <x:c r="I103" s="38" t="str">
        <x:v>[]</x:v>
      </x:c>
      <x:c r="J103" s="38" t="str">
        <x:v>[]</x:v>
      </x:c>
      <x:c r="K103" s="38" t="str">
        <x:v>{"rule_id":"TRN-008","area":"transmission_code","source_fields":["gearbox"],"source_terms":["Z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2c8e8c3237e42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4" hidden="0" customWidth="1"/>
    <x:col min="4" max="4" width="26" hidden="0" customWidth="1"/>
    <x:col min="5" max="5" width="24" hidden="0" customWidth="1"/>
    <x:col min="6" max="6" width="28" hidden="0" customWidth="1"/>
    <x:col min="7" max="7" width="25" hidden="0" customWidth="1"/>
    <x:col min="8" max="8" width="45" hidden="0" customWidth="1"/>
    <x:col min="9" max="9" width="35" hidden="0" customWidth="1"/>
    <x:col min="10" max="10" width="45" hidden="0" customWidth="1"/>
    <x:col min="11" max="11" width="26" hidden="0" customWidth="1"/>
    <x:col min="12" max="12" width="80" hidden="0" customWidth="1"/>
  </x:cols>
  <x:sheetData>
    <x:row r="1" ht="34" customHeight="1">
      <x:c r="A1" s="28" t="str">
        <x:v>Complete built-in manufacturer catalog</x:v>
      </x:c>
    </x:row>
    <x:row r="2" ht="34" customHeight="1">
      <x:c r="A2" s="31" t="str">
        <x:v>All manufacturer definitions supplied by application base version ts-translation-v4. These code-owned definitions are included so the package contains the complete matching reference, not only database overrides.</x:v>
      </x:c>
    </x:row>
    <x:row r="4" ht="30" customHeight="1">
      <x:c r="A4" s="34" t="str">
        <x:v>entity_id</x:v>
      </x:c>
      <x:c r="B4" s="34" t="str">
        <x:v>source_field</x:v>
      </x:c>
      <x:c r="C4" s="34" t="str">
        <x:v>source_term</x:v>
      </x:c>
      <x:c r="D4" s="34" t="str">
        <x:v>canonical_name</x:v>
      </x:c>
      <x:c r="E4" s="34" t="str">
        <x:v>entity_role</x:v>
      </x:c>
      <x:c r="F4" s="34" t="str">
        <x:v>base_behavior</x:v>
      </x:c>
      <x:c r="G4" s="34" t="str">
        <x:v>match_type</x:v>
      </x:c>
      <x:c r="H4" s="34" t="str">
        <x:v>reviewed_examples</x:v>
      </x:c>
      <x:c r="I4" s="34" t="str">
        <x:v>aliases</x:v>
      </x:c>
      <x:c r="J4" s="34" t="str">
        <x:v>marketed_brand_overrides</x:v>
      </x:c>
      <x:c r="K4" s="34" t="str">
        <x:v>fallback_manufacturer</x:v>
      </x:c>
      <x:c r="L4" s="34" t="str">
        <x:v>base_definition_json</x:v>
      </x:c>
    </x:row>
    <x:row r="5" ht="18" customHeight="1">
      <x:c r="A5" s="36" t="str">
        <x:v>MFE-76AC7D12F75224</x:v>
      </x:c>
      <x:c r="B5" s="36" t="str">
        <x:v>manufacturer</x:v>
      </x:c>
      <x:c r="C5" s="36" t="str">
        <x:v>AUDI</x:v>
      </x:c>
      <x:c r="D5" s="36" t="str">
        <x:v>Audi</x:v>
      </x:c>
      <x:c r="E5" s="36" t="str">
        <x:v>vehicle_manufacturer</x:v>
      </x:c>
      <x:c r="F5" s="36" t="str">
        <x:v>use_entity</x:v>
      </x:c>
      <x:c r="G5" s="36" t="str">
        <x:v>exact</x:v>
      </x:c>
      <x:c r="H5" s="38" t="str">
        <x:v>[]</x:v>
      </x:c>
      <x:c r="I5" s="38" t="str">
        <x:v>[]</x:v>
      </x:c>
      <x:c r="J5" s="38" t="str">
        <x:v>{}</x:v>
      </x:c>
      <x:c r="K5" s="36"/>
      <x:c r="L5" s="38" t="str">
        <x:v>{"source_field":"manufacturer","source_term":"AUDI","canonical_name":"Audi","entity_role":"vehicle_manufacturer","base_behavior":"use_entity"}</x:v>
      </x:c>
    </x:row>
    <x:row r="6" ht="18" customHeight="1">
      <x:c r="A6" s="36" t="str">
        <x:v>MFE-CA2CA2F04595F7</x:v>
      </x:c>
      <x:c r="B6" s="36" t="str">
        <x:v>manufacturer</x:v>
      </x:c>
      <x:c r="C6" s="36" t="str">
        <x:v>AUDI AG</x:v>
      </x:c>
      <x:c r="D6" s="36" t="str">
        <x:v>Audi</x:v>
      </x:c>
      <x:c r="E6" s="36" t="str">
        <x:v>vehicle_manufacturer</x:v>
      </x:c>
      <x:c r="F6" s="36" t="str">
        <x:v>use_entity</x:v>
      </x:c>
      <x:c r="G6" s="36" t="str">
        <x:v>exact</x:v>
      </x:c>
      <x:c r="H6" s="38" t="str">
        <x:v>[]</x:v>
      </x:c>
      <x:c r="I6" s="38" t="str">
        <x:v>[]</x:v>
      </x:c>
      <x:c r="J6" s="38" t="str">
        <x:v>{}</x:v>
      </x:c>
      <x:c r="K6" s="36"/>
      <x:c r="L6" s="38" t="str">
        <x:v>{"source_field":"manufacturer","source_term":"AUDI AG","canonical_name":"Audi","entity_role":"vehicle_manufacturer","base_behavior":"use_entity"}</x:v>
      </x:c>
    </x:row>
    <x:row r="7" ht="18" customHeight="1">
      <x:c r="A7" s="36" t="str">
        <x:v>MFE-59923D7586832A</x:v>
      </x:c>
      <x:c r="B7" s="36" t="str">
        <x:v>manufacturer</x:v>
      </x:c>
      <x:c r="C7" s="36" t="str">
        <x:v>BAYERISCHE MOTOREN WERKE AG</x:v>
      </x:c>
      <x:c r="D7" s="36" t="str">
        <x:v>BMW</x:v>
      </x:c>
      <x:c r="E7" s="36" t="str">
        <x:v>vehicle_manufacturer</x:v>
      </x:c>
      <x:c r="F7" s="36" t="str">
        <x:v>use_entity</x:v>
      </x:c>
      <x:c r="G7" s="36" t="str">
        <x:v>exact</x:v>
      </x:c>
      <x:c r="H7" s="38" t="str">
        <x:v>[]</x:v>
      </x:c>
      <x:c r="I7" s="38" t="str">
        <x:v>[]</x:v>
      </x:c>
      <x:c r="J7" s="38" t="str">
        <x:v>{}</x:v>
      </x:c>
      <x:c r="K7" s="36"/>
      <x:c r="L7" s="38" t="str">
        <x:v>{"source_field":"manufacturer","source_term":"BAYERISCHE MOTOREN WERKE AG","canonical_name":"BMW","entity_role":"vehicle_manufacturer","base_behavior":"use_entity"}</x:v>
      </x:c>
    </x:row>
    <x:row r="8" ht="18" customHeight="1">
      <x:c r="A8" s="36" t="str">
        <x:v>MFE-5D8313D657FEC2</x:v>
      </x:c>
      <x:c r="B8" s="36" t="str">
        <x:v>manufacturer</x:v>
      </x:c>
      <x:c r="C8" s="36" t="str">
        <x:v>BMW</x:v>
      </x:c>
      <x:c r="D8" s="36" t="str">
        <x:v>BMW</x:v>
      </x:c>
      <x:c r="E8" s="36" t="str">
        <x:v>vehicle_manufacturer</x:v>
      </x:c>
      <x:c r="F8" s="36" t="str">
        <x:v>use_entity</x:v>
      </x:c>
      <x:c r="G8" s="36" t="str">
        <x:v>exact</x:v>
      </x:c>
      <x:c r="H8" s="38" t="str">
        <x:v>[]</x:v>
      </x:c>
      <x:c r="I8" s="38" t="str">
        <x:v>[]</x:v>
      </x:c>
      <x:c r="J8" s="38" t="str">
        <x:v>{}</x:v>
      </x:c>
      <x:c r="K8" s="36"/>
      <x:c r="L8" s="38" t="str">
        <x:v>{"source_field":"manufacturer","source_term":"BMW","canonical_name":"BMW","entity_role":"vehicle_manufacturer","base_behavior":"use_entity"}</x:v>
      </x:c>
    </x:row>
    <x:row r="9" ht="18" customHeight="1">
      <x:c r="A9" s="36" t="str">
        <x:v>MFE-DEBCD09722B651</x:v>
      </x:c>
      <x:c r="B9" s="36" t="str">
        <x:v>manufacturer</x:v>
      </x:c>
      <x:c r="C9" s="36" t="str">
        <x:v>BMW AG</x:v>
      </x:c>
      <x:c r="D9" s="36" t="str">
        <x:v>BMW</x:v>
      </x:c>
      <x:c r="E9" s="36" t="str">
        <x:v>vehicle_manufacturer</x:v>
      </x:c>
      <x:c r="F9" s="36" t="str">
        <x:v>use_entity</x:v>
      </x:c>
      <x:c r="G9" s="36" t="str">
        <x:v>exact</x:v>
      </x:c>
      <x:c r="H9" s="38" t="str">
        <x:v>[]</x:v>
      </x:c>
      <x:c r="I9" s="38" t="str">
        <x:v>[]</x:v>
      </x:c>
      <x:c r="J9" s="38" t="str">
        <x:v>{}</x:v>
      </x:c>
      <x:c r="K9" s="36"/>
      <x:c r="L9" s="38" t="str">
        <x:v>{"source_field":"manufacturer","source_term":"BMW AG","canonical_name":"BMW","entity_role":"vehicle_manufacturer","base_behavior":"use_entity"}</x:v>
      </x:c>
    </x:row>
    <x:row r="10" ht="18" customHeight="1">
      <x:c r="A10" s="36" t="str">
        <x:v>MFE-2CA6F864C4F0CB</x:v>
      </x:c>
      <x:c r="B10" s="36" t="str">
        <x:v>manufacturer</x:v>
      </x:c>
      <x:c r="C10" s="36" t="str">
        <x:v>BRENDERUP AB</x:v>
      </x:c>
      <x:c r="D10" s="36" t="str">
        <x:v>Brenderup</x:v>
      </x:c>
      <x:c r="E10" s="36" t="str">
        <x:v>vehicle_manufacturer</x:v>
      </x:c>
      <x:c r="F10" s="36" t="str">
        <x:v>use_entity</x:v>
      </x:c>
      <x:c r="G10" s="36" t="str">
        <x:v>exact</x:v>
      </x:c>
      <x:c r="H10" s="38" t="str">
        <x:v>[]</x:v>
      </x:c>
      <x:c r="I10" s="38" t="str">
        <x:v>[]</x:v>
      </x:c>
      <x:c r="J10" s="38" t="str">
        <x:v>{}</x:v>
      </x:c>
      <x:c r="K10" s="36"/>
      <x:c r="L10" s="38" t="str">
        <x:v>{"source_field":"manufacturer","source_term":"BRENDERUP AB","canonical_name":"Brenderup","entity_role":"vehicle_manufacturer","base_behavior":"use_entity"}</x:v>
      </x:c>
    </x:row>
    <x:row r="11" ht="18" customHeight="1">
      <x:c r="A11" s="36" t="str">
        <x:v>MFE-213AA27EE8F28F</x:v>
      </x:c>
      <x:c r="B11" s="36" t="str">
        <x:v>manufacturer</x:v>
      </x:c>
      <x:c r="C11" s="36" t="str">
        <x:v>CITROEN</x:v>
      </x:c>
      <x:c r="D11" s="36" t="str">
        <x:v>Citroën</x:v>
      </x:c>
      <x:c r="E11" s="36" t="str">
        <x:v>vehicle_manufacturer</x:v>
      </x:c>
      <x:c r="F11" s="36" t="str">
        <x:v>use_entity</x:v>
      </x:c>
      <x:c r="G11" s="36" t="str">
        <x:v>exact</x:v>
      </x:c>
      <x:c r="H11" s="38" t="str">
        <x:v>[]</x:v>
      </x:c>
      <x:c r="I11" s="38" t="str">
        <x:v>[]</x:v>
      </x:c>
      <x:c r="J11" s="38" t="str">
        <x:v>{}</x:v>
      </x:c>
      <x:c r="K11" s="36"/>
      <x:c r="L11" s="38" t="str">
        <x:v>{"source_field":"manufacturer","source_term":"CITROEN","canonical_name":"Citroën","entity_role":"vehicle_manufacturer","base_behavior":"use_entity"}</x:v>
      </x:c>
    </x:row>
    <x:row r="12" ht="18" customHeight="1">
      <x:c r="A12" s="36" t="str">
        <x:v>MFE-B0C7D3AF419F78</x:v>
      </x:c>
      <x:c r="B12" s="36" t="str">
        <x:v>manufacturer</x:v>
      </x:c>
      <x:c r="C12" s="36" t="str">
        <x:v>CITROËN</x:v>
      </x:c>
      <x:c r="D12" s="36" t="str">
        <x:v>Citroën</x:v>
      </x:c>
      <x:c r="E12" s="36" t="str">
        <x:v>vehicle_manufacturer</x:v>
      </x:c>
      <x:c r="F12" s="36" t="str">
        <x:v>use_entity</x:v>
      </x:c>
      <x:c r="G12" s="36" t="str">
        <x:v>exact</x:v>
      </x:c>
      <x:c r="H12" s="38" t="str">
        <x:v>[]</x:v>
      </x:c>
      <x:c r="I12" s="38" t="str">
        <x:v>[]</x:v>
      </x:c>
      <x:c r="J12" s="38" t="str">
        <x:v>{}</x:v>
      </x:c>
      <x:c r="K12" s="36"/>
      <x:c r="L12" s="38" t="str">
        <x:v>{"source_field":"manufacturer","source_term":"CITROËN","canonical_name":"Citroën","entity_role":"vehicle_manufacturer","base_behavior":"use_entity"}</x:v>
      </x:c>
    </x:row>
    <x:row r="13" ht="18" customHeight="1">
      <x:c r="A13" s="36" t="str">
        <x:v>MFE-2CC0D5087A786C</x:v>
      </x:c>
      <x:c r="B13" s="36" t="str">
        <x:v>manufacturer</x:v>
      </x:c>
      <x:c r="C13" s="36" t="str">
        <x:v>DAF</x:v>
      </x:c>
      <x:c r="D13" s="36" t="str">
        <x:v>DAF</x:v>
      </x:c>
      <x:c r="E13" s="36" t="str">
        <x:v>vehicle_manufacturer</x:v>
      </x:c>
      <x:c r="F13" s="36" t="str">
        <x:v>use_entity</x:v>
      </x:c>
      <x:c r="G13" s="36" t="str">
        <x:v>exact</x:v>
      </x:c>
      <x:c r="H13" s="38" t="str">
        <x:v>[]</x:v>
      </x:c>
      <x:c r="I13" s="38" t="str">
        <x:v>[]</x:v>
      </x:c>
      <x:c r="J13" s="38" t="str">
        <x:v>{}</x:v>
      </x:c>
      <x:c r="K13" s="36"/>
      <x:c r="L13" s="38" t="str">
        <x:v>{"source_field":"manufacturer","source_term":"DAF","canonical_name":"DAF","entity_role":"vehicle_manufacturer","base_behavior":"use_entity"}</x:v>
      </x:c>
    </x:row>
    <x:row r="14" ht="18" customHeight="1">
      <x:c r="A14" s="36" t="str">
        <x:v>MFE-6DAE87F38D439B</x:v>
      </x:c>
      <x:c r="B14" s="36" t="str">
        <x:v>manufacturer</x:v>
      </x:c>
      <x:c r="C14" s="36" t="str">
        <x:v>DAF TRUCKS NV</x:v>
      </x:c>
      <x:c r="D14" s="36" t="str">
        <x:v>DAF</x:v>
      </x:c>
      <x:c r="E14" s="36" t="str">
        <x:v>vehicle_manufacturer</x:v>
      </x:c>
      <x:c r="F14" s="36" t="str">
        <x:v>use_entity</x:v>
      </x:c>
      <x:c r="G14" s="36" t="str">
        <x:v>exact</x:v>
      </x:c>
      <x:c r="H14" s="38" t="str">
        <x:v>[]</x:v>
      </x:c>
      <x:c r="I14" s="38" t="str">
        <x:v>[]</x:v>
      </x:c>
      <x:c r="J14" s="38" t="str">
        <x:v>{}</x:v>
      </x:c>
      <x:c r="K14" s="36"/>
      <x:c r="L14" s="38" t="str">
        <x:v>{"source_field":"manufacturer","source_term":"DAF TRUCKS NV","canonical_name":"DAF","entity_role":"vehicle_manufacturer","base_behavior":"use_entity"}</x:v>
      </x:c>
    </x:row>
    <x:row r="15" ht="18" customHeight="1">
      <x:c r="A15" s="36" t="str">
        <x:v>MFE-D719974B26F6F0</x:v>
      </x:c>
      <x:c r="B15" s="36" t="str">
        <x:v>manufacturer</x:v>
      </x:c>
      <x:c r="C15" s="36" t="str">
        <x:v>DAIMLER AG</x:v>
      </x:c>
      <x:c r="D15" s="36" t="str">
        <x:v>Mercedes-Benz</x:v>
      </x:c>
      <x:c r="E15" s="36" t="str">
        <x:v>vehicle_manufacturer</x:v>
      </x:c>
      <x:c r="F15" s="36" t="str">
        <x:v>use_entity</x:v>
      </x:c>
      <x:c r="G15" s="36" t="str">
        <x:v>exact</x:v>
      </x:c>
      <x:c r="H15" s="38" t="str">
        <x:v>[]</x:v>
      </x:c>
      <x:c r="I15" s="38" t="str">
        <x:v>[]</x:v>
      </x:c>
      <x:c r="J15" s="38" t="str">
        <x:v>{}</x:v>
      </x:c>
      <x:c r="K15" s="36"/>
      <x:c r="L15" s="38" t="str">
        <x:v>{"source_field":"manufacturer","source_term":"DAIMLER AG","canonical_name":"Mercedes-Benz","entity_role":"vehicle_manufacturer","base_behavior":"use_entity"}</x:v>
      </x:c>
    </x:row>
    <x:row r="16" ht="18" customHeight="1">
      <x:c r="A16" s="36" t="str">
        <x:v>MFE-45DD43F880C601</x:v>
      </x:c>
      <x:c r="B16" s="36" t="str">
        <x:v>manufacturer</x:v>
      </x:c>
      <x:c r="C16" s="36" t="str">
        <x:v>DR ING H C F PORSCHE AG</x:v>
      </x:c>
      <x:c r="D16" s="36" t="str">
        <x:v>Porsche</x:v>
      </x:c>
      <x:c r="E16" s="36" t="str">
        <x:v>vehicle_manufacturer</x:v>
      </x:c>
      <x:c r="F16" s="36" t="str">
        <x:v>use_entity</x:v>
      </x:c>
      <x:c r="G16" s="36" t="str">
        <x:v>exact</x:v>
      </x:c>
      <x:c r="H16" s="38" t="str">
        <x:v>[]</x:v>
      </x:c>
      <x:c r="I16" s="38" t="str">
        <x:v>[]</x:v>
      </x:c>
      <x:c r="J16" s="38" t="str">
        <x:v>{}</x:v>
      </x:c>
      <x:c r="K16" s="36"/>
      <x:c r="L16" s="38" t="str">
        <x:v>{"source_field":"manufacturer","source_term":"DR ING H C F PORSCHE AG","canonical_name":"Porsche","entity_role":"vehicle_manufacturer","base_behavior":"use_entity"}</x:v>
      </x:c>
    </x:row>
    <x:row r="17" ht="18" customHeight="1">
      <x:c r="A17" s="36" t="str">
        <x:v>MFE-2B0CE366FC8A9F</x:v>
      </x:c>
      <x:c r="B17" s="36" t="str">
        <x:v>manufacturer</x:v>
      </x:c>
      <x:c r="C17" s="36" t="str">
        <x:v>FIAT</x:v>
      </x:c>
      <x:c r="D17" s="36" t="str">
        <x:v>Fiat</x:v>
      </x:c>
      <x:c r="E17" s="36" t="str">
        <x:v>vehicle_manufacturer</x:v>
      </x:c>
      <x:c r="F17" s="36" t="str">
        <x:v>use_entity</x:v>
      </x:c>
      <x:c r="G17" s="36" t="str">
        <x:v>exact</x:v>
      </x:c>
      <x:c r="H17" s="38" t="str">
        <x:v>[]</x:v>
      </x:c>
      <x:c r="I17" s="38" t="str">
        <x:v>[]</x:v>
      </x:c>
      <x:c r="J17" s="38" t="str">
        <x:v>{}</x:v>
      </x:c>
      <x:c r="K17" s="36"/>
      <x:c r="L17" s="38" t="str">
        <x:v>{"source_field":"manufacturer","source_term":"FIAT","canonical_name":"Fiat","entity_role":"vehicle_manufacturer","base_behavior":"use_entity"}</x:v>
      </x:c>
    </x:row>
    <x:row r="18" ht="18" customHeight="1">
      <x:c r="A18" s="36" t="str">
        <x:v>MFE-5FE4B911172108</x:v>
      </x:c>
      <x:c r="B18" s="36" t="str">
        <x:v>manufacturer</x:v>
      </x:c>
      <x:c r="C18" s="36" t="str">
        <x:v>FIAT AUTO SPA</x:v>
      </x:c>
      <x:c r="D18" s="36" t="str">
        <x:v>Fiat</x:v>
      </x:c>
      <x:c r="E18" s="36" t="str">
        <x:v>vehicle_manufacturer</x:v>
      </x:c>
      <x:c r="F18" s="36" t="str">
        <x:v>use_entity</x:v>
      </x:c>
      <x:c r="G18" s="36" t="str">
        <x:v>exact</x:v>
      </x:c>
      <x:c r="H18" s="38" t="str">
        <x:v>[]</x:v>
      </x:c>
      <x:c r="I18" s="38" t="str">
        <x:v>[]</x:v>
      </x:c>
      <x:c r="J18" s="38" t="str">
        <x:v>{}</x:v>
      </x:c>
      <x:c r="K18" s="36"/>
      <x:c r="L18" s="38" t="str">
        <x:v>{"source_field":"manufacturer","source_term":"FIAT AUTO SPA","canonical_name":"Fiat","entity_role":"vehicle_manufacturer","base_behavior":"use_entity"}</x:v>
      </x:c>
    </x:row>
    <x:row r="19" ht="18" customHeight="1">
      <x:c r="A19" s="36" t="str">
        <x:v>MFE-62A7AADA37E9F4</x:v>
      </x:c>
      <x:c r="B19" s="36" t="str">
        <x:v>manufacturer</x:v>
      </x:c>
      <x:c r="C19" s="36" t="str">
        <x:v>FORD</x:v>
      </x:c>
      <x:c r="D19" s="36" t="str">
        <x:v>Ford</x:v>
      </x:c>
      <x:c r="E19" s="36" t="str">
        <x:v>vehicle_manufacturer</x:v>
      </x:c>
      <x:c r="F19" s="36" t="str">
        <x:v>use_entity</x:v>
      </x:c>
      <x:c r="G19" s="36" t="str">
        <x:v>exact</x:v>
      </x:c>
      <x:c r="H19" s="38" t="str">
        <x:v>[]</x:v>
      </x:c>
      <x:c r="I19" s="38" t="str">
        <x:v>[]</x:v>
      </x:c>
      <x:c r="J19" s="38" t="str">
        <x:v>{}</x:v>
      </x:c>
      <x:c r="K19" s="36"/>
      <x:c r="L19" s="38" t="str">
        <x:v>{"source_field":"manufacturer","source_term":"FORD","canonical_name":"Ford","entity_role":"vehicle_manufacturer","base_behavior":"use_entity"}</x:v>
      </x:c>
    </x:row>
    <x:row r="20" ht="18" customHeight="1">
      <x:c r="A20" s="36" t="str">
        <x:v>MFE-7E87B08FECB26B</x:v>
      </x:c>
      <x:c r="B20" s="36" t="str">
        <x:v>manufacturer</x:v>
      </x:c>
      <x:c r="C20" s="36" t="str">
        <x:v>FORD MOTOR COMPANY</x:v>
      </x:c>
      <x:c r="D20" s="36" t="str">
        <x:v>Ford</x:v>
      </x:c>
      <x:c r="E20" s="36" t="str">
        <x:v>vehicle_manufacturer</x:v>
      </x:c>
      <x:c r="F20" s="36" t="str">
        <x:v>use_entity</x:v>
      </x:c>
      <x:c r="G20" s="36" t="str">
        <x:v>exact</x:v>
      </x:c>
      <x:c r="H20" s="38" t="str">
        <x:v>[]</x:v>
      </x:c>
      <x:c r="I20" s="38" t="str">
        <x:v>[]</x:v>
      </x:c>
      <x:c r="J20" s="38" t="str">
        <x:v>{}</x:v>
      </x:c>
      <x:c r="K20" s="36"/>
      <x:c r="L20" s="38" t="str">
        <x:v>{"source_field":"manufacturer","source_term":"FORD MOTOR COMPANY","canonical_name":"Ford","entity_role":"vehicle_manufacturer","base_behavior":"use_entity"}</x:v>
      </x:c>
    </x:row>
    <x:row r="21" ht="18" customHeight="1">
      <x:c r="A21" s="36" t="str">
        <x:v>MFE-529064462BB49E</x:v>
      </x:c>
      <x:c r="B21" s="36" t="str">
        <x:v>manufacturer</x:v>
      </x:c>
      <x:c r="C21" s="36" t="str">
        <x:v>HONDA</x:v>
      </x:c>
      <x:c r="D21" s="36" t="str">
        <x:v>Honda</x:v>
      </x:c>
      <x:c r="E21" s="36" t="str">
        <x:v>vehicle_manufacturer</x:v>
      </x:c>
      <x:c r="F21" s="36" t="str">
        <x:v>use_entity</x:v>
      </x:c>
      <x:c r="G21" s="36" t="str">
        <x:v>exact</x:v>
      </x:c>
      <x:c r="H21" s="38" t="str">
        <x:v>[]</x:v>
      </x:c>
      <x:c r="I21" s="38" t="str">
        <x:v>[]</x:v>
      </x:c>
      <x:c r="J21" s="38" t="str">
        <x:v>{}</x:v>
      </x:c>
      <x:c r="K21" s="36"/>
      <x:c r="L21" s="38" t="str">
        <x:v>{"source_field":"manufacturer","source_term":"HONDA","canonical_name":"Honda","entity_role":"vehicle_manufacturer","base_behavior":"use_entity"}</x:v>
      </x:c>
    </x:row>
    <x:row r="22" ht="18" customHeight="1">
      <x:c r="A22" s="36" t="str">
        <x:v>MFE-62601065CC7303</x:v>
      </x:c>
      <x:c r="B22" s="36" t="str">
        <x:v>manufacturer</x:v>
      </x:c>
      <x:c r="C22" s="36" t="str">
        <x:v>HONDA MOTOR CO LTD</x:v>
      </x:c>
      <x:c r="D22" s="36" t="str">
        <x:v>Honda</x:v>
      </x:c>
      <x:c r="E22" s="36" t="str">
        <x:v>vehicle_manufacturer</x:v>
      </x:c>
      <x:c r="F22" s="36" t="str">
        <x:v>use_entity</x:v>
      </x:c>
      <x:c r="G22" s="36" t="str">
        <x:v>exact</x:v>
      </x:c>
      <x:c r="H22" s="38" t="str">
        <x:v>[]</x:v>
      </x:c>
      <x:c r="I22" s="38" t="str">
        <x:v>[]</x:v>
      </x:c>
      <x:c r="J22" s="38" t="str">
        <x:v>{}</x:v>
      </x:c>
      <x:c r="K22" s="36"/>
      <x:c r="L22" s="38" t="str">
        <x:v>{"source_field":"manufacturer","source_term":"HONDA MOTOR CO LTD","canonical_name":"Honda","entity_role":"vehicle_manufacturer","base_behavior":"use_entity"}</x:v>
      </x:c>
    </x:row>
    <x:row r="23" ht="18" customHeight="1">
      <x:c r="A23" s="36" t="str">
        <x:v>MFE-1C68BDE8EB84F7</x:v>
      </x:c>
      <x:c r="B23" s="36" t="str">
        <x:v>manufacturer</x:v>
      </x:c>
      <x:c r="C23" s="36" t="str">
        <x:v>HYUNDAI</x:v>
      </x:c>
      <x:c r="D23" s="36" t="str">
        <x:v>Hyundai</x:v>
      </x:c>
      <x:c r="E23" s="36" t="str">
        <x:v>vehicle_manufacturer</x:v>
      </x:c>
      <x:c r="F23" s="36" t="str">
        <x:v>use_entity</x:v>
      </x:c>
      <x:c r="G23" s="36" t="str">
        <x:v>exact</x:v>
      </x:c>
      <x:c r="H23" s="38" t="str">
        <x:v>[]</x:v>
      </x:c>
      <x:c r="I23" s="38" t="str">
        <x:v>[]</x:v>
      </x:c>
      <x:c r="J23" s="38" t="str">
        <x:v>{}</x:v>
      </x:c>
      <x:c r="K23" s="36"/>
      <x:c r="L23" s="38" t="str">
        <x:v>{"source_field":"manufacturer","source_term":"HYUNDAI","canonical_name":"Hyundai","entity_role":"vehicle_manufacturer","base_behavior":"use_entity"}</x:v>
      </x:c>
    </x:row>
    <x:row r="24" ht="18" customHeight="1">
      <x:c r="A24" s="36" t="str">
        <x:v>MFE-7A70394AA12D4D</x:v>
      </x:c>
      <x:c r="B24" s="36" t="str">
        <x:v>manufacturer</x:v>
      </x:c>
      <x:c r="C24" s="36" t="str">
        <x:v>HYUNDAI MOTOR COMPANY</x:v>
      </x:c>
      <x:c r="D24" s="36" t="str">
        <x:v>Hyundai</x:v>
      </x:c>
      <x:c r="E24" s="36" t="str">
        <x:v>vehicle_manufacturer</x:v>
      </x:c>
      <x:c r="F24" s="36" t="str">
        <x:v>use_entity</x:v>
      </x:c>
      <x:c r="G24" s="36" t="str">
        <x:v>exact</x:v>
      </x:c>
      <x:c r="H24" s="38" t="str">
        <x:v>[]</x:v>
      </x:c>
      <x:c r="I24" s="38" t="str">
        <x:v>[]</x:v>
      </x:c>
      <x:c r="J24" s="38" t="str">
        <x:v>{}</x:v>
      </x:c>
      <x:c r="K24" s="36"/>
      <x:c r="L24" s="38" t="str">
        <x:v>{"source_field":"manufacturer","source_term":"HYUNDAI MOTOR COMPANY","canonical_name":"Hyundai","entity_role":"vehicle_manufacturer","base_behavior":"use_entity"}</x:v>
      </x:c>
    </x:row>
    <x:row r="25" ht="18" customHeight="1">
      <x:c r="A25" s="36" t="str">
        <x:v>MFE-C7D97EBF226F19</x:v>
      </x:c>
      <x:c r="B25" s="36" t="str">
        <x:v>manufacturer</x:v>
      </x:c>
      <x:c r="C25" s="36" t="str">
        <x:v>HYUNDAI MOTOR MANUFACTURING CZECH</x:v>
      </x:c>
      <x:c r="D25" s="36" t="str">
        <x:v>Hyundai</x:v>
      </x:c>
      <x:c r="E25" s="36" t="str">
        <x:v>vehicle_manufacturer</x:v>
      </x:c>
      <x:c r="F25" s="36" t="str">
        <x:v>use_entity</x:v>
      </x:c>
      <x:c r="G25" s="36" t="str">
        <x:v>exact</x:v>
      </x:c>
      <x:c r="H25" s="38" t="str">
        <x:v>[]</x:v>
      </x:c>
      <x:c r="I25" s="38" t="str">
        <x:v>[]</x:v>
      </x:c>
      <x:c r="J25" s="38" t="str">
        <x:v>{}</x:v>
      </x:c>
      <x:c r="K25" s="36"/>
      <x:c r="L25" s="38" t="str">
        <x:v>{"source_field":"manufacturer","source_term":"HYUNDAI MOTOR MANUFACTURING CZECH","canonical_name":"Hyundai","entity_role":"vehicle_manufacturer","base_behavior":"use_entity"}</x:v>
      </x:c>
    </x:row>
    <x:row r="26" ht="18" customHeight="1">
      <x:c r="A26" s="36" t="str">
        <x:v>MFE-CC9BBCE6743E3D</x:v>
      </x:c>
      <x:c r="B26" s="36" t="str">
        <x:v>manufacturer</x:v>
      </x:c>
      <x:c r="C26" s="36" t="str">
        <x:v>ISUZU</x:v>
      </x:c>
      <x:c r="D26" s="36" t="str">
        <x:v>Isuzu</x:v>
      </x:c>
      <x:c r="E26" s="36" t="str">
        <x:v>vehicle_manufacturer</x:v>
      </x:c>
      <x:c r="F26" s="36" t="str">
        <x:v>use_entity</x:v>
      </x:c>
      <x:c r="G26" s="36" t="str">
        <x:v>exact</x:v>
      </x:c>
      <x:c r="H26" s="38" t="str">
        <x:v>[]</x:v>
      </x:c>
      <x:c r="I26" s="38" t="str">
        <x:v>[]</x:v>
      </x:c>
      <x:c r="J26" s="38" t="str">
        <x:v>{}</x:v>
      </x:c>
      <x:c r="K26" s="36"/>
      <x:c r="L26" s="38" t="str">
        <x:v>{"source_field":"manufacturer","source_term":"ISUZU","canonical_name":"Isuzu","entity_role":"vehicle_manufacturer","base_behavior":"use_entity"}</x:v>
      </x:c>
    </x:row>
    <x:row r="27" ht="18" customHeight="1">
      <x:c r="A27" s="36" t="str">
        <x:v>MFE-1EA4F59DA41180</x:v>
      </x:c>
      <x:c r="B27" s="36" t="str">
        <x:v>manufacturer</x:v>
      </x:c>
      <x:c r="C27" s="36" t="str">
        <x:v>IVECO</x:v>
      </x:c>
      <x:c r="D27" s="36" t="str">
        <x:v>Iveco</x:v>
      </x:c>
      <x:c r="E27" s="36" t="str">
        <x:v>vehicle_manufacturer</x:v>
      </x:c>
      <x:c r="F27" s="36" t="str">
        <x:v>use_entity</x:v>
      </x:c>
      <x:c r="G27" s="36" t="str">
        <x:v>exact</x:v>
      </x:c>
      <x:c r="H27" s="38" t="str">
        <x:v>[]</x:v>
      </x:c>
      <x:c r="I27" s="38" t="str">
        <x:v>[]</x:v>
      </x:c>
      <x:c r="J27" s="38" t="str">
        <x:v>{}</x:v>
      </x:c>
      <x:c r="K27" s="36"/>
      <x:c r="L27" s="38" t="str">
        <x:v>{"source_field":"manufacturer","source_term":"IVECO","canonical_name":"Iveco","entity_role":"vehicle_manufacturer","base_behavior":"use_entity"}</x:v>
      </x:c>
    </x:row>
    <x:row r="28" ht="18" customHeight="1">
      <x:c r="A28" s="36" t="str">
        <x:v>MFE-2367257214C64E</x:v>
      </x:c>
      <x:c r="B28" s="36" t="str">
        <x:v>manufacturer</x:v>
      </x:c>
      <x:c r="C28" s="36" t="str">
        <x:v>IVECO SPA</x:v>
      </x:c>
      <x:c r="D28" s="36" t="str">
        <x:v>Iveco</x:v>
      </x:c>
      <x:c r="E28" s="36" t="str">
        <x:v>vehicle_manufacturer</x:v>
      </x:c>
      <x:c r="F28" s="36" t="str">
        <x:v>use_entity</x:v>
      </x:c>
      <x:c r="G28" s="36" t="str">
        <x:v>exact</x:v>
      </x:c>
      <x:c r="H28" s="38" t="str">
        <x:v>[]</x:v>
      </x:c>
      <x:c r="I28" s="38" t="str">
        <x:v>[]</x:v>
      </x:c>
      <x:c r="J28" s="38" t="str">
        <x:v>{}</x:v>
      </x:c>
      <x:c r="K28" s="36"/>
      <x:c r="L28" s="38" t="str">
        <x:v>{"source_field":"manufacturer","source_term":"IVECO SPA","canonical_name":"Iveco","entity_role":"vehicle_manufacturer","base_behavior":"use_entity"}</x:v>
      </x:c>
    </x:row>
    <x:row r="29" ht="18" customHeight="1">
      <x:c r="A29" s="36" t="str">
        <x:v>MFE-9F0672AFD23203</x:v>
      </x:c>
      <x:c r="B29" s="36" t="str">
        <x:v>manufacturer</x:v>
      </x:c>
      <x:c r="C29" s="36" t="str">
        <x:v>JEEP</x:v>
      </x:c>
      <x:c r="D29" s="36" t="str">
        <x:v>Jeep</x:v>
      </x:c>
      <x:c r="E29" s="36" t="str">
        <x:v>vehicle_manufacturer</x:v>
      </x:c>
      <x:c r="F29" s="36" t="str">
        <x:v>use_entity</x:v>
      </x:c>
      <x:c r="G29" s="36" t="str">
        <x:v>exact</x:v>
      </x:c>
      <x:c r="H29" s="38" t="str">
        <x:v>[]</x:v>
      </x:c>
      <x:c r="I29" s="38" t="str">
        <x:v>[]</x:v>
      </x:c>
      <x:c r="J29" s="38" t="str">
        <x:v>{}</x:v>
      </x:c>
      <x:c r="K29" s="36"/>
      <x:c r="L29" s="38" t="str">
        <x:v>{"source_field":"manufacturer","source_term":"JEEP","canonical_name":"Jeep","entity_role":"vehicle_manufacturer","base_behavior":"use_entity"}</x:v>
      </x:c>
    </x:row>
    <x:row r="30" ht="18" customHeight="1">
      <x:c r="A30" s="36" t="str">
        <x:v>MFE-949071D4FE65B5</x:v>
      </x:c>
      <x:c r="B30" s="36" t="str">
        <x:v>manufacturer</x:v>
      </x:c>
      <x:c r="C30" s="36" t="str">
        <x:v>KIA</x:v>
      </x:c>
      <x:c r="D30" s="36" t="str">
        <x:v>Kia</x:v>
      </x:c>
      <x:c r="E30" s="36" t="str">
        <x:v>vehicle_manufacturer</x:v>
      </x:c>
      <x:c r="F30" s="36" t="str">
        <x:v>use_entity</x:v>
      </x:c>
      <x:c r="G30" s="36" t="str">
        <x:v>exact</x:v>
      </x:c>
      <x:c r="H30" s="38" t="str">
        <x:v>[]</x:v>
      </x:c>
      <x:c r="I30" s="38" t="str">
        <x:v>[]</x:v>
      </x:c>
      <x:c r="J30" s="38" t="str">
        <x:v>{}</x:v>
      </x:c>
      <x:c r="K30" s="36"/>
      <x:c r="L30" s="38" t="str">
        <x:v>{"source_field":"manufacturer","source_term":"KIA","canonical_name":"Kia","entity_role":"vehicle_manufacturer","base_behavior":"use_entity"}</x:v>
      </x:c>
    </x:row>
    <x:row r="31" ht="18" customHeight="1">
      <x:c r="A31" s="36" t="str">
        <x:v>MFE-AE8540710DA4B4</x:v>
      </x:c>
      <x:c r="B31" s="36" t="str">
        <x:v>manufacturer</x:v>
      </x:c>
      <x:c r="C31" s="36" t="str">
        <x:v>KIA MOTORS</x:v>
      </x:c>
      <x:c r="D31" s="36" t="str">
        <x:v>Kia</x:v>
      </x:c>
      <x:c r="E31" s="36" t="str">
        <x:v>vehicle_manufacturer</x:v>
      </x:c>
      <x:c r="F31" s="36" t="str">
        <x:v>use_entity</x:v>
      </x:c>
      <x:c r="G31" s="36" t="str">
        <x:v>exact</x:v>
      </x:c>
      <x:c r="H31" s="38" t="str">
        <x:v>[]</x:v>
      </x:c>
      <x:c r="I31" s="38" t="str">
        <x:v>[]</x:v>
      </x:c>
      <x:c r="J31" s="38" t="str">
        <x:v>{}</x:v>
      </x:c>
      <x:c r="K31" s="36"/>
      <x:c r="L31" s="38" t="str">
        <x:v>{"source_field":"manufacturer","source_term":"KIA MOTORS","canonical_name":"Kia","entity_role":"vehicle_manufacturer","base_behavior":"use_entity"}</x:v>
      </x:c>
    </x:row>
    <x:row r="32" ht="18" customHeight="1">
      <x:c r="A32" s="36" t="str">
        <x:v>MFE-097347E85A3EDD</x:v>
      </x:c>
      <x:c r="B32" s="36" t="str">
        <x:v>manufacturer</x:v>
      </x:c>
      <x:c r="C32" s="36" t="str">
        <x:v>KIACORPORATION</x:v>
      </x:c>
      <x:c r="D32" s="36" t="str">
        <x:v>Kia</x:v>
      </x:c>
      <x:c r="E32" s="36" t="str">
        <x:v>vehicle_manufacturer</x:v>
      </x:c>
      <x:c r="F32" s="36" t="str">
        <x:v>use_entity</x:v>
      </x:c>
      <x:c r="G32" s="36" t="str">
        <x:v>exact</x:v>
      </x:c>
      <x:c r="H32" s="38" t="str">
        <x:v>[]</x:v>
      </x:c>
      <x:c r="I32" s="38" t="str">
        <x:v>[]</x:v>
      </x:c>
      <x:c r="J32" s="38" t="str">
        <x:v>{}</x:v>
      </x:c>
      <x:c r="K32" s="36"/>
      <x:c r="L32" s="38" t="str">
        <x:v>{"source_field":"manufacturer","source_term":"KIACORPORATION","canonical_name":"Kia","entity_role":"vehicle_manufacturer","base_behavior":"use_entity"}</x:v>
      </x:c>
    </x:row>
    <x:row r="33" ht="18" customHeight="1">
      <x:c r="A33" s="36" t="str">
        <x:v>MFE-36E301A56D63E6</x:v>
      </x:c>
      <x:c r="B33" s="36" t="str">
        <x:v>manufacturer</x:v>
      </x:c>
      <x:c r="C33" s="36" t="str">
        <x:v>KIAMOTORSCORPORATION</x:v>
      </x:c>
      <x:c r="D33" s="36" t="str">
        <x:v>Kia</x:v>
      </x:c>
      <x:c r="E33" s="36" t="str">
        <x:v>vehicle_manufacturer</x:v>
      </x:c>
      <x:c r="F33" s="36" t="str">
        <x:v>use_entity</x:v>
      </x:c>
      <x:c r="G33" s="36" t="str">
        <x:v>exact</x:v>
      </x:c>
      <x:c r="H33" s="38" t="str">
        <x:v>[]</x:v>
      </x:c>
      <x:c r="I33" s="38" t="str">
        <x:v>[]</x:v>
      </x:c>
      <x:c r="J33" s="38" t="str">
        <x:v>{}</x:v>
      </x:c>
      <x:c r="K33" s="36"/>
      <x:c r="L33" s="38" t="str">
        <x:v>{"source_field":"manufacturer","source_term":"KIAMOTORSCORPORATION","canonical_name":"Kia","entity_role":"vehicle_manufacturer","base_behavior":"use_entity"}</x:v>
      </x:c>
    </x:row>
    <x:row r="34" ht="18" customHeight="1">
      <x:c r="A34" s="36" t="str">
        <x:v>MFE-F84205583368B6</x:v>
      </x:c>
      <x:c r="B34" s="36" t="str">
        <x:v>manufacturer</x:v>
      </x:c>
      <x:c r="C34" s="36" t="str">
        <x:v>LEXUS</x:v>
      </x:c>
      <x:c r="D34" s="36" t="str">
        <x:v>Lexus</x:v>
      </x:c>
      <x:c r="E34" s="36" t="str">
        <x:v>vehicle_manufacturer</x:v>
      </x:c>
      <x:c r="F34" s="36" t="str">
        <x:v>use_entity</x:v>
      </x:c>
      <x:c r="G34" s="36" t="str">
        <x:v>exact</x:v>
      </x:c>
      <x:c r="H34" s="38" t="str">
        <x:v>[]</x:v>
      </x:c>
      <x:c r="I34" s="38" t="str">
        <x:v>[]</x:v>
      </x:c>
      <x:c r="J34" s="38" t="str">
        <x:v>{}</x:v>
      </x:c>
      <x:c r="K34" s="36"/>
      <x:c r="L34" s="38" t="str">
        <x:v>{"source_field":"manufacturer","source_term":"LEXUS","canonical_name":"Lexus","entity_role":"vehicle_manufacturer","base_behavior":"use_entity"}</x:v>
      </x:c>
    </x:row>
    <x:row r="35" ht="18" customHeight="1">
      <x:c r="A35" s="36" t="str">
        <x:v>MFE-97EB197FEB219F</x:v>
      </x:c>
      <x:c r="B35" s="36" t="str">
        <x:v>manufacturer</x:v>
      </x:c>
      <x:c r="C35" s="36" t="str">
        <x:v>MAN</x:v>
      </x:c>
      <x:c r="D35" s="36" t="str">
        <x:v>MAN</x:v>
      </x:c>
      <x:c r="E35" s="36" t="str">
        <x:v>vehicle_manufacturer</x:v>
      </x:c>
      <x:c r="F35" s="36" t="str">
        <x:v>use_entity</x:v>
      </x:c>
      <x:c r="G35" s="36" t="str">
        <x:v>exact</x:v>
      </x:c>
      <x:c r="H35" s="38" t="str">
        <x:v>[]</x:v>
      </x:c>
      <x:c r="I35" s="38" t="str">
        <x:v>[]</x:v>
      </x:c>
      <x:c r="J35" s="38" t="str">
        <x:v>{}</x:v>
      </x:c>
      <x:c r="K35" s="36"/>
      <x:c r="L35" s="38" t="str">
        <x:v>{"source_field":"manufacturer","source_term":"MAN","canonical_name":"MAN","entity_role":"vehicle_manufacturer","base_behavior":"use_entity"}</x:v>
      </x:c>
    </x:row>
    <x:row r="36" ht="18" customHeight="1">
      <x:c r="A36" s="36" t="str">
        <x:v>MFE-43E1275F967C6B</x:v>
      </x:c>
      <x:c r="B36" s="36" t="str">
        <x:v>manufacturer</x:v>
      </x:c>
      <x:c r="C36" s="36" t="str">
        <x:v>MAN TRUCK BUS</x:v>
      </x:c>
      <x:c r="D36" s="36" t="str">
        <x:v>MAN</x:v>
      </x:c>
      <x:c r="E36" s="36" t="str">
        <x:v>vehicle_manufacturer</x:v>
      </x:c>
      <x:c r="F36" s="36" t="str">
        <x:v>use_entity</x:v>
      </x:c>
      <x:c r="G36" s="36" t="str">
        <x:v>exact</x:v>
      </x:c>
      <x:c r="H36" s="38" t="str">
        <x:v>[]</x:v>
      </x:c>
      <x:c r="I36" s="38" t="str">
        <x:v>[]</x:v>
      </x:c>
      <x:c r="J36" s="38" t="str">
        <x:v>{}</x:v>
      </x:c>
      <x:c r="K36" s="36"/>
      <x:c r="L36" s="38" t="str">
        <x:v>{"source_field":"manufacturer","source_term":"MAN TRUCK BUS","canonical_name":"MAN","entity_role":"vehicle_manufacturer","base_behavior":"use_entity"}</x:v>
      </x:c>
    </x:row>
    <x:row r="37" ht="18" customHeight="1">
      <x:c r="A37" s="36" t="str">
        <x:v>MFE-1599B91CDA0C81</x:v>
      </x:c>
      <x:c r="B37" s="36" t="str">
        <x:v>manufacturer</x:v>
      </x:c>
      <x:c r="C37" s="36" t="str">
        <x:v>MAXUS</x:v>
      </x:c>
      <x:c r="D37" s="36" t="str">
        <x:v>Maxus</x:v>
      </x:c>
      <x:c r="E37" s="36" t="str">
        <x:v>vehicle_manufacturer</x:v>
      </x:c>
      <x:c r="F37" s="36" t="str">
        <x:v>use_entity</x:v>
      </x:c>
      <x:c r="G37" s="36" t="str">
        <x:v>exact</x:v>
      </x:c>
      <x:c r="H37" s="38" t="str">
        <x:v>[]</x:v>
      </x:c>
      <x:c r="I37" s="38" t="str">
        <x:v>[]</x:v>
      </x:c>
      <x:c r="J37" s="38" t="str">
        <x:v>{}</x:v>
      </x:c>
      <x:c r="K37" s="36"/>
      <x:c r="L37" s="38" t="str">
        <x:v>{"source_field":"manufacturer","source_term":"MAXUS","canonical_name":"Maxus","entity_role":"vehicle_manufacturer","base_behavior":"use_entity"}</x:v>
      </x:c>
    </x:row>
    <x:row r="38" ht="18" customHeight="1">
      <x:c r="A38" s="36" t="str">
        <x:v>MFE-1282B54E23BB4C</x:v>
      </x:c>
      <x:c r="B38" s="36" t="str">
        <x:v>manufacturer</x:v>
      </x:c>
      <x:c r="C38" s="36" t="str">
        <x:v>MERCEDES</x:v>
      </x:c>
      <x:c r="D38" s="36" t="str">
        <x:v>Mercedes-Benz</x:v>
      </x:c>
      <x:c r="E38" s="36" t="str">
        <x:v>vehicle_manufacturer</x:v>
      </x:c>
      <x:c r="F38" s="36" t="str">
        <x:v>use_entity</x:v>
      </x:c>
      <x:c r="G38" s="36" t="str">
        <x:v>exact</x:v>
      </x:c>
      <x:c r="H38" s="38" t="str">
        <x:v>[]</x:v>
      </x:c>
      <x:c r="I38" s="38" t="str">
        <x:v>[]</x:v>
      </x:c>
      <x:c r="J38" s="38" t="str">
        <x:v>{}</x:v>
      </x:c>
      <x:c r="K38" s="36"/>
      <x:c r="L38" s="38" t="str">
        <x:v>{"source_field":"manufacturer","source_term":"MERCEDES","canonical_name":"Mercedes-Benz","entity_role":"vehicle_manufacturer","base_behavior":"use_entity"}</x:v>
      </x:c>
    </x:row>
    <x:row r="39" ht="18" customHeight="1">
      <x:c r="A39" s="36" t="str">
        <x:v>MFE-561A61EF72F9D2</x:v>
      </x:c>
      <x:c r="B39" s="36" t="str">
        <x:v>manufacturer</x:v>
      </x:c>
      <x:c r="C39" s="36" t="str">
        <x:v>MERCEDES BENZ</x:v>
      </x:c>
      <x:c r="D39" s="36" t="str">
        <x:v>Mercedes-Benz</x:v>
      </x:c>
      <x:c r="E39" s="36" t="str">
        <x:v>vehicle_manufacturer</x:v>
      </x:c>
      <x:c r="F39" s="36" t="str">
        <x:v>use_entity</x:v>
      </x:c>
      <x:c r="G39" s="36" t="str">
        <x:v>exact</x:v>
      </x:c>
      <x:c r="H39" s="38" t="str">
        <x:v>[]</x:v>
      </x:c>
      <x:c r="I39" s="38" t="str">
        <x:v>[]</x:v>
      </x:c>
      <x:c r="J39" s="38" t="str">
        <x:v>{}</x:v>
      </x:c>
      <x:c r="K39" s="36"/>
      <x:c r="L39" s="38" t="str">
        <x:v>{"source_field":"manufacturer","source_term":"MERCEDES BENZ","canonical_name":"Mercedes-Benz","entity_role":"vehicle_manufacturer","base_behavior":"use_entity"}</x:v>
      </x:c>
    </x:row>
    <x:row r="40" ht="18" customHeight="1">
      <x:c r="A40" s="36" t="str">
        <x:v>MFE-7604D1076B1104</x:v>
      </x:c>
      <x:c r="B40" s="36" t="str">
        <x:v>manufacturer</x:v>
      </x:c>
      <x:c r="C40" s="36" t="str">
        <x:v>MERCEDES BENZ AG</x:v>
      </x:c>
      <x:c r="D40" s="36" t="str">
        <x:v>Mercedes-Benz</x:v>
      </x:c>
      <x:c r="E40" s="36" t="str">
        <x:v>vehicle_manufacturer</x:v>
      </x:c>
      <x:c r="F40" s="36" t="str">
        <x:v>use_entity</x:v>
      </x:c>
      <x:c r="G40" s="36" t="str">
        <x:v>exact</x:v>
      </x:c>
      <x:c r="H40" s="38" t="str">
        <x:v>[]</x:v>
      </x:c>
      <x:c r="I40" s="38" t="str">
        <x:v>[]</x:v>
      </x:c>
      <x:c r="J40" s="38" t="str">
        <x:v>{}</x:v>
      </x:c>
      <x:c r="K40" s="36"/>
      <x:c r="L40" s="38" t="str">
        <x:v>{"source_field":"manufacturer","source_term":"MERCEDES BENZ AG","canonical_name":"Mercedes-Benz","entity_role":"vehicle_manufacturer","base_behavior":"use_entity"}</x:v>
      </x:c>
    </x:row>
    <x:row r="41" ht="18" customHeight="1">
      <x:c r="A41" s="36" t="str">
        <x:v>MFE-230D97D4D05058</x:v>
      </x:c>
      <x:c r="B41" s="36" t="str">
        <x:v>manufacturer</x:v>
      </x:c>
      <x:c r="C41" s="36" t="str">
        <x:v>MINI</x:v>
      </x:c>
      <x:c r="D41" s="36" t="str">
        <x:v>MINI</x:v>
      </x:c>
      <x:c r="E41" s="36" t="str">
        <x:v>vehicle_manufacturer</x:v>
      </x:c>
      <x:c r="F41" s="36" t="str">
        <x:v>use_entity</x:v>
      </x:c>
      <x:c r="G41" s="36" t="str">
        <x:v>exact</x:v>
      </x:c>
      <x:c r="H41" s="38" t="str">
        <x:v>[]</x:v>
      </x:c>
      <x:c r="I41" s="38" t="str">
        <x:v>[]</x:v>
      </x:c>
      <x:c r="J41" s="38" t="str">
        <x:v>{}</x:v>
      </x:c>
      <x:c r="K41" s="36"/>
      <x:c r="L41" s="38" t="str">
        <x:v>{"source_field":"manufacturer","source_term":"MINI","canonical_name":"MINI","entity_role":"vehicle_manufacturer","base_behavior":"use_entity"}</x:v>
      </x:c>
    </x:row>
    <x:row r="42" ht="18" customHeight="1">
      <x:c r="A42" s="36" t="str">
        <x:v>MFE-C52A1D7A5025CD</x:v>
      </x:c>
      <x:c r="B42" s="36" t="str">
        <x:v>manufacturer</x:v>
      </x:c>
      <x:c r="C42" s="36" t="str">
        <x:v>NISSAN</x:v>
      </x:c>
      <x:c r="D42" s="36" t="str">
        <x:v>Nissan</x:v>
      </x:c>
      <x:c r="E42" s="36" t="str">
        <x:v>vehicle_manufacturer</x:v>
      </x:c>
      <x:c r="F42" s="36" t="str">
        <x:v>use_entity</x:v>
      </x:c>
      <x:c r="G42" s="36" t="str">
        <x:v>exact</x:v>
      </x:c>
      <x:c r="H42" s="38" t="str">
        <x:v>[]</x:v>
      </x:c>
      <x:c r="I42" s="38" t="str">
        <x:v>[]</x:v>
      </x:c>
      <x:c r="J42" s="38" t="str">
        <x:v>{}</x:v>
      </x:c>
      <x:c r="K42" s="36"/>
      <x:c r="L42" s="38" t="str">
        <x:v>{"source_field":"manufacturer","source_term":"NISSAN","canonical_name":"Nissan","entity_role":"vehicle_manufacturer","base_behavior":"use_entity"}</x:v>
      </x:c>
    </x:row>
    <x:row r="43" ht="18" customHeight="1">
      <x:c r="A43" s="36" t="str">
        <x:v>MFE-D5C344923E60C0</x:v>
      </x:c>
      <x:c r="B43" s="36" t="str">
        <x:v>manufacturer</x:v>
      </x:c>
      <x:c r="C43" s="36" t="str">
        <x:v>NISSAN MOTOR CO LTD</x:v>
      </x:c>
      <x:c r="D43" s="36" t="str">
        <x:v>Nissan</x:v>
      </x:c>
      <x:c r="E43" s="36" t="str">
        <x:v>vehicle_manufacturer</x:v>
      </x:c>
      <x:c r="F43" s="36" t="str">
        <x:v>use_entity</x:v>
      </x:c>
      <x:c r="G43" s="36" t="str">
        <x:v>exact</x:v>
      </x:c>
      <x:c r="H43" s="38" t="str">
        <x:v>[]</x:v>
      </x:c>
      <x:c r="I43" s="38" t="str">
        <x:v>[]</x:v>
      </x:c>
      <x:c r="J43" s="38" t="str">
        <x:v>{}</x:v>
      </x:c>
      <x:c r="K43" s="36"/>
      <x:c r="L43" s="38" t="str">
        <x:v>{"source_field":"manufacturer","source_term":"NISSAN MOTOR CO LTD","canonical_name":"Nissan","entity_role":"vehicle_manufacturer","base_behavior":"use_entity"}</x:v>
      </x:c>
    </x:row>
    <x:row r="44" ht="18" customHeight="1">
      <x:c r="A44" s="36" t="str">
        <x:v>MFE-936279280E38AB</x:v>
      </x:c>
      <x:c r="B44" s="36" t="str">
        <x:v>manufacturer</x:v>
      </x:c>
      <x:c r="C44" s="36" t="str">
        <x:v>OPEL</x:v>
      </x:c>
      <x:c r="D44" s="36" t="str">
        <x:v>Opel</x:v>
      </x:c>
      <x:c r="E44" s="36" t="str">
        <x:v>vehicle_manufacturer</x:v>
      </x:c>
      <x:c r="F44" s="36" t="str">
        <x:v>use_entity</x:v>
      </x:c>
      <x:c r="G44" s="36" t="str">
        <x:v>exact</x:v>
      </x:c>
      <x:c r="H44" s="38" t="str">
        <x:v>[]</x:v>
      </x:c>
      <x:c r="I44" s="38" t="str">
        <x:v>[]</x:v>
      </x:c>
      <x:c r="J44" s="38" t="str">
        <x:v>{}</x:v>
      </x:c>
      <x:c r="K44" s="36"/>
      <x:c r="L44" s="38" t="str">
        <x:v>{"source_field":"manufacturer","source_term":"OPEL","canonical_name":"Opel","entity_role":"vehicle_manufacturer","base_behavior":"use_entity"}</x:v>
      </x:c>
    </x:row>
    <x:row r="45" ht="18" customHeight="1">
      <x:c r="A45" s="36" t="str">
        <x:v>MFE-038E1B81C33E0F</x:v>
      </x:c>
      <x:c r="B45" s="36" t="str">
        <x:v>manufacturer</x:v>
      </x:c>
      <x:c r="C45" s="36" t="str">
        <x:v>OPEL AUTOMOBILE GMBH</x:v>
      </x:c>
      <x:c r="D45" s="36" t="str">
        <x:v>Opel</x:v>
      </x:c>
      <x:c r="E45" s="36" t="str">
        <x:v>vehicle_manufacturer</x:v>
      </x:c>
      <x:c r="F45" s="36" t="str">
        <x:v>use_entity</x:v>
      </x:c>
      <x:c r="G45" s="36" t="str">
        <x:v>exact</x:v>
      </x:c>
      <x:c r="H45" s="38" t="str">
        <x:v>[]</x:v>
      </x:c>
      <x:c r="I45" s="38" t="str">
        <x:v>[]</x:v>
      </x:c>
      <x:c r="J45" s="38" t="str">
        <x:v>{}</x:v>
      </x:c>
      <x:c r="K45" s="36"/>
      <x:c r="L45" s="38" t="str">
        <x:v>{"source_field":"manufacturer","source_term":"OPEL AUTOMOBILE GMBH","canonical_name":"Opel","entity_role":"vehicle_manufacturer","base_behavior":"use_entity"}</x:v>
      </x:c>
    </x:row>
    <x:row r="46" ht="18" customHeight="1">
      <x:c r="A46" s="36" t="str">
        <x:v>MFE-CF114F4EFABA7D</x:v>
      </x:c>
      <x:c r="B46" s="36" t="str">
        <x:v>manufacturer</x:v>
      </x:c>
      <x:c r="C46" s="36" t="str">
        <x:v>PEUGEOT</x:v>
      </x:c>
      <x:c r="D46" s="36" t="str">
        <x:v>Peugeot</x:v>
      </x:c>
      <x:c r="E46" s="36" t="str">
        <x:v>vehicle_manufacturer</x:v>
      </x:c>
      <x:c r="F46" s="36" t="str">
        <x:v>use_entity</x:v>
      </x:c>
      <x:c r="G46" s="36" t="str">
        <x:v>exact</x:v>
      </x:c>
      <x:c r="H46" s="38" t="str">
        <x:v>[]</x:v>
      </x:c>
      <x:c r="I46" s="38" t="str">
        <x:v>[]</x:v>
      </x:c>
      <x:c r="J46" s="38" t="str">
        <x:v>{}</x:v>
      </x:c>
      <x:c r="K46" s="36"/>
      <x:c r="L46" s="38" t="str">
        <x:v>{"source_field":"manufacturer","source_term":"PEUGEOT","canonical_name":"Peugeot","entity_role":"vehicle_manufacturer","base_behavior":"use_entity"}</x:v>
      </x:c>
    </x:row>
    <x:row r="47" ht="18" customHeight="1">
      <x:c r="A47" s="36" t="str">
        <x:v>MFE-B7A30535AA7AAE</x:v>
      </x:c>
      <x:c r="B47" s="36" t="str">
        <x:v>manufacturer</x:v>
      </x:c>
      <x:c r="C47" s="36" t="str">
        <x:v>PORSCHE</x:v>
      </x:c>
      <x:c r="D47" s="36" t="str">
        <x:v>Porsche</x:v>
      </x:c>
      <x:c r="E47" s="36" t="str">
        <x:v>vehicle_manufacturer</x:v>
      </x:c>
      <x:c r="F47" s="36" t="str">
        <x:v>use_entity</x:v>
      </x:c>
      <x:c r="G47" s="36" t="str">
        <x:v>exact</x:v>
      </x:c>
      <x:c r="H47" s="38" t="str">
        <x:v>[]</x:v>
      </x:c>
      <x:c r="I47" s="38" t="str">
        <x:v>[]</x:v>
      </x:c>
      <x:c r="J47" s="38" t="str">
        <x:v>{}</x:v>
      </x:c>
      <x:c r="K47" s="36"/>
      <x:c r="L47" s="38" t="str">
        <x:v>{"source_field":"manufacturer","source_term":"PORSCHE","canonical_name":"Porsche","entity_role":"vehicle_manufacturer","base_behavior":"use_entity"}</x:v>
      </x:c>
    </x:row>
    <x:row r="48" ht="18" customHeight="1">
      <x:c r="A48" s="36" t="str">
        <x:v>MFE-1D2C3FF3D0EC53</x:v>
      </x:c>
      <x:c r="B48" s="36" t="str">
        <x:v>manufacturer</x:v>
      </x:c>
      <x:c r="C48" s="36" t="str">
        <x:v>PORSCHE AG</x:v>
      </x:c>
      <x:c r="D48" s="36" t="str">
        <x:v>Porsche</x:v>
      </x:c>
      <x:c r="E48" s="36" t="str">
        <x:v>vehicle_manufacturer</x:v>
      </x:c>
      <x:c r="F48" s="36" t="str">
        <x:v>use_entity</x:v>
      </x:c>
      <x:c r="G48" s="36" t="str">
        <x:v>exact</x:v>
      </x:c>
      <x:c r="H48" s="38" t="str">
        <x:v>[]</x:v>
      </x:c>
      <x:c r="I48" s="38" t="str">
        <x:v>[]</x:v>
      </x:c>
      <x:c r="J48" s="38" t="str">
        <x:v>{}</x:v>
      </x:c>
      <x:c r="K48" s="36"/>
      <x:c r="L48" s="38" t="str">
        <x:v>{"source_field":"manufacturer","source_term":"PORSCHE AG","canonical_name":"Porsche","entity_role":"vehicle_manufacturer","base_behavior":"use_entity"}</x:v>
      </x:c>
    </x:row>
    <x:row r="49" ht="18" customHeight="1">
      <x:c r="A49" s="36" t="str">
        <x:v>MFE-720DE13B0CA886</x:v>
      </x:c>
      <x:c r="B49" s="36" t="str">
        <x:v>manufacturer</x:v>
      </x:c>
      <x:c r="C49" s="36" t="str">
        <x:v>RENAULT</x:v>
      </x:c>
      <x:c r="D49" s="36" t="str">
        <x:v>Renault</x:v>
      </x:c>
      <x:c r="E49" s="36" t="str">
        <x:v>vehicle_manufacturer</x:v>
      </x:c>
      <x:c r="F49" s="36" t="str">
        <x:v>use_entity</x:v>
      </x:c>
      <x:c r="G49" s="36" t="str">
        <x:v>exact</x:v>
      </x:c>
      <x:c r="H49" s="38" t="str">
        <x:v>[]</x:v>
      </x:c>
      <x:c r="I49" s="38" t="str">
        <x:v>[]</x:v>
      </x:c>
      <x:c r="J49" s="38" t="str">
        <x:v>{}</x:v>
      </x:c>
      <x:c r="K49" s="36"/>
      <x:c r="L49" s="38" t="str">
        <x:v>{"source_field":"manufacturer","source_term":"RENAULT","canonical_name":"Renault","entity_role":"vehicle_manufacturer","base_behavior":"use_entity"}</x:v>
      </x:c>
    </x:row>
    <x:row r="50" ht="18" customHeight="1">
      <x:c r="A50" s="36" t="str">
        <x:v>MFE-D4FDC82F27CE72</x:v>
      </x:c>
      <x:c r="B50" s="36" t="str">
        <x:v>manufacturer</x:v>
      </x:c>
      <x:c r="C50" s="36" t="str">
        <x:v>RENAULT SAS</x:v>
      </x:c>
      <x:c r="D50" s="36" t="str">
        <x:v>Renault</x:v>
      </x:c>
      <x:c r="E50" s="36" t="str">
        <x:v>vehicle_manufacturer</x:v>
      </x:c>
      <x:c r="F50" s="36" t="str">
        <x:v>use_entity</x:v>
      </x:c>
      <x:c r="G50" s="36" t="str">
        <x:v>exact</x:v>
      </x:c>
      <x:c r="H50" s="38" t="str">
        <x:v>[]</x:v>
      </x:c>
      <x:c r="I50" s="38" t="str">
        <x:v>[]</x:v>
      </x:c>
      <x:c r="J50" s="38" t="str">
        <x:v>{}</x:v>
      </x:c>
      <x:c r="K50" s="36"/>
      <x:c r="L50" s="38" t="str">
        <x:v>{"source_field":"manufacturer","source_term":"RENAULT SAS","canonical_name":"Renault","entity_role":"vehicle_manufacturer","base_behavior":"use_entity"}</x:v>
      </x:c>
    </x:row>
    <x:row r="51" ht="18" customHeight="1">
      <x:c r="A51" s="36" t="str">
        <x:v>MFE-109BFA5070F0B8</x:v>
      </x:c>
      <x:c r="B51" s="36" t="str">
        <x:v>manufacturer</x:v>
      </x:c>
      <x:c r="C51" s="36" t="str">
        <x:v>SCANIA</x:v>
      </x:c>
      <x:c r="D51" s="36" t="str">
        <x:v>Scania</x:v>
      </x:c>
      <x:c r="E51" s="36" t="str">
        <x:v>vehicle_manufacturer</x:v>
      </x:c>
      <x:c r="F51" s="36" t="str">
        <x:v>use_entity</x:v>
      </x:c>
      <x:c r="G51" s="36" t="str">
        <x:v>exact</x:v>
      </x:c>
      <x:c r="H51" s="38" t="str">
        <x:v>[]</x:v>
      </x:c>
      <x:c r="I51" s="38" t="str">
        <x:v>[]</x:v>
      </x:c>
      <x:c r="J51" s="38" t="str">
        <x:v>{}</x:v>
      </x:c>
      <x:c r="K51" s="36"/>
      <x:c r="L51" s="38" t="str">
        <x:v>{"source_field":"manufacturer","source_term":"SCANIA","canonical_name":"Scania","entity_role":"vehicle_manufacturer","base_behavior":"use_entity"}</x:v>
      </x:c>
    </x:row>
    <x:row r="52" ht="18" customHeight="1">
      <x:c r="A52" s="36" t="str">
        <x:v>MFE-EDAB5691010CC4</x:v>
      </x:c>
      <x:c r="B52" s="36" t="str">
        <x:v>manufacturer</x:v>
      </x:c>
      <x:c r="C52" s="36" t="str">
        <x:v>SCANIA CV AB</x:v>
      </x:c>
      <x:c r="D52" s="36" t="str">
        <x:v>Scania</x:v>
      </x:c>
      <x:c r="E52" s="36" t="str">
        <x:v>vehicle_manufacturer</x:v>
      </x:c>
      <x:c r="F52" s="36" t="str">
        <x:v>use_entity</x:v>
      </x:c>
      <x:c r="G52" s="36" t="str">
        <x:v>exact</x:v>
      </x:c>
      <x:c r="H52" s="38" t="str">
        <x:v>[]</x:v>
      </x:c>
      <x:c r="I52" s="38" t="str">
        <x:v>[]</x:v>
      </x:c>
      <x:c r="J52" s="38" t="str">
        <x:v>{}</x:v>
      </x:c>
      <x:c r="K52" s="36"/>
      <x:c r="L52" s="38" t="str">
        <x:v>{"source_field":"manufacturer","source_term":"SCANIA CV AB","canonical_name":"Scania","entity_role":"vehicle_manufacturer","base_behavior":"use_entity"}</x:v>
      </x:c>
    </x:row>
    <x:row r="53" ht="18" customHeight="1">
      <x:c r="A53" s="36" t="str">
        <x:v>MFE-444309294A1C94</x:v>
      </x:c>
      <x:c r="B53" s="36" t="str">
        <x:v>manufacturer</x:v>
      </x:c>
      <x:c r="C53" s="36" t="str">
        <x:v>SEAT</x:v>
      </x:c>
      <x:c r="D53" s="36" t="str">
        <x:v>SEAT</x:v>
      </x:c>
      <x:c r="E53" s="36" t="str">
        <x:v>vehicle_manufacturer</x:v>
      </x:c>
      <x:c r="F53" s="36" t="str">
        <x:v>use_entity</x:v>
      </x:c>
      <x:c r="G53" s="36" t="str">
        <x:v>exact</x:v>
      </x:c>
      <x:c r="H53" s="38" t="str">
        <x:v>[]</x:v>
      </x:c>
      <x:c r="I53" s="38" t="str">
        <x:v>[]</x:v>
      </x:c>
      <x:c r="J53" s="38" t="str">
        <x:v>{}</x:v>
      </x:c>
      <x:c r="K53" s="36"/>
      <x:c r="L53" s="38" t="str">
        <x:v>{"source_field":"manufacturer","source_term":"SEAT","canonical_name":"SEAT","entity_role":"vehicle_manufacturer","base_behavior":"use_entity"}</x:v>
      </x:c>
    </x:row>
    <x:row r="54" ht="18" customHeight="1">
      <x:c r="A54" s="36" t="str">
        <x:v>MFE-91DE63F1DC8D1F</x:v>
      </x:c>
      <x:c r="B54" s="36" t="str">
        <x:v>manufacturer</x:v>
      </x:c>
      <x:c r="C54" s="36" t="str">
        <x:v>SEAT S A</x:v>
      </x:c>
      <x:c r="D54" s="36" t="str">
        <x:v>SEAT</x:v>
      </x:c>
      <x:c r="E54" s="36" t="str">
        <x:v>vehicle_manufacturer</x:v>
      </x:c>
      <x:c r="F54" s="36" t="str">
        <x:v>use_entity</x:v>
      </x:c>
      <x:c r="G54" s="36" t="str">
        <x:v>exact</x:v>
      </x:c>
      <x:c r="H54" s="38" t="str">
        <x:v>[]</x:v>
      </x:c>
      <x:c r="I54" s="38" t="str">
        <x:v>[]</x:v>
      </x:c>
      <x:c r="J54" s="38" t="str">
        <x:v>{}</x:v>
      </x:c>
      <x:c r="K54" s="36"/>
      <x:c r="L54" s="38" t="str">
        <x:v>{"source_field":"manufacturer","source_term":"SEAT S A","canonical_name":"SEAT","entity_role":"vehicle_manufacturer","base_behavior":"use_entity"}</x:v>
      </x:c>
    </x:row>
    <x:row r="55" ht="18" customHeight="1">
      <x:c r="A55" s="36" t="str">
        <x:v>MFE-958CC333A46E04</x:v>
      </x:c>
      <x:c r="B55" s="36" t="str">
        <x:v>manufacturer</x:v>
      </x:c>
      <x:c r="C55" s="36" t="str">
        <x:v>SORELPOL SP Z O O</x:v>
      </x:c>
      <x:c r="D55" s="36" t="str">
        <x:v>Sorelpol</x:v>
      </x:c>
      <x:c r="E55" s="36" t="str">
        <x:v>vehicle_manufacturer</x:v>
      </x:c>
      <x:c r="F55" s="36" t="str">
        <x:v>use_entity</x:v>
      </x:c>
      <x:c r="G55" s="36" t="str">
        <x:v>exact</x:v>
      </x:c>
      <x:c r="H55" s="38" t="str">
        <x:v>[]</x:v>
      </x:c>
      <x:c r="I55" s="38" t="str">
        <x:v>[]</x:v>
      </x:c>
      <x:c r="J55" s="38" t="str">
        <x:v>{}</x:v>
      </x:c>
      <x:c r="K55" s="36"/>
      <x:c r="L55" s="38" t="str">
        <x:v>{"source_field":"manufacturer","source_term":"SORELPOL SP Z O O","canonical_name":"Sorelpol","entity_role":"vehicle_manufacturer","base_behavior":"use_entity"}</x:v>
      </x:c>
    </x:row>
    <x:row r="56" ht="18" customHeight="1">
      <x:c r="A56" s="36" t="str">
        <x:v>MFE-11531F2965809B</x:v>
      </x:c>
      <x:c r="B56" s="36" t="str">
        <x:v>manufacturer</x:v>
      </x:c>
      <x:c r="C56" s="36" t="str">
        <x:v>SUBARU</x:v>
      </x:c>
      <x:c r="D56" s="36" t="str">
        <x:v>Subaru</x:v>
      </x:c>
      <x:c r="E56" s="36" t="str">
        <x:v>vehicle_manufacturer</x:v>
      </x:c>
      <x:c r="F56" s="36" t="str">
        <x:v>use_entity</x:v>
      </x:c>
      <x:c r="G56" s="36" t="str">
        <x:v>exact</x:v>
      </x:c>
      <x:c r="H56" s="38" t="str">
        <x:v>[]</x:v>
      </x:c>
      <x:c r="I56" s="38" t="str">
        <x:v>[]</x:v>
      </x:c>
      <x:c r="J56" s="38" t="str">
        <x:v>{}</x:v>
      </x:c>
      <x:c r="K56" s="36"/>
      <x:c r="L56" s="38" t="str">
        <x:v>{"source_field":"manufacturer","source_term":"SUBARU","canonical_name":"Subaru","entity_role":"vehicle_manufacturer","base_behavior":"use_entity"}</x:v>
      </x:c>
    </x:row>
    <x:row r="57" ht="18" customHeight="1">
      <x:c r="A57" s="36" t="str">
        <x:v>MFE-4DF2B48472E46F</x:v>
      </x:c>
      <x:c r="B57" s="36" t="str">
        <x:v>manufacturer</x:v>
      </x:c>
      <x:c r="C57" s="36" t="str">
        <x:v>SUBARU CORPORATION</x:v>
      </x:c>
      <x:c r="D57" s="36" t="str">
        <x:v>Subaru</x:v>
      </x:c>
      <x:c r="E57" s="36" t="str">
        <x:v>vehicle_manufacturer</x:v>
      </x:c>
      <x:c r="F57" s="36" t="str">
        <x:v>use_entity</x:v>
      </x:c>
      <x:c r="G57" s="36" t="str">
        <x:v>exact</x:v>
      </x:c>
      <x:c r="H57" s="38" t="str">
        <x:v>[]</x:v>
      </x:c>
      <x:c r="I57" s="38" t="str">
        <x:v>[]</x:v>
      </x:c>
      <x:c r="J57" s="38" t="str">
        <x:v>{}</x:v>
      </x:c>
      <x:c r="K57" s="36"/>
      <x:c r="L57" s="38" t="str">
        <x:v>{"source_field":"manufacturer","source_term":"SUBARU CORPORATION","canonical_name":"Subaru","entity_role":"vehicle_manufacturer","base_behavior":"use_entity"}</x:v>
      </x:c>
    </x:row>
    <x:row r="58" ht="18" customHeight="1">
      <x:c r="A58" s="36" t="str">
        <x:v>MFE-5B3C215CC0B788</x:v>
      </x:c>
      <x:c r="B58" s="36" t="str">
        <x:v>manufacturer</x:v>
      </x:c>
      <x:c r="C58" s="36" t="str">
        <x:v>TATRA</x:v>
      </x:c>
      <x:c r="D58" s="36" t="str">
        <x:v>Tatra</x:v>
      </x:c>
      <x:c r="E58" s="36" t="str">
        <x:v>vehicle_manufacturer</x:v>
      </x:c>
      <x:c r="F58" s="36" t="str">
        <x:v>use_entity</x:v>
      </x:c>
      <x:c r="G58" s="36" t="str">
        <x:v>exact</x:v>
      </x:c>
      <x:c r="H58" s="38" t="str">
        <x:v>[]</x:v>
      </x:c>
      <x:c r="I58" s="38" t="str">
        <x:v>[]</x:v>
      </x:c>
      <x:c r="J58" s="38" t="str">
        <x:v>{}</x:v>
      </x:c>
      <x:c r="K58" s="36"/>
      <x:c r="L58" s="38" t="str">
        <x:v>{"source_field":"manufacturer","source_term":"TATRA","canonical_name":"Tatra","entity_role":"vehicle_manufacturer","base_behavior":"use_entity"}</x:v>
      </x:c>
    </x:row>
    <x:row r="59" ht="18" customHeight="1">
      <x:c r="A59" s="36" t="str">
        <x:v>MFE-7405F8A8F71349</x:v>
      </x:c>
      <x:c r="B59" s="36" t="str">
        <x:v>manufacturer</x:v>
      </x:c>
      <x:c r="C59" s="36" t="str">
        <x:v>TEMARED SP Z O O</x:v>
      </x:c>
      <x:c r="D59" s="36" t="str">
        <x:v>Temared</x:v>
      </x:c>
      <x:c r="E59" s="36" t="str">
        <x:v>vehicle_manufacturer</x:v>
      </x:c>
      <x:c r="F59" s="36" t="str">
        <x:v>use_entity</x:v>
      </x:c>
      <x:c r="G59" s="36" t="str">
        <x:v>exact</x:v>
      </x:c>
      <x:c r="H59" s="38" t="str">
        <x:v>[]</x:v>
      </x:c>
      <x:c r="I59" s="38" t="str">
        <x:v>[]</x:v>
      </x:c>
      <x:c r="J59" s="38" t="str">
        <x:v>{}</x:v>
      </x:c>
      <x:c r="K59" s="36"/>
      <x:c r="L59" s="38" t="str">
        <x:v>{"source_field":"manufacturer","source_term":"TEMARED SP Z O O","canonical_name":"Temared","entity_role":"vehicle_manufacturer","base_behavior":"use_entity"}</x:v>
      </x:c>
    </x:row>
    <x:row r="60" ht="18" customHeight="1">
      <x:c r="A60" s="36" t="str">
        <x:v>MFE-32EDCDF0FA02CF</x:v>
      </x:c>
      <x:c r="B60" s="36" t="str">
        <x:v>manufacturer</x:v>
      </x:c>
      <x:c r="C60" s="36" t="str">
        <x:v>TESLA</x:v>
      </x:c>
      <x:c r="D60" s="36" t="str">
        <x:v>Tesla</x:v>
      </x:c>
      <x:c r="E60" s="36" t="str">
        <x:v>vehicle_manufacturer</x:v>
      </x:c>
      <x:c r="F60" s="36" t="str">
        <x:v>use_entity</x:v>
      </x:c>
      <x:c r="G60" s="36" t="str">
        <x:v>exact</x:v>
      </x:c>
      <x:c r="H60" s="38" t="str">
        <x:v>[]</x:v>
      </x:c>
      <x:c r="I60" s="38" t="str">
        <x:v>[]</x:v>
      </x:c>
      <x:c r="J60" s="38" t="str">
        <x:v>{}</x:v>
      </x:c>
      <x:c r="K60" s="36"/>
      <x:c r="L60" s="38" t="str">
        <x:v>{"source_field":"manufacturer","source_term":"TESLA","canonical_name":"Tesla","entity_role":"vehicle_manufacturer","base_behavior":"use_entity"}</x:v>
      </x:c>
    </x:row>
    <x:row r="61" ht="18" customHeight="1">
      <x:c r="A61" s="36" t="str">
        <x:v>MFE-E39E920EF53187</x:v>
      </x:c>
      <x:c r="B61" s="36" t="str">
        <x:v>manufacturer</x:v>
      </x:c>
      <x:c r="C61" s="36" t="str">
        <x:v>TESLA INC</x:v>
      </x:c>
      <x:c r="D61" s="36" t="str">
        <x:v>Tesla</x:v>
      </x:c>
      <x:c r="E61" s="36" t="str">
        <x:v>vehicle_manufacturer</x:v>
      </x:c>
      <x:c r="F61" s="36" t="str">
        <x:v>use_entity</x:v>
      </x:c>
      <x:c r="G61" s="36" t="str">
        <x:v>exact</x:v>
      </x:c>
      <x:c r="H61" s="38" t="str">
        <x:v>[]</x:v>
      </x:c>
      <x:c r="I61" s="38" t="str">
        <x:v>[]</x:v>
      </x:c>
      <x:c r="J61" s="38" t="str">
        <x:v>{}</x:v>
      </x:c>
      <x:c r="K61" s="36"/>
      <x:c r="L61" s="38" t="str">
        <x:v>{"source_field":"manufacturer","source_term":"TESLA INC","canonical_name":"Tesla","entity_role":"vehicle_manufacturer","base_behavior":"use_entity"}</x:v>
      </x:c>
    </x:row>
    <x:row r="62" ht="18" customHeight="1">
      <x:c r="A62" s="36" t="str">
        <x:v>MFE-C31D2D0E927FA9</x:v>
      </x:c>
      <x:c r="B62" s="36" t="str">
        <x:v>manufacturer</x:v>
      </x:c>
      <x:c r="C62" s="36" t="str">
        <x:v>TOYOTA</x:v>
      </x:c>
      <x:c r="D62" s="36" t="str">
        <x:v>Toyota</x:v>
      </x:c>
      <x:c r="E62" s="36" t="str">
        <x:v>vehicle_manufacturer</x:v>
      </x:c>
      <x:c r="F62" s="36" t="str">
        <x:v>use_entity</x:v>
      </x:c>
      <x:c r="G62" s="36" t="str">
        <x:v>exact</x:v>
      </x:c>
      <x:c r="H62" s="38" t="str">
        <x:v>[]</x:v>
      </x:c>
      <x:c r="I62" s="38" t="str">
        <x:v>[]</x:v>
      </x:c>
      <x:c r="J62" s="38" t="str">
        <x:v>{}</x:v>
      </x:c>
      <x:c r="K62" s="36"/>
      <x:c r="L62" s="38" t="str">
        <x:v>{"source_field":"manufacturer","source_term":"TOYOTA","canonical_name":"Toyota","entity_role":"vehicle_manufacturer","base_behavior":"use_entity"}</x:v>
      </x:c>
    </x:row>
    <x:row r="63" ht="18" customHeight="1">
      <x:c r="A63" s="36" t="str">
        <x:v>MFE-00C660024AE12E</x:v>
      </x:c>
      <x:c r="B63" s="36" t="str">
        <x:v>manufacturer</x:v>
      </x:c>
      <x:c r="C63" s="36" t="str">
        <x:v>TOYOTA MOTOR CORPORATION</x:v>
      </x:c>
      <x:c r="D63" s="36" t="str">
        <x:v>Toyota</x:v>
      </x:c>
      <x:c r="E63" s="36" t="str">
        <x:v>vehicle_manufacturer</x:v>
      </x:c>
      <x:c r="F63" s="36" t="str">
        <x:v>use_entity</x:v>
      </x:c>
      <x:c r="G63" s="36" t="str">
        <x:v>exact</x:v>
      </x:c>
      <x:c r="H63" s="38" t="str">
        <x:v>[]</x:v>
      </x:c>
      <x:c r="I63" s="38" t="str">
        <x:v>[]</x:v>
      </x:c>
      <x:c r="J63" s="38" t="str">
        <x:v>{}</x:v>
      </x:c>
      <x:c r="K63" s="36"/>
      <x:c r="L63" s="38" t="str">
        <x:v>{"source_field":"manufacturer","source_term":"TOYOTA MOTOR CORPORATION","canonical_name":"Toyota","entity_role":"vehicle_manufacturer","base_behavior":"use_entity"}</x:v>
      </x:c>
    </x:row>
    <x:row r="64" ht="18" customHeight="1">
      <x:c r="A64" s="36" t="str">
        <x:v>MFE-AFC7E5ECA1C156</x:v>
      </x:c>
      <x:c r="B64" s="36" t="str">
        <x:v>manufacturer</x:v>
      </x:c>
      <x:c r="C64" s="36" t="str">
        <x:v>VARIANT A S</x:v>
      </x:c>
      <x:c r="D64" s="36" t="str">
        <x:v>Variant</x:v>
      </x:c>
      <x:c r="E64" s="36" t="str">
        <x:v>vehicle_manufacturer</x:v>
      </x:c>
      <x:c r="F64" s="36" t="str">
        <x:v>use_entity</x:v>
      </x:c>
      <x:c r="G64" s="36" t="str">
        <x:v>exact</x:v>
      </x:c>
      <x:c r="H64" s="38" t="str">
        <x:v>[]</x:v>
      </x:c>
      <x:c r="I64" s="38" t="str">
        <x:v>[]</x:v>
      </x:c>
      <x:c r="J64" s="38" t="str">
        <x:v>{}</x:v>
      </x:c>
      <x:c r="K64" s="36"/>
      <x:c r="L64" s="38" t="str">
        <x:v>{"source_field":"manufacturer","source_term":"VARIANT A S","canonical_name":"Variant","entity_role":"vehicle_manufacturer","base_behavior":"use_entity"}</x:v>
      </x:c>
    </x:row>
    <x:row r="65" ht="18" customHeight="1">
      <x:c r="A65" s="36" t="str">
        <x:v>MFE-5383A329AAD32E</x:v>
      </x:c>
      <x:c r="B65" s="36" t="str">
        <x:v>manufacturer</x:v>
      </x:c>
      <x:c r="C65" s="36" t="str">
        <x:v>VOLKSWAGEN</x:v>
      </x:c>
      <x:c r="D65" s="36" t="str">
        <x:v>Volkswagen</x:v>
      </x:c>
      <x:c r="E65" s="36" t="str">
        <x:v>vehicle_manufacturer</x:v>
      </x:c>
      <x:c r="F65" s="36" t="str">
        <x:v>use_entity</x:v>
      </x:c>
      <x:c r="G65" s="36" t="str">
        <x:v>exact</x:v>
      </x:c>
      <x:c r="H65" s="38" t="str">
        <x:v>[]</x:v>
      </x:c>
      <x:c r="I65" s="38" t="str">
        <x:v>[]</x:v>
      </x:c>
      <x:c r="J65" s="38" t="str">
        <x:v>{}</x:v>
      </x:c>
      <x:c r="K65" s="36"/>
      <x:c r="L65" s="38" t="str">
        <x:v>{"source_field":"manufacturer","source_term":"VOLKSWAGEN","canonical_name":"Volkswagen","entity_role":"vehicle_manufacturer","base_behavior":"use_entity"}</x:v>
      </x:c>
    </x:row>
    <x:row r="66" ht="18" customHeight="1">
      <x:c r="A66" s="36" t="str">
        <x:v>MFE-BAEF9F13A10CD6</x:v>
      </x:c>
      <x:c r="B66" s="36" t="str">
        <x:v>manufacturer</x:v>
      </x:c>
      <x:c r="C66" s="36" t="str">
        <x:v>VOLKSWAGEN AG</x:v>
      </x:c>
      <x:c r="D66" s="36" t="str">
        <x:v>Volkswagen</x:v>
      </x:c>
      <x:c r="E66" s="36" t="str">
        <x:v>vehicle_manufacturer</x:v>
      </x:c>
      <x:c r="F66" s="36" t="str">
        <x:v>use_entity</x:v>
      </x:c>
      <x:c r="G66" s="36" t="str">
        <x:v>exact</x:v>
      </x:c>
      <x:c r="H66" s="38" t="str">
        <x:v>[]</x:v>
      </x:c>
      <x:c r="I66" s="38" t="str">
        <x:v>[]</x:v>
      </x:c>
      <x:c r="J66" s="38" t="str">
        <x:v>{}</x:v>
      </x:c>
      <x:c r="K66" s="36"/>
      <x:c r="L66" s="38" t="str">
        <x:v>{"source_field":"manufacturer","source_term":"VOLKSWAGEN AG","canonical_name":"Volkswagen","entity_role":"vehicle_manufacturer","base_behavior":"use_entity"}</x:v>
      </x:c>
    </x:row>
    <x:row r="67" ht="18" customHeight="1">
      <x:c r="A67" s="36" t="str">
        <x:v>MFE-C7220C1F8E62AA</x:v>
      </x:c>
      <x:c r="B67" s="36" t="str">
        <x:v>manufacturer</x:v>
      </x:c>
      <x:c r="C67" s="36" t="str">
        <x:v>VOLVO</x:v>
      </x:c>
      <x:c r="D67" s="36" t="str">
        <x:v>Volvo</x:v>
      </x:c>
      <x:c r="E67" s="36" t="str">
        <x:v>vehicle_manufacturer</x:v>
      </x:c>
      <x:c r="F67" s="36" t="str">
        <x:v>use_entity</x:v>
      </x:c>
      <x:c r="G67" s="36" t="str">
        <x:v>exact</x:v>
      </x:c>
      <x:c r="H67" s="38" t="str">
        <x:v>[]</x:v>
      </x:c>
      <x:c r="I67" s="38" t="str">
        <x:v>[]</x:v>
      </x:c>
      <x:c r="J67" s="38" t="str">
        <x:v>{}</x:v>
      </x:c>
      <x:c r="K67" s="36"/>
      <x:c r="L67" s="38" t="str">
        <x:v>{"source_field":"manufacturer","source_term":"VOLVO","canonical_name":"Volvo","entity_role":"vehicle_manufacturer","base_behavior":"use_entity"}</x:v>
      </x:c>
    </x:row>
    <x:row r="68" ht="18" customHeight="1">
      <x:c r="A68" s="36" t="str">
        <x:v>MFE-E5D77F775FADC3</x:v>
      </x:c>
      <x:c r="B68" s="36" t="str">
        <x:v>manufacturer</x:v>
      </x:c>
      <x:c r="C68" s="36" t="str">
        <x:v>VOLVO CAR</x:v>
      </x:c>
      <x:c r="D68" s="36" t="str">
        <x:v>Volvo</x:v>
      </x:c>
      <x:c r="E68" s="36" t="str">
        <x:v>vehicle_manufacturer</x:v>
      </x:c>
      <x:c r="F68" s="36" t="str">
        <x:v>use_entity</x:v>
      </x:c>
      <x:c r="G68" s="36" t="str">
        <x:v>exact</x:v>
      </x:c>
      <x:c r="H68" s="38" t="str">
        <x:v>[]</x:v>
      </x:c>
      <x:c r="I68" s="38" t="str">
        <x:v>[]</x:v>
      </x:c>
      <x:c r="J68" s="38" t="str">
        <x:v>{}</x:v>
      </x:c>
      <x:c r="K68" s="36"/>
      <x:c r="L68" s="38" t="str">
        <x:v>{"source_field":"manufacturer","source_term":"VOLVO CAR","canonical_name":"Volvo","entity_role":"vehicle_manufacturer","base_behavior":"use_entity"}</x:v>
      </x:c>
    </x:row>
    <x:row r="69" ht="18" customHeight="1">
      <x:c r="A69" s="36" t="str">
        <x:v>MFE-BCDBE601028893</x:v>
      </x:c>
      <x:c r="B69" s="36" t="str">
        <x:v>manufacturer</x:v>
      </x:c>
      <x:c r="C69" s="36" t="str">
        <x:v>VOLVO CAR CORPORATION</x:v>
      </x:c>
      <x:c r="D69" s="36" t="str">
        <x:v>Volvo</x:v>
      </x:c>
      <x:c r="E69" s="36" t="str">
        <x:v>vehicle_manufacturer</x:v>
      </x:c>
      <x:c r="F69" s="36" t="str">
        <x:v>use_entity</x:v>
      </x:c>
      <x:c r="G69" s="36" t="str">
        <x:v>exact</x:v>
      </x:c>
      <x:c r="H69" s="38" t="str">
        <x:v>[]</x:v>
      </x:c>
      <x:c r="I69" s="38" t="str">
        <x:v>[]</x:v>
      </x:c>
      <x:c r="J69" s="38" t="str">
        <x:v>{}</x:v>
      </x:c>
      <x:c r="K69" s="36"/>
      <x:c r="L69" s="38" t="str">
        <x:v>{"source_field":"manufacturer","source_term":"VOLVO CAR CORPORATION","canonical_name":"Volvo","entity_role":"vehicle_manufacturer","base_behavior":"use_entity"}</x:v>
      </x:c>
    </x:row>
    <x:row r="70" ht="18" customHeight="1">
      <x:c r="A70" s="36" t="str">
        <x:v>MFE-7F644480BE4FAB</x:v>
      </x:c>
      <x:c r="B70" s="36" t="str">
        <x:v>manufacturer</x:v>
      </x:c>
      <x:c r="C70" s="36" t="str">
        <x:v>VOLVO PERSONVAGNAR</x:v>
      </x:c>
      <x:c r="D70" s="36" t="str">
        <x:v>Volvo</x:v>
      </x:c>
      <x:c r="E70" s="36" t="str">
        <x:v>vehicle_manufacturer</x:v>
      </x:c>
      <x:c r="F70" s="36" t="str">
        <x:v>use_entity</x:v>
      </x:c>
      <x:c r="G70" s="36" t="str">
        <x:v>exact</x:v>
      </x:c>
      <x:c r="H70" s="38" t="str">
        <x:v>[]</x:v>
      </x:c>
      <x:c r="I70" s="38" t="str">
        <x:v>[]</x:v>
      </x:c>
      <x:c r="J70" s="38" t="str">
        <x:v>{}</x:v>
      </x:c>
      <x:c r="K70" s="36"/>
      <x:c r="L70" s="38" t="str">
        <x:v>{"source_field":"manufacturer","source_term":"VOLVO PERSONVAGNAR","canonical_name":"Volvo","entity_role":"vehicle_manufacturer","base_behavior":"use_entity"}</x:v>
      </x:c>
    </x:row>
    <x:row r="71" ht="18" customHeight="1">
      <x:c r="A71" s="36" t="str">
        <x:v>MFE-089F1CDC3E7175</x:v>
      </x:c>
      <x:c r="B71" s="36" t="str">
        <x:v>manufacturer</x:v>
      </x:c>
      <x:c r="C71" s="36" t="str">
        <x:v>BERCO PRODUKTION AB</x:v>
      </x:c>
      <x:c r="D71" s="36" t="str">
        <x:v>Berco</x:v>
      </x:c>
      <x:c r="E71" s="36" t="str">
        <x:v>bodybuilder_converter</x:v>
      </x:c>
      <x:c r="F71" s="36" t="str">
        <x:v>use_base_manufacturer</x:v>
      </x:c>
      <x:c r="G71" s="36" t="str">
        <x:v>exact</x:v>
      </x:c>
      <x:c r="H71" s="38" t="str">
        <x:v>[]</x:v>
      </x:c>
      <x:c r="I71" s="38" t="str">
        <x:v>[]</x:v>
      </x:c>
      <x:c r="J71" s="38" t="str">
        <x:v>{}</x:v>
      </x:c>
      <x:c r="K71" s="36"/>
      <x:c r="L71" s="38" t="str">
        <x:v>{"source_field":"manufacturer","source_term":"BERCO PRODUKTION AB","canonical_name":"Berco","entity_role":"bodybuilder_converter","base_behavior":"use_base_manufacturer"}</x:v>
      </x:c>
    </x:row>
    <x:row r="72" ht="18" customHeight="1">
      <x:c r="A72" s="36" t="str">
        <x:v>MFE-4B12AC89E5C15A</x:v>
      </x:c>
      <x:c r="B72" s="36" t="str">
        <x:v>manufacturer</x:v>
      </x:c>
      <x:c r="C72" s="36" t="str">
        <x:v>BRABUS</x:v>
      </x:c>
      <x:c r="D72" s="36" t="str">
        <x:v>Brabus</x:v>
      </x:c>
      <x:c r="E72" s="36" t="str">
        <x:v>bodybuilder_converter</x:v>
      </x:c>
      <x:c r="F72" s="36" t="str">
        <x:v>use_base_manufacturer</x:v>
      </x:c>
      <x:c r="G72" s="36" t="str">
        <x:v>exact</x:v>
      </x:c>
      <x:c r="H72" s="38" t="str">
        <x:v>[]</x:v>
      </x:c>
      <x:c r="I72" s="38" t="str">
        <x:v>[]</x:v>
      </x:c>
      <x:c r="J72" s="38" t="str">
        <x:v>{}</x:v>
      </x:c>
      <x:c r="K72" s="36"/>
      <x:c r="L72" s="38" t="str">
        <x:v>{"source_field":"manufacturer","source_term":"BRABUS","canonical_name":"Brabus","entity_role":"bodybuilder_converter","base_behavior":"use_base_manufacturer"}</x:v>
      </x:c>
    </x:row>
    <x:row r="73" ht="18" customHeight="1">
      <x:c r="A73" s="36" t="str">
        <x:v>MFE-09A38209BBAB90</x:v>
      </x:c>
      <x:c r="B73" s="36" t="str">
        <x:v>manufacturer</x:v>
      </x:c>
      <x:c r="C73" s="36" t="str">
        <x:v>BRABUS GMBH</x:v>
      </x:c>
      <x:c r="D73" s="36" t="str">
        <x:v>Brabus</x:v>
      </x:c>
      <x:c r="E73" s="36" t="str">
        <x:v>bodybuilder_converter</x:v>
      </x:c>
      <x:c r="F73" s="36" t="str">
        <x:v>use_base_manufacturer</x:v>
      </x:c>
      <x:c r="G73" s="36" t="str">
        <x:v>exact</x:v>
      </x:c>
      <x:c r="H73" s="38" t="str">
        <x:v>[]</x:v>
      </x:c>
      <x:c r="I73" s="38" t="str">
        <x:v>[]</x:v>
      </x:c>
      <x:c r="J73" s="38" t="str">
        <x:v>{}</x:v>
      </x:c>
      <x:c r="K73" s="36"/>
      <x:c r="L73" s="38" t="str">
        <x:v>{"source_field":"manufacturer","source_term":"BRABUS GMBH","canonical_name":"Brabus","entity_role":"bodybuilder_converter","base_behavior":"use_base_manufacturer"}</x:v>
      </x:c>
    </x:row>
    <x:row r="74" ht="18" customHeight="1">
      <x:c r="A74" s="36" t="str">
        <x:v>MFE-CB44AD6FACD59C</x:v>
      </x:c>
      <x:c r="B74" s="36" t="str">
        <x:v>manufacturer</x:v>
      </x:c>
      <x:c r="C74" s="36" t="str">
        <x:v>BUS PRESTIGE</x:v>
      </x:c>
      <x:c r="D74" s="36" t="str">
        <x:v>Bus-Prestige</x:v>
      </x:c>
      <x:c r="E74" s="36" t="str">
        <x:v>bodybuilder_converter</x:v>
      </x:c>
      <x:c r="F74" s="36" t="str">
        <x:v>use_base_manufacturer</x:v>
      </x:c>
      <x:c r="G74" s="36" t="str">
        <x:v>exact</x:v>
      </x:c>
      <x:c r="H74" s="38" t="str">
        <x:v>[]</x:v>
      </x:c>
      <x:c r="I74" s="38" t="str">
        <x:v>[]</x:v>
      </x:c>
      <x:c r="J74" s="38" t="str">
        <x:v>{}</x:v>
      </x:c>
      <x:c r="K74" s="36"/>
      <x:c r="L74" s="38" t="str">
        <x:v>{"source_field":"manufacturer","source_term":"BUS PRESTIGE","canonical_name":"Bus-Prestige","entity_role":"bodybuilder_converter","base_behavior":"use_base_manufacturer"}</x:v>
      </x:c>
    </x:row>
    <x:row r="75" ht="18" customHeight="1">
      <x:c r="A75" s="36" t="str">
        <x:v>MFE-12CCF07FDE75EC</x:v>
      </x:c>
      <x:c r="B75" s="36" t="str">
        <x:v>manufacturer</x:v>
      </x:c>
      <x:c r="C75" s="36" t="str">
        <x:v>DANGEL</x:v>
      </x:c>
      <x:c r="D75" s="36" t="str">
        <x:v>Dangel</x:v>
      </x:c>
      <x:c r="E75" s="36" t="str">
        <x:v>bodybuilder_converter</x:v>
      </x:c>
      <x:c r="F75" s="36" t="str">
        <x:v>use_base_manufacturer</x:v>
      </x:c>
      <x:c r="G75" s="36" t="str">
        <x:v>exact</x:v>
      </x:c>
      <x:c r="H75" s="38" t="str">
        <x:v>[]</x:v>
      </x:c>
      <x:c r="I75" s="38" t="str">
        <x:v>[]</x:v>
      </x:c>
      <x:c r="J75" s="38" t="str">
        <x:v>{}</x:v>
      </x:c>
      <x:c r="K75" s="36"/>
      <x:c r="L75" s="38" t="str">
        <x:v>{"source_field":"manufacturer","source_term":"DANGEL","canonical_name":"Dangel","entity_role":"bodybuilder_converter","base_behavior":"use_base_manufacturer"}</x:v>
      </x:c>
    </x:row>
    <x:row r="76" ht="18" customHeight="1">
      <x:c r="A76" s="36" t="str">
        <x:v>MFE-548D800E70EBDF</x:v>
      </x:c>
      <x:c r="B76" s="36" t="str">
        <x:v>manufacturer</x:v>
      </x:c>
      <x:c r="C76" s="36" t="str">
        <x:v>JUNGE</x:v>
      </x:c>
      <x:c r="D76" s="36" t="str">
        <x:v>Junge</x:v>
      </x:c>
      <x:c r="E76" s="36" t="str">
        <x:v>bodybuilder_converter</x:v>
      </x:c>
      <x:c r="F76" s="36" t="str">
        <x:v>use_base_manufacturer</x:v>
      </x:c>
      <x:c r="G76" s="36" t="str">
        <x:v>exact</x:v>
      </x:c>
      <x:c r="H76" s="38" t="str">
        <x:v>[]</x:v>
      </x:c>
      <x:c r="I76" s="38" t="str">
        <x:v>[]</x:v>
      </x:c>
      <x:c r="J76" s="38" t="str">
        <x:v>{}</x:v>
      </x:c>
      <x:c r="K76" s="36"/>
      <x:c r="L76" s="38" t="str">
        <x:v>{"source_field":"manufacturer","source_term":"JUNGE","canonical_name":"Junge","entity_role":"bodybuilder_converter","base_behavior":"use_base_manufacturer"}</x:v>
      </x:c>
    </x:row>
    <x:row r="77" ht="18" customHeight="1">
      <x:c r="A77" s="36" t="str">
        <x:v>MFE-F3E63338137484</x:v>
      </x:c>
      <x:c r="B77" s="36" t="str">
        <x:v>manufacturer</x:v>
      </x:c>
      <x:c r="C77" s="36" t="str">
        <x:v>K BUS</x:v>
      </x:c>
      <x:c r="D77" s="36" t="str">
        <x:v>K-Bus</x:v>
      </x:c>
      <x:c r="E77" s="36" t="str">
        <x:v>bodybuilder_converter</x:v>
      </x:c>
      <x:c r="F77" s="36" t="str">
        <x:v>use_base_manufacturer</x:v>
      </x:c>
      <x:c r="G77" s="36" t="str">
        <x:v>exact</x:v>
      </x:c>
      <x:c r="H77" s="38" t="str">
        <x:v>[]</x:v>
      </x:c>
      <x:c r="I77" s="38" t="str">
        <x:v>[]</x:v>
      </x:c>
      <x:c r="J77" s="38" t="str">
        <x:v>{}</x:v>
      </x:c>
      <x:c r="K77" s="36"/>
      <x:c r="L77" s="38" t="str">
        <x:v>{"source_field":"manufacturer","source_term":"K BUS","canonical_name":"K-Bus","entity_role":"bodybuilder_converter","base_behavior":"use_base_manufacturer"}</x:v>
      </x:c>
    </x:row>
    <x:row r="78" ht="18" customHeight="1">
      <x:c r="A78" s="36" t="str">
        <x:v>MFE-EB6CE34F329ED1</x:v>
      </x:c>
      <x:c r="B78" s="36" t="str">
        <x:v>manufacturer</x:v>
      </x:c>
      <x:c r="C78" s="36" t="str">
        <x:v>KABE AB</x:v>
      </x:c>
      <x:c r="D78" s="36" t="str">
        <x:v>KABE</x:v>
      </x:c>
      <x:c r="E78" s="36" t="str">
        <x:v>bodybuilder_converter</x:v>
      </x:c>
      <x:c r="F78" s="36" t="str">
        <x:v>use_base_manufacturer</x:v>
      </x:c>
      <x:c r="G78" s="36" t="str">
        <x:v>exact</x:v>
      </x:c>
      <x:c r="H78" s="38" t="str">
        <x:v>[]</x:v>
      </x:c>
      <x:c r="I78" s="38" t="str">
        <x:v>[]</x:v>
      </x:c>
      <x:c r="J78" s="38" t="str">
        <x:v>{}</x:v>
      </x:c>
      <x:c r="K78" s="36"/>
      <x:c r="L78" s="38" t="str">
        <x:v>{"source_field":"manufacturer","source_term":"KABE AB","canonical_name":"KABE","entity_role":"bodybuilder_converter","base_behavior":"use_base_manufacturer"}</x:v>
      </x:c>
    </x:row>
    <x:row r="79" ht="18" customHeight="1">
      <x:c r="A79" s="36" t="str">
        <x:v>MFE-BADFAB90EFEBBB</x:v>
      </x:c>
      <x:c r="B79" s="36" t="str">
        <x:v>manufacturer</x:v>
      </x:c>
      <x:c r="C79" s="36" t="str">
        <x:v>LUANO CAMP</x:v>
      </x:c>
      <x:c r="D79" s="36" t="str">
        <x:v>Luno Camp</x:v>
      </x:c>
      <x:c r="E79" s="36" t="str">
        <x:v>bodybuilder_converter</x:v>
      </x:c>
      <x:c r="F79" s="36" t="str">
        <x:v>use_base_manufacturer</x:v>
      </x:c>
      <x:c r="G79" s="36" t="str">
        <x:v>exact</x:v>
      </x:c>
      <x:c r="H79" s="38" t="str">
        <x:v>[]</x:v>
      </x:c>
      <x:c r="I79" s="38" t="str">
        <x:v>[]</x:v>
      </x:c>
      <x:c r="J79" s="38" t="str">
        <x:v>{}</x:v>
      </x:c>
      <x:c r="K79" s="36"/>
      <x:c r="L79" s="38" t="str">
        <x:v>{"source_field":"manufacturer","source_term":"LUANO CAMP","canonical_name":"Luno Camp","entity_role":"bodybuilder_converter","base_behavior":"use_base_manufacturer"}</x:v>
      </x:c>
    </x:row>
    <x:row r="80" ht="18" customHeight="1">
      <x:c r="A80" s="36" t="str">
        <x:v>MFE-B870021A465342</x:v>
      </x:c>
      <x:c r="B80" s="36" t="str">
        <x:v>manufacturer</x:v>
      </x:c>
      <x:c r="C80" s="36" t="str">
        <x:v>LUNO CAMP</x:v>
      </x:c>
      <x:c r="D80" s="36" t="str">
        <x:v>Luno Camp</x:v>
      </x:c>
      <x:c r="E80" s="36" t="str">
        <x:v>bodybuilder_converter</x:v>
      </x:c>
      <x:c r="F80" s="36" t="str">
        <x:v>use_base_manufacturer</x:v>
      </x:c>
      <x:c r="G80" s="36" t="str">
        <x:v>exact</x:v>
      </x:c>
      <x:c r="H80" s="38" t="str">
        <x:v>[]</x:v>
      </x:c>
      <x:c r="I80" s="38" t="str">
        <x:v>[]</x:v>
      </x:c>
      <x:c r="J80" s="38" t="str">
        <x:v>{}</x:v>
      </x:c>
      <x:c r="K80" s="36"/>
      <x:c r="L80" s="38" t="str">
        <x:v>{"source_field":"manufacturer","source_term":"LUNO CAMP","canonical_name":"Luno Camp","entity_role":"bodybuilder_converter","base_behavior":"use_base_manufacturer"}</x:v>
      </x:c>
    </x:row>
    <x:row r="81" ht="18" customHeight="1">
      <x:c r="A81" s="36" t="str">
        <x:v>MFE-29FA3F4B35E557</x:v>
      </x:c>
      <x:c r="B81" s="36" t="str">
        <x:v>manufacturer</x:v>
      </x:c>
      <x:c r="C81" s="36" t="str">
        <x:v>NILSSON</x:v>
      </x:c>
      <x:c r="D81" s="36" t="str">
        <x:v>Nilsson</x:v>
      </x:c>
      <x:c r="E81" s="36" t="str">
        <x:v>bodybuilder_converter</x:v>
      </x:c>
      <x:c r="F81" s="36" t="str">
        <x:v>use_base_manufacturer</x:v>
      </x:c>
      <x:c r="G81" s="36" t="str">
        <x:v>exact</x:v>
      </x:c>
      <x:c r="H81" s="38" t="str">
        <x:v>[]</x:v>
      </x:c>
      <x:c r="I81" s="38" t="str">
        <x:v>[]</x:v>
      </x:c>
      <x:c r="J81" s="38" t="str">
        <x:v>{}</x:v>
      </x:c>
      <x:c r="K81" s="36"/>
      <x:c r="L81" s="38" t="str">
        <x:v>{"source_field":"manufacturer","source_term":"NILSSON","canonical_name":"Nilsson","entity_role":"bodybuilder_converter","base_behavior":"use_base_manufacturer"}</x:v>
      </x:c>
    </x:row>
    <x:row r="82" ht="18" customHeight="1">
      <x:c r="A82" s="36" t="str">
        <x:v>MFE-FAC7575C4A307A</x:v>
      </x:c>
      <x:c r="B82" s="36" t="str">
        <x:v>manufacturer</x:v>
      </x:c>
      <x:c r="C82" s="36" t="str">
        <x:v>NILSSON SPECIAL VEHICLES</x:v>
      </x:c>
      <x:c r="D82" s="36" t="str">
        <x:v>Nilsson</x:v>
      </x:c>
      <x:c r="E82" s="36" t="str">
        <x:v>bodybuilder_converter</x:v>
      </x:c>
      <x:c r="F82" s="36" t="str">
        <x:v>use_base_manufacturer</x:v>
      </x:c>
      <x:c r="G82" s="36" t="str">
        <x:v>exact</x:v>
      </x:c>
      <x:c r="H82" s="38" t="str">
        <x:v>[]</x:v>
      </x:c>
      <x:c r="I82" s="38" t="str">
        <x:v>[]</x:v>
      </x:c>
      <x:c r="J82" s="38" t="str">
        <x:v>{}</x:v>
      </x:c>
      <x:c r="K82" s="36"/>
      <x:c r="L82" s="38" t="str">
        <x:v>{"source_field":"manufacturer","source_term":"NILSSON SPECIAL VEHICLES","canonical_name":"Nilsson","entity_role":"bodybuilder_converter","base_behavior":"use_base_manufacturer"}</x:v>
      </x:c>
    </x:row>
    <x:row r="83" ht="18" customHeight="1">
      <x:c r="A83" s="36" t="str">
        <x:v>MFE-DF64F7A83B4890</x:v>
      </x:c>
      <x:c r="B83" s="36" t="str">
        <x:v>manufacturer</x:v>
      </x:c>
      <x:c r="C83" s="36" t="str">
        <x:v>STELLANTIS</x:v>
      </x:c>
      <x:c r="D83" s="36" t="str">
        <x:v>STELLANTIS</x:v>
      </x:c>
      <x:c r="E83" s="36" t="str">
        <x:v>corporate_group</x:v>
      </x:c>
      <x:c r="F83" s="36" t="str">
        <x:v>require_evidence_review</x:v>
      </x:c>
      <x:c r="G83" s="36" t="str">
        <x:v>exact</x:v>
      </x:c>
      <x:c r="H83" s="38" t="str">
        <x:v>[]</x:v>
      </x:c>
      <x:c r="I83" s="38" t="str">
        <x:v>[]</x:v>
      </x:c>
      <x:c r="J83" s="38" t="str">
        <x:v>{}</x:v>
      </x:c>
      <x:c r="K83" s="36"/>
      <x:c r="L83" s="38" t="str">
        <x:v>{"source_field":"manufacturer","source_term":"STELLANTIS","canonical_name":"STELLANTIS","entity_role":"corporate_group","base_behavior":"require_evidence_review"}</x:v>
      </x:c>
    </x:row>
    <x:row r="84" ht="18" customHeight="1">
      <x:c r="A84" s="36" t="str">
        <x:v>MFE-A9F4F4F6BB875F</x:v>
      </x:c>
      <x:c r="B84" s="36" t="str">
        <x:v>manufacturer</x:v>
      </x:c>
      <x:c r="C84" s="36" t="str">
        <x:v>PSA</x:v>
      </x:c>
      <x:c r="D84" s="36" t="str">
        <x:v>PSA</x:v>
      </x:c>
      <x:c r="E84" s="36" t="str">
        <x:v>corporate_group</x:v>
      </x:c>
      <x:c r="F84" s="36" t="str">
        <x:v>require_evidence_review</x:v>
      </x:c>
      <x:c r="G84" s="36" t="str">
        <x:v>exact</x:v>
      </x:c>
      <x:c r="H84" s="38" t="str">
        <x:v>[]</x:v>
      </x:c>
      <x:c r="I84" s="38" t="str">
        <x:v>[]</x:v>
      </x:c>
      <x:c r="J84" s="38" t="str">
        <x:v>{}</x:v>
      </x:c>
      <x:c r="K84" s="36"/>
      <x:c r="L84" s="38" t="str">
        <x:v>{"source_field":"manufacturer","source_term":"PSA","canonical_name":"PSA","entity_role":"corporate_group","base_behavior":"require_evidence_review"}</x:v>
      </x:c>
    </x:row>
    <x:row r="85" ht="18" customHeight="1">
      <x:c r="A85" s="36" t="str">
        <x:v>MFE-78E093FEE4921B</x:v>
      </x:c>
      <x:c r="B85" s="36" t="str">
        <x:v>manufacturer</x:v>
      </x:c>
      <x:c r="C85" s="36" t="str">
        <x:v>FCA</x:v>
      </x:c>
      <x:c r="D85" s="36" t="str">
        <x:v>FCA</x:v>
      </x:c>
      <x:c r="E85" s="36" t="str">
        <x:v>corporate_group</x:v>
      </x:c>
      <x:c r="F85" s="36" t="str">
        <x:v>require_evidence_review</x:v>
      </x:c>
      <x:c r="G85" s="36" t="str">
        <x:v>exact</x:v>
      </x:c>
      <x:c r="H85" s="38" t="str">
        <x:v>[]</x:v>
      </x:c>
      <x:c r="I85" s="38" t="str">
        <x:v>[]</x:v>
      </x:c>
      <x:c r="J85" s="38" t="str">
        <x:v>{}</x:v>
      </x:c>
      <x:c r="K85" s="36"/>
      <x:c r="L85" s="38" t="str">
        <x:v>{"source_field":"manufacturer","source_term":"FCA","canonical_name":"FCA","entity_role":"corporate_group","base_behavior":"require_evidence_review"}</x:v>
      </x:c>
    </x:row>
    <x:row r="86" ht="18" customHeight="1">
      <x:c r="A86" s="36" t="str">
        <x:v>MFE-6524C2A8038BC8</x:v>
      </x:c>
      <x:c r="B86" s="36" t="str">
        <x:v>brand</x:v>
      </x:c>
      <x:c r="C86" s="36" t="str">
        <x:v>AKTIV STABIL 1000 15</x:v>
      </x:c>
      <x:c r="D86" s="36" t="str">
        <x:v>Aktiv Stabil</x:v>
      </x:c>
      <x:c r="E86" s="36" t="str">
        <x:v>vehicle_manufacturer</x:v>
      </x:c>
      <x:c r="F86" s="36" t="str">
        <x:v>use_entity</x:v>
      </x:c>
      <x:c r="G86" s="36" t="str">
        <x:v>exact</x:v>
      </x:c>
      <x:c r="H86" s="38" t="str">
        <x:v>[]</x:v>
      </x:c>
      <x:c r="I86" s="38" t="str">
        <x:v>[]</x:v>
      </x:c>
      <x:c r="J86" s="38" t="str">
        <x:v>{}</x:v>
      </x:c>
      <x:c r="K86" s="36"/>
      <x:c r="L86" s="38" t="str">
        <x:v>{"source_field":"brand","source_term":"AKTIV STABIL 1000 15","canonical_name":"Aktiv Stabil","entity_role":"vehicle_manufacturer","base_behavior":"use_entity"}</x:v>
      </x:c>
    </x:row>
    <x:row r="87" ht="18" customHeight="1">
      <x:c r="A87" s="36" t="str">
        <x:v>MFE-4B918A113E9883</x:v>
      </x:c>
      <x:c r="B87" s="36" t="str">
        <x:v>brand</x:v>
      </x:c>
      <x:c r="C87" s="36" t="str">
        <x:v>ALFA ROMEO 940</x:v>
      </x:c>
      <x:c r="D87" s="36" t="str">
        <x:v>Alfa Romeo</x:v>
      </x:c>
      <x:c r="E87" s="36" t="str">
        <x:v>vehicle_manufacturer</x:v>
      </x:c>
      <x:c r="F87" s="36" t="str">
        <x:v>use_entity</x:v>
      </x:c>
      <x:c r="G87" s="36" t="str">
        <x:v>exact</x:v>
      </x:c>
      <x:c r="H87" s="38" t="str">
        <x:v>[]</x:v>
      </x:c>
      <x:c r="I87" s="38" t="str">
        <x:v>[]</x:v>
      </x:c>
      <x:c r="J87" s="38" t="str">
        <x:v>{}</x:v>
      </x:c>
      <x:c r="K87" s="36"/>
      <x:c r="L87" s="38" t="str">
        <x:v>{"source_field":"brand","source_term":"ALFA ROMEO 940","canonical_name":"Alfa Romeo","entity_role":"vehicle_manufacturer","base_behavior":"use_entity"}</x:v>
      </x:c>
    </x:row>
    <x:row r="88" ht="18" customHeight="1">
      <x:c r="A88" s="36" t="str">
        <x:v>MFE-2CA4ABAA708092</x:v>
      </x:c>
      <x:c r="B88" s="36" t="str">
        <x:v>brand</x:v>
      </x:c>
      <x:c r="C88" s="36" t="str">
        <x:v>ALFA ROMEO GIULIETTA SPR</x:v>
      </x:c>
      <x:c r="D88" s="36" t="str">
        <x:v>Alfa Romeo</x:v>
      </x:c>
      <x:c r="E88" s="36" t="str">
        <x:v>vehicle_manufacturer</x:v>
      </x:c>
      <x:c r="F88" s="36" t="str">
        <x:v>use_entity</x:v>
      </x:c>
      <x:c r="G88" s="36" t="str">
        <x:v>exact</x:v>
      </x:c>
      <x:c r="H88" s="38" t="str">
        <x:v>[]</x:v>
      </x:c>
      <x:c r="I88" s="38" t="str">
        <x:v>[]</x:v>
      </x:c>
      <x:c r="J88" s="38" t="str">
        <x:v>{}</x:v>
      </x:c>
      <x:c r="K88" s="36"/>
      <x:c r="L88" s="38" t="str">
        <x:v>{"source_field":"brand","source_term":"ALFA ROMEO GIULIETTA SPR","canonical_name":"Alfa Romeo","entity_role":"vehicle_manufacturer","base_behavior":"use_entity"}</x:v>
      </x:c>
    </x:row>
    <x:row r="89" ht="18" customHeight="1">
      <x:c r="A89" s="36" t="str">
        <x:v>MFE-493F2A9E53B0D1</x:v>
      </x:c>
      <x:c r="B89" s="36" t="str">
        <x:v>brand</x:v>
      </x:c>
      <x:c r="C89" s="36" t="str">
        <x:v>BELARUS 820</x:v>
      </x:c>
      <x:c r="D89" s="36" t="str">
        <x:v>Belarus</x:v>
      </x:c>
      <x:c r="E89" s="36" t="str">
        <x:v>vehicle_manufacturer</x:v>
      </x:c>
      <x:c r="F89" s="36" t="str">
        <x:v>use_entity</x:v>
      </x:c>
      <x:c r="G89" s="36" t="str">
        <x:v>exact</x:v>
      </x:c>
      <x:c r="H89" s="38" t="str">
        <x:v>[]</x:v>
      </x:c>
      <x:c r="I89" s="38" t="str">
        <x:v>[]</x:v>
      </x:c>
      <x:c r="J89" s="38" t="str">
        <x:v>{}</x:v>
      </x:c>
      <x:c r="K89" s="36"/>
      <x:c r="L89" s="38" t="str">
        <x:v>{"source_field":"brand","source_term":"BELARUS 820","canonical_name":"Belarus","entity_role":"vehicle_manufacturer","base_behavior":"use_entity"}</x:v>
      </x:c>
    </x:row>
    <x:row r="90" ht="18" customHeight="1">
      <x:c r="A90" s="36" t="str">
        <x:v>MFE-BC4FBD95CB256D</x:v>
      </x:c>
      <x:c r="B90" s="36" t="str">
        <x:v>brand</x:v>
      </x:c>
      <x:c r="C90" s="36" t="str">
        <x:v>BM VOLVO 861 DR</x:v>
      </x:c>
      <x:c r="D90" s="36" t="str">
        <x:v>Volvo BM</x:v>
      </x:c>
      <x:c r="E90" s="36" t="str">
        <x:v>vehicle_manufacturer</x:v>
      </x:c>
      <x:c r="F90" s="36" t="str">
        <x:v>use_entity</x:v>
      </x:c>
      <x:c r="G90" s="36" t="str">
        <x:v>exact</x:v>
      </x:c>
      <x:c r="H90" s="38" t="str">
        <x:v>[]</x:v>
      </x:c>
      <x:c r="I90" s="38" t="str">
        <x:v>[]</x:v>
      </x:c>
      <x:c r="J90" s="38" t="str">
        <x:v>{}</x:v>
      </x:c>
      <x:c r="K90" s="36"/>
      <x:c r="L90" s="38" t="str">
        <x:v>{"source_field":"brand","source_term":"BM VOLVO 861 DR","canonical_name":"Volvo BM","entity_role":"vehicle_manufacturer","base_behavior":"use_entity"}</x:v>
      </x:c>
    </x:row>
    <x:row r="91" ht="18" customHeight="1">
      <x:c r="A91" s="36" t="str">
        <x:v>MFE-0835529C51892F</x:v>
      </x:c>
      <x:c r="B91" s="36" t="str">
        <x:v>brand</x:v>
      </x:c>
      <x:c r="C91" s="36" t="str">
        <x:v>BOJ SLÄP</x:v>
      </x:c>
      <x:c r="D91" s="36" t="str">
        <x:v>BOJ</x:v>
      </x:c>
      <x:c r="E91" s="36" t="str">
        <x:v>vehicle_manufacturer</x:v>
      </x:c>
      <x:c r="F91" s="36" t="str">
        <x:v>use_entity</x:v>
      </x:c>
      <x:c r="G91" s="36" t="str">
        <x:v>exact</x:v>
      </x:c>
      <x:c r="H91" s="38" t="str">
        <x:v>[]</x:v>
      </x:c>
      <x:c r="I91" s="38" t="str">
        <x:v>[]</x:v>
      </x:c>
      <x:c r="J91" s="38" t="str">
        <x:v>{}</x:v>
      </x:c>
      <x:c r="K91" s="36"/>
      <x:c r="L91" s="38" t="str">
        <x:v>{"source_field":"brand","source_term":"BOJ SLÄP","canonical_name":"BOJ","entity_role":"vehicle_manufacturer","base_behavior":"use_entity"}</x:v>
      </x:c>
    </x:row>
    <x:row r="92" ht="18" customHeight="1">
      <x:c r="A92" s="36" t="str">
        <x:v>MFE-C7C7D251C1E93E</x:v>
      </x:c>
      <x:c r="B92" s="36" t="str">
        <x:v>brand</x:v>
      </x:c>
      <x:c r="C92" s="36" t="str">
        <x:v>BOLINDER MUNKTELL VOLVO</x:v>
      </x:c>
      <x:c r="D92" s="36" t="str">
        <x:v>Volvo BM</x:v>
      </x:c>
      <x:c r="E92" s="36" t="str">
        <x:v>vehicle_manufacturer</x:v>
      </x:c>
      <x:c r="F92" s="36" t="str">
        <x:v>use_entity</x:v>
      </x:c>
      <x:c r="G92" s="36" t="str">
        <x:v>exact</x:v>
      </x:c>
      <x:c r="H92" s="38" t="str">
        <x:v>[]</x:v>
      </x:c>
      <x:c r="I92" s="38" t="str">
        <x:v>[]</x:v>
      </x:c>
      <x:c r="J92" s="38" t="str">
        <x:v>{}</x:v>
      </x:c>
      <x:c r="K92" s="36"/>
      <x:c r="L92" s="38" t="str">
        <x:v>{"source_field":"brand","source_term":"BOLINDER MUNKTELL VOLVO","canonical_name":"Volvo BM","entity_role":"vehicle_manufacturer","base_behavior":"use_entity"}</x:v>
      </x:c>
    </x:row>
    <x:row r="93" ht="18" customHeight="1">
      <x:c r="A93" s="36" t="str">
        <x:v>MFE-FEC7E7AE28F967</x:v>
      </x:c>
      <x:c r="B93" s="36" t="str">
        <x:v>brand</x:v>
      </x:c>
      <x:c r="C93" s="36" t="str">
        <x:v>BRENDERUP</x:v>
      </x:c>
      <x:c r="D93" s="36" t="str">
        <x:v>Brenderup</x:v>
      </x:c>
      <x:c r="E93" s="36" t="str">
        <x:v>vehicle_manufacturer</x:v>
      </x:c>
      <x:c r="F93" s="36" t="str">
        <x:v>use_entity</x:v>
      </x:c>
      <x:c r="G93" s="36" t="str">
        <x:v>exact</x:v>
      </x:c>
      <x:c r="H93" s="38" t="str">
        <x:v>[]</x:v>
      </x:c>
      <x:c r="I93" s="38" t="str">
        <x:v>[]</x:v>
      </x:c>
      <x:c r="J93" s="38" t="str">
        <x:v>{}</x:v>
      </x:c>
      <x:c r="K93" s="36"/>
      <x:c r="L93" s="38" t="str">
        <x:v>{"source_field":"brand","source_term":"BRENDERUP","canonical_name":"Brenderup","entity_role":"vehicle_manufacturer","base_behavior":"use_entity"}</x:v>
      </x:c>
    </x:row>
    <x:row r="94" ht="18" customHeight="1">
      <x:c r="A94" s="36" t="str">
        <x:v>MFE-9504249897B689</x:v>
      </x:c>
      <x:c r="B94" s="36" t="str">
        <x:v>brand</x:v>
      </x:c>
      <x:c r="C94" s="36" t="str">
        <x:v>BRP</x:v>
      </x:c>
      <x:c r="D94" s="36" t="str">
        <x:v>BRP</x:v>
      </x:c>
      <x:c r="E94" s="36" t="str">
        <x:v>vehicle_manufacturer</x:v>
      </x:c>
      <x:c r="F94" s="36" t="str">
        <x:v>use_entity</x:v>
      </x:c>
      <x:c r="G94" s="36" t="str">
        <x:v>exact</x:v>
      </x:c>
      <x:c r="H94" s="38" t="str">
        <x:v>[]</x:v>
      </x:c>
      <x:c r="I94" s="38" t="str">
        <x:v>[]</x:v>
      </x:c>
      <x:c r="J94" s="38" t="str">
        <x:v>{}</x:v>
      </x:c>
      <x:c r="K94" s="36"/>
      <x:c r="L94" s="38" t="str">
        <x:v>{"source_field":"brand","source_term":"BRP","canonical_name":"BRP","entity_role":"vehicle_manufacturer","base_behavior":"use_entity"}</x:v>
      </x:c>
    </x:row>
    <x:row r="95" ht="18" customHeight="1">
      <x:c r="A95" s="36" t="str">
        <x:v>MFE-58BE1D02CD07AA</x:v>
      </x:c>
      <x:c r="B95" s="36" t="str">
        <x:v>brand</x:v>
      </x:c>
      <x:c r="C95" s="36" t="str">
        <x:v>BRÖDERNA FRANSSON 850</x:v>
      </x:c>
      <x:c r="D95" s="36" t="str">
        <x:v>Bröderna Fransson</x:v>
      </x:c>
      <x:c r="E95" s="36" t="str">
        <x:v>vehicle_manufacturer</x:v>
      </x:c>
      <x:c r="F95" s="36" t="str">
        <x:v>use_entity</x:v>
      </x:c>
      <x:c r="G95" s="36" t="str">
        <x:v>exact</x:v>
      </x:c>
      <x:c r="H95" s="38" t="str">
        <x:v>[]</x:v>
      </x:c>
      <x:c r="I95" s="38" t="str">
        <x:v>[]</x:v>
      </x:c>
      <x:c r="J95" s="38" t="str">
        <x:v>{}</x:v>
      </x:c>
      <x:c r="K95" s="36"/>
      <x:c r="L95" s="38" t="str">
        <x:v>{"source_field":"brand","source_term":"BRÖDERNA FRANSSON 850","canonical_name":"Bröderna Fransson","entity_role":"vehicle_manufacturer","base_behavior":"use_entity"}</x:v>
      </x:c>
    </x:row>
    <x:row r="96" ht="18" customHeight="1">
      <x:c r="A96" s="36" t="str">
        <x:v>MFE-8D984B20ECA352</x:v>
      </x:c>
      <x:c r="B96" s="36" t="str">
        <x:v>brand</x:v>
      </x:c>
      <x:c r="C96" s="36" t="str">
        <x:v>BUYANG FA D300</x:v>
      </x:c>
      <x:c r="D96" s="36" t="str">
        <x:v>Buyang</x:v>
      </x:c>
      <x:c r="E96" s="36" t="str">
        <x:v>vehicle_manufacturer</x:v>
      </x:c>
      <x:c r="F96" s="36" t="str">
        <x:v>use_entity</x:v>
      </x:c>
      <x:c r="G96" s="36" t="str">
        <x:v>exact</x:v>
      </x:c>
      <x:c r="H96" s="38" t="str">
        <x:v>[]</x:v>
      </x:c>
      <x:c r="I96" s="38" t="str">
        <x:v>[]</x:v>
      </x:c>
      <x:c r="J96" s="38" t="str">
        <x:v>{}</x:v>
      </x:c>
      <x:c r="K96" s="36"/>
      <x:c r="L96" s="38" t="str">
        <x:v>{"source_field":"brand","source_term":"BUYANG FA D300","canonical_name":"Buyang","entity_role":"vehicle_manufacturer","base_behavior":"use_entity"}</x:v>
      </x:c>
    </x:row>
    <x:row r="97" ht="18" customHeight="1">
      <x:c r="A97" s="36" t="str">
        <x:v>MFE-BCA81DE64500D7</x:v>
      </x:c>
      <x:c r="B97" s="36" t="str">
        <x:v>brand</x:v>
      </x:c>
      <x:c r="C97" s="36" t="str">
        <x:v>CABBY NOVA 472 CT SLÄP</x:v>
      </x:c>
      <x:c r="D97" s="36" t="str">
        <x:v>Cabby</x:v>
      </x:c>
      <x:c r="E97" s="36" t="str">
        <x:v>vehicle_manufacturer</x:v>
      </x:c>
      <x:c r="F97" s="36" t="str">
        <x:v>use_entity</x:v>
      </x:c>
      <x:c r="G97" s="36" t="str">
        <x:v>exact</x:v>
      </x:c>
      <x:c r="H97" s="38" t="str">
        <x:v>[]</x:v>
      </x:c>
      <x:c r="I97" s="38" t="str">
        <x:v>[]</x:v>
      </x:c>
      <x:c r="J97" s="38" t="str">
        <x:v>{}</x:v>
      </x:c>
      <x:c r="K97" s="36"/>
      <x:c r="L97" s="38" t="str">
        <x:v>{"source_field":"brand","source_term":"CABBY NOVA 472 CT SLÄP","canonical_name":"Cabby","entity_role":"vehicle_manufacturer","base_behavior":"use_entity"}</x:v>
      </x:c>
    </x:row>
    <x:row r="98" ht="18" customHeight="1">
      <x:c r="A98" s="36" t="str">
        <x:v>MFE-31F3817F57C66F</x:v>
      </x:c>
      <x:c r="B98" s="36" t="str">
        <x:v>brand</x:v>
      </x:c>
      <x:c r="C98" s="36" t="str">
        <x:v>CASE 1490 4 WD</x:v>
      </x:c>
      <x:c r="D98" s="36" t="str">
        <x:v>Case</x:v>
      </x:c>
      <x:c r="E98" s="36" t="str">
        <x:v>vehicle_manufacturer</x:v>
      </x:c>
      <x:c r="F98" s="36" t="str">
        <x:v>use_entity</x:v>
      </x:c>
      <x:c r="G98" s="36" t="str">
        <x:v>exact</x:v>
      </x:c>
      <x:c r="H98" s="38" t="str">
        <x:v>[]</x:v>
      </x:c>
      <x:c r="I98" s="38" t="str">
        <x:v>[]</x:v>
      </x:c>
      <x:c r="J98" s="38" t="str">
        <x:v>{}</x:v>
      </x:c>
      <x:c r="K98" s="36"/>
      <x:c r="L98" s="38" t="str">
        <x:v>{"source_field":"brand","source_term":"CASE 1490 4 WD","canonical_name":"Case","entity_role":"vehicle_manufacturer","base_behavior":"use_entity"}</x:v>
      </x:c>
    </x:row>
    <x:row r="99" ht="18" customHeight="1">
      <x:c r="A99" s="36" t="str">
        <x:v>MFE-40B86B0B9BBB17</x:v>
      </x:c>
      <x:c r="B99" s="36" t="str">
        <x:v>brand</x:v>
      </x:c>
      <x:c r="C99" s="36" t="str">
        <x:v>CHEVROLET IMPALA</x:v>
      </x:c>
      <x:c r="D99" s="36" t="str">
        <x:v>Chevrolet</x:v>
      </x:c>
      <x:c r="E99" s="36" t="str">
        <x:v>vehicle_manufacturer</x:v>
      </x:c>
      <x:c r="F99" s="36" t="str">
        <x:v>use_entity</x:v>
      </x:c>
      <x:c r="G99" s="36" t="str">
        <x:v>exact</x:v>
      </x:c>
      <x:c r="H99" s="38" t="str">
        <x:v>[]</x:v>
      </x:c>
      <x:c r="I99" s="38" t="str">
        <x:v>[]</x:v>
      </x:c>
      <x:c r="J99" s="38" t="str">
        <x:v>{}</x:v>
      </x:c>
      <x:c r="K99" s="36"/>
      <x:c r="L99" s="38" t="str">
        <x:v>{"source_field":"brand","source_term":"CHEVROLET IMPALA","canonical_name":"Chevrolet","entity_role":"vehicle_manufacturer","base_behavior":"use_entity"}</x:v>
      </x:c>
    </x:row>
    <x:row r="100" ht="18" customHeight="1">
      <x:c r="A100" s="36" t="str">
        <x:v>MFE-D87143B78DFEB8</x:v>
      </x:c>
      <x:c r="B100" s="36" t="str">
        <x:v>brand</x:v>
      </x:c>
      <x:c r="C100" s="36" t="str">
        <x:v>CHEVROLET KL1T</x:v>
      </x:c>
      <x:c r="D100" s="36" t="str">
        <x:v>Chevrolet</x:v>
      </x:c>
      <x:c r="E100" s="36" t="str">
        <x:v>vehicle_manufacturer</x:v>
      </x:c>
      <x:c r="F100" s="36" t="str">
        <x:v>use_entity</x:v>
      </x:c>
      <x:c r="G100" s="36" t="str">
        <x:v>exact</x:v>
      </x:c>
      <x:c r="H100" s="38" t="str">
        <x:v>[]</x:v>
      </x:c>
      <x:c r="I100" s="38" t="str">
        <x:v>[]</x:v>
      </x:c>
      <x:c r="J100" s="38" t="str">
        <x:v>{}</x:v>
      </x:c>
      <x:c r="K100" s="36"/>
      <x:c r="L100" s="38" t="str">
        <x:v>{"source_field":"brand","source_term":"CHEVROLET KL1T","canonical_name":"Chevrolet","entity_role":"vehicle_manufacturer","base_behavior":"use_entity"}</x:v>
      </x:c>
    </x:row>
    <x:row r="101" ht="18" customHeight="1">
      <x:c r="A101" s="36" t="str">
        <x:v>MFE-895D4A944F68F8</x:v>
      </x:c>
      <x:c r="B101" s="36" t="str">
        <x:v>brand</x:v>
      </x:c>
      <x:c r="C101" s="36" t="str">
        <x:v>CHEVROLET VAN</x:v>
      </x:c>
      <x:c r="D101" s="36" t="str">
        <x:v>Chevrolet</x:v>
      </x:c>
      <x:c r="E101" s="36" t="str">
        <x:v>vehicle_manufacturer</x:v>
      </x:c>
      <x:c r="F101" s="36" t="str">
        <x:v>use_entity</x:v>
      </x:c>
      <x:c r="G101" s="36" t="str">
        <x:v>exact</x:v>
      </x:c>
      <x:c r="H101" s="38" t="str">
        <x:v>[]</x:v>
      </x:c>
      <x:c r="I101" s="38" t="str">
        <x:v>[]</x:v>
      </x:c>
      <x:c r="J101" s="38" t="str">
        <x:v>{}</x:v>
      </x:c>
      <x:c r="K101" s="36"/>
      <x:c r="L101" s="38" t="str">
        <x:v>{"source_field":"brand","source_term":"CHEVROLET VAN","canonical_name":"Chevrolet","entity_role":"vehicle_manufacturer","base_behavior":"use_entity"}</x:v>
      </x:c>
    </x:row>
    <x:row r="102" ht="18" customHeight="1">
      <x:c r="A102" s="36" t="str">
        <x:v>MFE-062573713DBBB9</x:v>
      </x:c>
      <x:c r="B102" s="36" t="str">
        <x:v>brand</x:v>
      </x:c>
      <x:c r="C102" s="36" t="str">
        <x:v>CI SMÅLANDIA 450</x:v>
      </x:c>
      <x:c r="D102" s="36" t="str">
        <x:v>CI Smålandia</x:v>
      </x:c>
      <x:c r="E102" s="36" t="str">
        <x:v>vehicle_manufacturer</x:v>
      </x:c>
      <x:c r="F102" s="36" t="str">
        <x:v>use_entity</x:v>
      </x:c>
      <x:c r="G102" s="36" t="str">
        <x:v>exact</x:v>
      </x:c>
      <x:c r="H102" s="38" t="str">
        <x:v>[]</x:v>
      </x:c>
      <x:c r="I102" s="38" t="str">
        <x:v>[]</x:v>
      </x:c>
      <x:c r="J102" s="38" t="str">
        <x:v>{}</x:v>
      </x:c>
      <x:c r="K102" s="36"/>
      <x:c r="L102" s="38" t="str">
        <x:v>{"source_field":"brand","source_term":"CI SMÅLANDIA 450","canonical_name":"CI Smålandia","entity_role":"vehicle_manufacturer","base_behavior":"use_entity"}</x:v>
      </x:c>
    </x:row>
    <x:row r="103" ht="18" customHeight="1">
      <x:c r="A103" s="36" t="str">
        <x:v>MFE-04E2D7EE677E83</x:v>
      </x:c>
      <x:c r="B103" s="36" t="str">
        <x:v>brand</x:v>
      </x:c>
      <x:c r="C103" s="36" t="str">
        <x:v>CLUB CAR DS</x:v>
      </x:c>
      <x:c r="D103" s="36" t="str">
        <x:v>Club Car</x:v>
      </x:c>
      <x:c r="E103" s="36" t="str">
        <x:v>vehicle_manufacturer</x:v>
      </x:c>
      <x:c r="F103" s="36" t="str">
        <x:v>use_entity</x:v>
      </x:c>
      <x:c r="G103" s="36" t="str">
        <x:v>exact</x:v>
      </x:c>
      <x:c r="H103" s="38" t="str">
        <x:v>[]</x:v>
      </x:c>
      <x:c r="I103" s="38" t="str">
        <x:v>[]</x:v>
      </x:c>
      <x:c r="J103" s="38" t="str">
        <x:v>{}</x:v>
      </x:c>
      <x:c r="K103" s="36"/>
      <x:c r="L103" s="38" t="str">
        <x:v>{"source_field":"brand","source_term":"CLUB CAR DS","canonical_name":"Club Car","entity_role":"vehicle_manufacturer","base_behavior":"use_entity"}</x:v>
      </x:c>
    </x:row>
    <x:row r="104" ht="18" customHeight="1">
      <x:c r="A104" s="36" t="str">
        <x:v>MFE-80C470898AD08F</x:v>
      </x:c>
      <x:c r="B104" s="36" t="str">
        <x:v>brand</x:v>
      </x:c>
      <x:c r="C104" s="36" t="str">
        <x:v>CO SLÄPET 2000 BTR</x:v>
      </x:c>
      <x:c r="D104" s="36" t="str">
        <x:v>CO-Släpet</x:v>
      </x:c>
      <x:c r="E104" s="36" t="str">
        <x:v>vehicle_manufacturer</x:v>
      </x:c>
      <x:c r="F104" s="36" t="str">
        <x:v>use_entity</x:v>
      </x:c>
      <x:c r="G104" s="36" t="str">
        <x:v>exact</x:v>
      </x:c>
      <x:c r="H104" s="38" t="str">
        <x:v>[]</x:v>
      </x:c>
      <x:c r="I104" s="38" t="str">
        <x:v>[]</x:v>
      </x:c>
      <x:c r="J104" s="38" t="str">
        <x:v>{}</x:v>
      </x:c>
      <x:c r="K104" s="36"/>
      <x:c r="L104" s="38" t="str">
        <x:v>{"source_field":"brand","source_term":"CO SLÄPET 2000 BTR","canonical_name":"CO-Släpet","entity_role":"vehicle_manufacturer","base_behavior":"use_entity"}</x:v>
      </x:c>
    </x:row>
    <x:row r="105" ht="18" customHeight="1">
      <x:c r="A105" s="36" t="str">
        <x:v>MFE-02F345E4D27B51</x:v>
      </x:c>
      <x:c r="B105" s="36" t="str">
        <x:v>brand</x:v>
      </x:c>
      <x:c r="C105" s="36" t="str">
        <x:v>CO SLÄPET 750 JUBI</x:v>
      </x:c>
      <x:c r="D105" s="36" t="str">
        <x:v>CO-Släpet</x:v>
      </x:c>
      <x:c r="E105" s="36" t="str">
        <x:v>vehicle_manufacturer</x:v>
      </x:c>
      <x:c r="F105" s="36" t="str">
        <x:v>use_entity</x:v>
      </x:c>
      <x:c r="G105" s="36" t="str">
        <x:v>exact</x:v>
      </x:c>
      <x:c r="H105" s="38" t="str">
        <x:v>[]</x:v>
      </x:c>
      <x:c r="I105" s="38" t="str">
        <x:v>[]</x:v>
      </x:c>
      <x:c r="J105" s="38" t="str">
        <x:v>{}</x:v>
      </x:c>
      <x:c r="K105" s="36"/>
      <x:c r="L105" s="38" t="str">
        <x:v>{"source_field":"brand","source_term":"CO SLÄPET 750 JUBI","canonical_name":"CO-Släpet","entity_role":"vehicle_manufacturer","base_behavior":"use_entity"}</x:v>
      </x:c>
    </x:row>
    <x:row r="106" ht="18" customHeight="1">
      <x:c r="A106" s="36" t="str">
        <x:v>MFE-05203FE4E772CB</x:v>
      </x:c>
      <x:c r="B106" s="36" t="str">
        <x:v>brand</x:v>
      </x:c>
      <x:c r="C106" s="36" t="str">
        <x:v>DUCATI SUPERSPORT 900</x:v>
      </x:c>
      <x:c r="D106" s="36" t="str">
        <x:v>Ducati</x:v>
      </x:c>
      <x:c r="E106" s="36" t="str">
        <x:v>vehicle_manufacturer</x:v>
      </x:c>
      <x:c r="F106" s="36" t="str">
        <x:v>use_entity</x:v>
      </x:c>
      <x:c r="G106" s="36" t="str">
        <x:v>exact</x:v>
      </x:c>
      <x:c r="H106" s="38" t="str">
        <x:v>[]</x:v>
      </x:c>
      <x:c r="I106" s="38" t="str">
        <x:v>[]</x:v>
      </x:c>
      <x:c r="J106" s="38" t="str">
        <x:v>{}</x:v>
      </x:c>
      <x:c r="K106" s="36"/>
      <x:c r="L106" s="38" t="str">
        <x:v>{"source_field":"brand","source_term":"DUCATI SUPERSPORT 900","canonical_name":"Ducati","entity_role":"vehicle_manufacturer","base_behavior":"use_entity"}</x:v>
      </x:c>
    </x:row>
    <x:row r="107" ht="18" customHeight="1">
      <x:c r="A107" s="36" t="str">
        <x:v>MFE-5F711C808A7093</x:v>
      </x:c>
      <x:c r="B107" s="36" t="str">
        <x:v>brand</x:v>
      </x:c>
      <x:c r="C107" s="36" t="str">
        <x:v>FOBO 10016</x:v>
      </x:c>
      <x:c r="D107" s="36" t="str">
        <x:v>FOBO</x:v>
      </x:c>
      <x:c r="E107" s="36" t="str">
        <x:v>vehicle_manufacturer</x:v>
      </x:c>
      <x:c r="F107" s="36" t="str">
        <x:v>use_entity</x:v>
      </x:c>
      <x:c r="G107" s="36" t="str">
        <x:v>exact</x:v>
      </x:c>
      <x:c r="H107" s="38" t="str">
        <x:v>[]</x:v>
      </x:c>
      <x:c r="I107" s="38" t="str">
        <x:v>[]</x:v>
      </x:c>
      <x:c r="J107" s="38" t="str">
        <x:v>{}</x:v>
      </x:c>
      <x:c r="K107" s="36"/>
      <x:c r="L107" s="38" t="str">
        <x:v>{"source_field":"brand","source_term":"FOBO 10016","canonical_name":"FOBO","entity_role":"vehicle_manufacturer","base_behavior":"use_entity"}</x:v>
      </x:c>
    </x:row>
    <x:row r="108" ht="18" customHeight="1">
      <x:c r="A108" s="36" t="str">
        <x:v>MFE-9136FCA78A4E36</x:v>
      </x:c>
      <x:c r="B108" s="36" t="str">
        <x:v>brand</x:v>
      </x:c>
      <x:c r="C108" s="36" t="str">
        <x:v>FORDSON DEXTA</x:v>
      </x:c>
      <x:c r="D108" s="36" t="str">
        <x:v>Fordson</x:v>
      </x:c>
      <x:c r="E108" s="36" t="str">
        <x:v>vehicle_manufacturer</x:v>
      </x:c>
      <x:c r="F108" s="36" t="str">
        <x:v>use_entity</x:v>
      </x:c>
      <x:c r="G108" s="36" t="str">
        <x:v>exact</x:v>
      </x:c>
      <x:c r="H108" s="38" t="str">
        <x:v>[]</x:v>
      </x:c>
      <x:c r="I108" s="38" t="str">
        <x:v>[]</x:v>
      </x:c>
      <x:c r="J108" s="38" t="str">
        <x:v>{}</x:v>
      </x:c>
      <x:c r="K108" s="36"/>
      <x:c r="L108" s="38" t="str">
        <x:v>{"source_field":"brand","source_term":"FORDSON DEXTA","canonical_name":"Fordson","entity_role":"vehicle_manufacturer","base_behavior":"use_entity"}</x:v>
      </x:c>
    </x:row>
    <x:row r="109" ht="18" customHeight="1">
      <x:c r="A109" s="36" t="str">
        <x:v>MFE-259D2743A8C378</x:v>
      </x:c>
      <x:c r="B109" s="36" t="str">
        <x:v>brand</x:v>
      </x:c>
      <x:c r="C109" s="36" t="str">
        <x:v>FORDSON MAJOR</x:v>
      </x:c>
      <x:c r="D109" s="36" t="str">
        <x:v>Fordson</x:v>
      </x:c>
      <x:c r="E109" s="36" t="str">
        <x:v>vehicle_manufacturer</x:v>
      </x:c>
      <x:c r="F109" s="36" t="str">
        <x:v>use_entity</x:v>
      </x:c>
      <x:c r="G109" s="36" t="str">
        <x:v>exact</x:v>
      </x:c>
      <x:c r="H109" s="38" t="str">
        <x:v>[]</x:v>
      </x:c>
      <x:c r="I109" s="38" t="str">
        <x:v>[]</x:v>
      </x:c>
      <x:c r="J109" s="38" t="str">
        <x:v>{}</x:v>
      </x:c>
      <x:c r="K109" s="36"/>
      <x:c r="L109" s="38" t="str">
        <x:v>{"source_field":"brand","source_term":"FORDSON MAJOR","canonical_name":"Fordson","entity_role":"vehicle_manufacturer","base_behavior":"use_entity"}</x:v>
      </x:c>
    </x:row>
    <x:row r="110" ht="18" customHeight="1">
      <x:c r="A110" s="36" t="str">
        <x:v>MFE-03A80AC9602E74</x:v>
      </x:c>
      <x:c r="B110" s="36" t="str">
        <x:v>brand</x:v>
      </x:c>
      <x:c r="C110" s="36" t="str">
        <x:v>GISEBO G 25 16 1</x:v>
      </x:c>
      <x:c r="D110" s="36" t="str">
        <x:v>Gisebo</x:v>
      </x:c>
      <x:c r="E110" s="36" t="str">
        <x:v>vehicle_manufacturer</x:v>
      </x:c>
      <x:c r="F110" s="36" t="str">
        <x:v>use_entity</x:v>
      </x:c>
      <x:c r="G110" s="36" t="str">
        <x:v>exact</x:v>
      </x:c>
      <x:c r="H110" s="38" t="str">
        <x:v>[]</x:v>
      </x:c>
      <x:c r="I110" s="38" t="str">
        <x:v>[]</x:v>
      </x:c>
      <x:c r="J110" s="38" t="str">
        <x:v>{}</x:v>
      </x:c>
      <x:c r="K110" s="36"/>
      <x:c r="L110" s="38" t="str">
        <x:v>{"source_field":"brand","source_term":"GISEBO G 25 16 1","canonical_name":"Gisebo","entity_role":"vehicle_manufacturer","base_behavior":"use_entity"}</x:v>
      </x:c>
    </x:row>
    <x:row r="111" ht="18" customHeight="1">
      <x:c r="A111" s="36" t="str">
        <x:v>MFE-17235555F590CC</x:v>
      </x:c>
      <x:c r="B111" s="36" t="str">
        <x:v>brand</x:v>
      </x:c>
      <x:c r="C111" s="36" t="str">
        <x:v>GISEBO G 25 18 2</x:v>
      </x:c>
      <x:c r="D111" s="36" t="str">
        <x:v>Gisebo</x:v>
      </x:c>
      <x:c r="E111" s="36" t="str">
        <x:v>vehicle_manufacturer</x:v>
      </x:c>
      <x:c r="F111" s="36" t="str">
        <x:v>use_entity</x:v>
      </x:c>
      <x:c r="G111" s="36" t="str">
        <x:v>exact</x:v>
      </x:c>
      <x:c r="H111" s="38" t="str">
        <x:v>[]</x:v>
      </x:c>
      <x:c r="I111" s="38" t="str">
        <x:v>[]</x:v>
      </x:c>
      <x:c r="J111" s="38" t="str">
        <x:v>{}</x:v>
      </x:c>
      <x:c r="K111" s="36"/>
      <x:c r="L111" s="38" t="str">
        <x:v>{"source_field":"brand","source_term":"GISEBO G 25 18 2","canonical_name":"Gisebo","entity_role":"vehicle_manufacturer","base_behavior":"use_entity"}</x:v>
      </x:c>
    </x:row>
    <x:row r="112" ht="18" customHeight="1">
      <x:c r="A112" s="36" t="str">
        <x:v>MFE-97CE6442014268</x:v>
      </x:c>
      <x:c r="B112" s="36" t="str">
        <x:v>brand</x:v>
      </x:c>
      <x:c r="C112" s="36" t="str">
        <x:v>GOES</x:v>
      </x:c>
      <x:c r="D112" s="36" t="str">
        <x:v>Goes</x:v>
      </x:c>
      <x:c r="E112" s="36" t="str">
        <x:v>vehicle_manufacturer</x:v>
      </x:c>
      <x:c r="F112" s="36" t="str">
        <x:v>use_entity</x:v>
      </x:c>
      <x:c r="G112" s="36" t="str">
        <x:v>exact</x:v>
      </x:c>
      <x:c r="H112" s="38" t="str">
        <x:v>[]</x:v>
      </x:c>
      <x:c r="I112" s="38" t="str">
        <x:v>[]</x:v>
      </x:c>
      <x:c r="J112" s="38" t="str">
        <x:v>{}</x:v>
      </x:c>
      <x:c r="K112" s="36"/>
      <x:c r="L112" s="38" t="str">
        <x:v>{"source_field":"brand","source_term":"GOES","canonical_name":"Goes","entity_role":"vehicle_manufacturer","base_behavior":"use_entity"}</x:v>
      </x:c>
    </x:row>
    <x:row r="113" ht="18" customHeight="1">
      <x:c r="A113" s="36" t="str">
        <x:v>MFE-CE0A3DFFDC43B2</x:v>
      </x:c>
      <x:c r="B113" s="36" t="str">
        <x:v>brand</x:v>
      </x:c>
      <x:c r="C113" s="36" t="str">
        <x:v>GOES CF500A</x:v>
      </x:c>
      <x:c r="D113" s="36" t="str">
        <x:v>Goes</x:v>
      </x:c>
      <x:c r="E113" s="36" t="str">
        <x:v>vehicle_manufacturer</x:v>
      </x:c>
      <x:c r="F113" s="36" t="str">
        <x:v>use_entity</x:v>
      </x:c>
      <x:c r="G113" s="36" t="str">
        <x:v>exact</x:v>
      </x:c>
      <x:c r="H113" s="38" t="str">
        <x:v>[]</x:v>
      </x:c>
      <x:c r="I113" s="38" t="str">
        <x:v>[]</x:v>
      </x:c>
      <x:c r="J113" s="38" t="str">
        <x:v>{}</x:v>
      </x:c>
      <x:c r="K113" s="36"/>
      <x:c r="L113" s="38" t="str">
        <x:v>{"source_field":"brand","source_term":"GOES CF500A","canonical_name":"Goes","entity_role":"vehicle_manufacturer","base_behavior":"use_entity"}</x:v>
      </x:c>
    </x:row>
    <x:row r="114" ht="18" customHeight="1">
      <x:c r="A114" s="36" t="str">
        <x:v>MFE-A2C96CFFDEE488</x:v>
      </x:c>
      <x:c r="B114" s="36" t="str">
        <x:v>brand</x:v>
      </x:c>
      <x:c r="C114" s="36" t="str">
        <x:v>HARLEY DAVIDSON</x:v>
      </x:c>
      <x:c r="D114" s="36" t="str">
        <x:v>Harley-Davidson</x:v>
      </x:c>
      <x:c r="E114" s="36" t="str">
        <x:v>vehicle_manufacturer</x:v>
      </x:c>
      <x:c r="F114" s="36" t="str">
        <x:v>use_entity</x:v>
      </x:c>
      <x:c r="G114" s="36" t="str">
        <x:v>exact</x:v>
      </x:c>
      <x:c r="H114" s="38" t="str">
        <x:v>[]</x:v>
      </x:c>
      <x:c r="I114" s="38" t="str">
        <x:v>[]</x:v>
      </x:c>
      <x:c r="J114" s="38" t="str">
        <x:v>{}</x:v>
      </x:c>
      <x:c r="K114" s="36"/>
      <x:c r="L114" s="38" t="str">
        <x:v>{"source_field":"brand","source_term":"HARLEY DAVIDSON","canonical_name":"Harley-Davidson","entity_role":"vehicle_manufacturer","base_behavior":"use_entity"}</x:v>
      </x:c>
    </x:row>
    <x:row r="115" ht="18" customHeight="1">
      <x:c r="A115" s="36" t="str">
        <x:v>MFE-2A6DCA57E4C3B5</x:v>
      </x:c>
      <x:c r="B115" s="36" t="str">
        <x:v>brand</x:v>
      </x:c>
      <x:c r="C115" s="36" t="str">
        <x:v>HARLEY DAVIDSON FXE 1200</x:v>
      </x:c>
      <x:c r="D115" s="36" t="str">
        <x:v>Harley-Davidson</x:v>
      </x:c>
      <x:c r="E115" s="36" t="str">
        <x:v>vehicle_manufacturer</x:v>
      </x:c>
      <x:c r="F115" s="36" t="str">
        <x:v>use_entity</x:v>
      </x:c>
      <x:c r="G115" s="36" t="str">
        <x:v>exact</x:v>
      </x:c>
      <x:c r="H115" s="38" t="str">
        <x:v>[]</x:v>
      </x:c>
      <x:c r="I115" s="38" t="str">
        <x:v>[]</x:v>
      </x:c>
      <x:c r="J115" s="38" t="str">
        <x:v>{}</x:v>
      </x:c>
      <x:c r="K115" s="36"/>
      <x:c r="L115" s="38" t="str">
        <x:v>{"source_field":"brand","source_term":"HARLEY DAVIDSON FXE 1200","canonical_name":"Harley-Davidson","entity_role":"vehicle_manufacturer","base_behavior":"use_entity"}</x:v>
      </x:c>
    </x:row>
    <x:row r="116" ht="18" customHeight="1">
      <x:c r="A116" s="36" t="str">
        <x:v>MFE-341702E4FAB041</x:v>
      </x:c>
      <x:c r="B116" s="36" t="str">
        <x:v>brand</x:v>
      </x:c>
      <x:c r="C116" s="36" t="str">
        <x:v>HOLDER P70C 460</x:v>
      </x:c>
      <x:c r="D116" s="36" t="str">
        <x:v>Holder</x:v>
      </x:c>
      <x:c r="E116" s="36" t="str">
        <x:v>vehicle_manufacturer</x:v>
      </x:c>
      <x:c r="F116" s="36" t="str">
        <x:v>use_entity</x:v>
      </x:c>
      <x:c r="G116" s="36" t="str">
        <x:v>exact</x:v>
      </x:c>
      <x:c r="H116" s="38" t="str">
        <x:v>[]</x:v>
      </x:c>
      <x:c r="I116" s="38" t="str">
        <x:v>[]</x:v>
      </x:c>
      <x:c r="J116" s="38" t="str">
        <x:v>{}</x:v>
      </x:c>
      <x:c r="K116" s="36"/>
      <x:c r="L116" s="38" t="str">
        <x:v>{"source_field":"brand","source_term":"HOLDER P70C 460","canonical_name":"Holder","entity_role":"vehicle_manufacturer","base_behavior":"use_entity"}</x:v>
      </x:c>
    </x:row>
    <x:row r="117" ht="18" customHeight="1">
      <x:c r="A117" s="36" t="str">
        <x:v>MFE-2228AA33B77DCD</x:v>
      </x:c>
      <x:c r="B117" s="36" t="str">
        <x:v>brand</x:v>
      </x:c>
      <x:c r="C117" s="36" t="str">
        <x:v>HUSQVARNA MOD KAF 256A</x:v>
      </x:c>
      <x:c r="D117" s="36" t="str">
        <x:v>Husqvarna</x:v>
      </x:c>
      <x:c r="E117" s="36" t="str">
        <x:v>vehicle_manufacturer</x:v>
      </x:c>
      <x:c r="F117" s="36" t="str">
        <x:v>use_entity</x:v>
      </x:c>
      <x:c r="G117" s="36" t="str">
        <x:v>exact</x:v>
      </x:c>
      <x:c r="H117" s="38" t="str">
        <x:v>[]</x:v>
      </x:c>
      <x:c r="I117" s="38" t="str">
        <x:v>[]</x:v>
      </x:c>
      <x:c r="J117" s="38" t="str">
        <x:v>{}</x:v>
      </x:c>
      <x:c r="K117" s="36"/>
      <x:c r="L117" s="38" t="str">
        <x:v>{"source_field":"brand","source_term":"HUSQVARNA MOD KAF 256A","canonical_name":"Husqvarna","entity_role":"vehicle_manufacturer","base_behavior":"use_entity"}</x:v>
      </x:c>
    </x:row>
    <x:row r="118" ht="18" customHeight="1">
      <x:c r="A118" s="36" t="str">
        <x:v>MFE-CBB5BE6C1F6B38</x:v>
      </x:c>
      <x:c r="B118" s="36" t="str">
        <x:v>brand</x:v>
      </x:c>
      <x:c r="C118" s="36" t="str">
        <x:v>HYDRO MEKANO</x:v>
      </x:c>
      <x:c r="D118" s="36" t="str">
        <x:v>Hydro Mekano</x:v>
      </x:c>
      <x:c r="E118" s="36" t="str">
        <x:v>vehicle_manufacturer</x:v>
      </x:c>
      <x:c r="F118" s="36" t="str">
        <x:v>use_entity</x:v>
      </x:c>
      <x:c r="G118" s="36" t="str">
        <x:v>exact</x:v>
      </x:c>
      <x:c r="H118" s="38" t="str">
        <x:v>[]</x:v>
      </x:c>
      <x:c r="I118" s="38" t="str">
        <x:v>[]</x:v>
      </x:c>
      <x:c r="J118" s="38" t="str">
        <x:v>{}</x:v>
      </x:c>
      <x:c r="K118" s="36"/>
      <x:c r="L118" s="38" t="str">
        <x:v>{"source_field":"brand","source_term":"HYDRO MEKANO","canonical_name":"Hydro Mekano","entity_role":"vehicle_manufacturer","base_behavior":"use_entity"}</x:v>
      </x:c>
    </x:row>
    <x:row r="119" ht="18" customHeight="1">
      <x:c r="A119" s="36" t="str">
        <x:v>MFE-E2D0DC3CAE84C9</x:v>
      </x:c>
      <x:c r="B119" s="36" t="str">
        <x:v>brand</x:v>
      </x:c>
      <x:c r="C119" s="36" t="str">
        <x:v>IGASS 750</x:v>
      </x:c>
      <x:c r="D119" s="36" t="str">
        <x:v>IGASS</x:v>
      </x:c>
      <x:c r="E119" s="36" t="str">
        <x:v>vehicle_manufacturer</x:v>
      </x:c>
      <x:c r="F119" s="36" t="str">
        <x:v>use_entity</x:v>
      </x:c>
      <x:c r="G119" s="36" t="str">
        <x:v>exact</x:v>
      </x:c>
      <x:c r="H119" s="38" t="str">
        <x:v>[]</x:v>
      </x:c>
      <x:c r="I119" s="38" t="str">
        <x:v>[]</x:v>
      </x:c>
      <x:c r="J119" s="38" t="str">
        <x:v>{}</x:v>
      </x:c>
      <x:c r="K119" s="36"/>
      <x:c r="L119" s="38" t="str">
        <x:v>{"source_field":"brand","source_term":"IGASS 750","canonical_name":"IGASS","entity_role":"vehicle_manufacturer","base_behavior":"use_entity"}</x:v>
      </x:c>
    </x:row>
    <x:row r="120" ht="18" customHeight="1">
      <x:c r="A120" s="36" t="str">
        <x:v>MFE-E75573BBB8395F</x:v>
      </x:c>
      <x:c r="B120" s="36" t="str">
        <x:v>brand</x:v>
      </x:c>
      <x:c r="C120" s="36" t="str">
        <x:v>INDIAN</x:v>
      </x:c>
      <x:c r="D120" s="36" t="str">
        <x:v>Indian</x:v>
      </x:c>
      <x:c r="E120" s="36" t="str">
        <x:v>vehicle_manufacturer</x:v>
      </x:c>
      <x:c r="F120" s="36" t="str">
        <x:v>use_entity</x:v>
      </x:c>
      <x:c r="G120" s="36" t="str">
        <x:v>exact</x:v>
      </x:c>
      <x:c r="H120" s="38" t="str">
        <x:v>[]</x:v>
      </x:c>
      <x:c r="I120" s="38" t="str">
        <x:v>[]</x:v>
      </x:c>
      <x:c r="J120" s="38" t="str">
        <x:v>{}</x:v>
      </x:c>
      <x:c r="K120" s="36"/>
      <x:c r="L120" s="38" t="str">
        <x:v>{"source_field":"brand","source_term":"INDIAN","canonical_name":"Indian","entity_role":"vehicle_manufacturer","base_behavior":"use_entity"}</x:v>
      </x:c>
    </x:row>
    <x:row r="121" ht="18" customHeight="1">
      <x:c r="A121" s="36" t="str">
        <x:v>MFE-757812ECEF7A57</x:v>
      </x:c>
      <x:c r="B121" s="36" t="str">
        <x:v>brand</x:v>
      </x:c>
      <x:c r="C121" s="36" t="str">
        <x:v>INTERNATIONAL 584</x:v>
      </x:c>
      <x:c r="D121" s="36" t="str">
        <x:v>International</x:v>
      </x:c>
      <x:c r="E121" s="36" t="str">
        <x:v>vehicle_manufacturer</x:v>
      </x:c>
      <x:c r="F121" s="36" t="str">
        <x:v>use_entity</x:v>
      </x:c>
      <x:c r="G121" s="36" t="str">
        <x:v>exact</x:v>
      </x:c>
      <x:c r="H121" s="38" t="str">
        <x:v>[]</x:v>
      </x:c>
      <x:c r="I121" s="38" t="str">
        <x:v>[]</x:v>
      </x:c>
      <x:c r="J121" s="38" t="str">
        <x:v>{}</x:v>
      </x:c>
      <x:c r="K121" s="36"/>
      <x:c r="L121" s="38" t="str">
        <x:v>{"source_field":"brand","source_term":"INTERNATIONAL 584","canonical_name":"International","entity_role":"vehicle_manufacturer","base_behavior":"use_entity"}</x:v>
      </x:c>
    </x:row>
    <x:row r="122" ht="18" customHeight="1">
      <x:c r="A122" s="36" t="str">
        <x:v>MFE-9F5071E074CFA1</x:v>
      </x:c>
      <x:c r="B122" s="36" t="str">
        <x:v>brand</x:v>
      </x:c>
      <x:c r="C122" s="36" t="str">
        <x:v>J DEERE 2250 4WD MC1</x:v>
      </x:c>
      <x:c r="D122" s="36" t="str">
        <x:v>John Deere</x:v>
      </x:c>
      <x:c r="E122" s="36" t="str">
        <x:v>vehicle_manufacturer</x:v>
      </x:c>
      <x:c r="F122" s="36" t="str">
        <x:v>use_entity</x:v>
      </x:c>
      <x:c r="G122" s="36" t="str">
        <x:v>exact</x:v>
      </x:c>
      <x:c r="H122" s="38" t="str">
        <x:v>[]</x:v>
      </x:c>
      <x:c r="I122" s="38" t="str">
        <x:v>[]</x:v>
      </x:c>
      <x:c r="J122" s="38" t="str">
        <x:v>{}</x:v>
      </x:c>
      <x:c r="K122" s="36"/>
      <x:c r="L122" s="38" t="str">
        <x:v>{"source_field":"brand","source_term":"J DEERE 2250 4WD MC1","canonical_name":"John Deere","entity_role":"vehicle_manufacturer","base_behavior":"use_entity"}</x:v>
      </x:c>
    </x:row>
    <x:row r="123" ht="18" customHeight="1">
      <x:c r="A123" s="36" t="str">
        <x:v>MFE-6C073C7F1885C5</x:v>
      </x:c>
      <x:c r="B123" s="36" t="str">
        <x:v>brand</x:v>
      </x:c>
      <x:c r="C123" s="36" t="str">
        <x:v>KAWASAKI ZR 550B</x:v>
      </x:c>
      <x:c r="D123" s="36" t="str">
        <x:v>Kawasaki</x:v>
      </x:c>
      <x:c r="E123" s="36" t="str">
        <x:v>vehicle_manufacturer</x:v>
      </x:c>
      <x:c r="F123" s="36" t="str">
        <x:v>use_entity</x:v>
      </x:c>
      <x:c r="G123" s="36" t="str">
        <x:v>exact</x:v>
      </x:c>
      <x:c r="H123" s="38" t="str">
        <x:v>[]</x:v>
      </x:c>
      <x:c r="I123" s="38" t="str">
        <x:v>[]</x:v>
      </x:c>
      <x:c r="J123" s="38" t="str">
        <x:v>{}</x:v>
      </x:c>
      <x:c r="K123" s="36"/>
      <x:c r="L123" s="38" t="str">
        <x:v>{"source_field":"brand","source_term":"KAWASAKI ZR 550B","canonical_name":"Kawasaki","entity_role":"vehicle_manufacturer","base_behavior":"use_entity"}</x:v>
      </x:c>
    </x:row>
    <x:row r="124" ht="18" customHeight="1">
      <x:c r="A124" s="36" t="str">
        <x:v>MFE-A4B20BD6DCCCCA</x:v>
      </x:c>
      <x:c r="B124" s="36" t="str">
        <x:v>brand</x:v>
      </x:c>
      <x:c r="C124" s="36" t="str">
        <x:v>KAWASAKI ZX900 C</x:v>
      </x:c>
      <x:c r="D124" s="36" t="str">
        <x:v>Kawasaki</x:v>
      </x:c>
      <x:c r="E124" s="36" t="str">
        <x:v>vehicle_manufacturer</x:v>
      </x:c>
      <x:c r="F124" s="36" t="str">
        <x:v>use_entity</x:v>
      </x:c>
      <x:c r="G124" s="36" t="str">
        <x:v>exact</x:v>
      </x:c>
      <x:c r="H124" s="38" t="str">
        <x:v>[]</x:v>
      </x:c>
      <x:c r="I124" s="38" t="str">
        <x:v>[]</x:v>
      </x:c>
      <x:c r="J124" s="38" t="str">
        <x:v>{}</x:v>
      </x:c>
      <x:c r="K124" s="36"/>
      <x:c r="L124" s="38" t="str">
        <x:v>{"source_field":"brand","source_term":"KAWASAKI ZX900 C","canonical_name":"Kawasaki","entity_role":"vehicle_manufacturer","base_behavior":"use_entity"}</x:v>
      </x:c>
    </x:row>
    <x:row r="125" ht="18" customHeight="1">
      <x:c r="A125" s="36" t="str">
        <x:v>MFE-C50D3FF6E23578</x:v>
      </x:c>
      <x:c r="B125" s="36" t="str">
        <x:v>brand</x:v>
      </x:c>
      <x:c r="C125" s="36" t="str">
        <x:v>KYLINGEKÄRRAN 1500 HT 18</x:v>
      </x:c>
      <x:c r="D125" s="36" t="str">
        <x:v>Kylingekärran</x:v>
      </x:c>
      <x:c r="E125" s="36" t="str">
        <x:v>vehicle_manufacturer</x:v>
      </x:c>
      <x:c r="F125" s="36" t="str">
        <x:v>use_entity</x:v>
      </x:c>
      <x:c r="G125" s="36" t="str">
        <x:v>exact</x:v>
      </x:c>
      <x:c r="H125" s="38" t="str">
        <x:v>[]</x:v>
      </x:c>
      <x:c r="I125" s="38" t="str">
        <x:v>[]</x:v>
      </x:c>
      <x:c r="J125" s="38" t="str">
        <x:v>{}</x:v>
      </x:c>
      <x:c r="K125" s="36"/>
      <x:c r="L125" s="38" t="str">
        <x:v>{"source_field":"brand","source_term":"KYLINGEKÄRRAN 1500 HT 18","canonical_name":"Kylingekärran","entity_role":"vehicle_manufacturer","base_behavior":"use_entity"}</x:v>
      </x:c>
    </x:row>
    <x:row r="126" ht="18" customHeight="1">
      <x:c r="A126" s="36" t="str">
        <x:v>MFE-CC4B84B85F6535</x:v>
      </x:c>
      <x:c r="B126" s="36" t="str">
        <x:v>brand</x:v>
      </x:c>
      <x:c r="C126" s="36" t="str">
        <x:v>LAND ROVER 109S W PETROL</x:v>
      </x:c>
      <x:c r="D126" s="36" t="str">
        <x:v>Land Rover</x:v>
      </x:c>
      <x:c r="E126" s="36" t="str">
        <x:v>vehicle_manufacturer</x:v>
      </x:c>
      <x:c r="F126" s="36" t="str">
        <x:v>use_entity</x:v>
      </x:c>
      <x:c r="G126" s="36" t="str">
        <x:v>exact</x:v>
      </x:c>
      <x:c r="H126" s="38" t="str">
        <x:v>[]</x:v>
      </x:c>
      <x:c r="I126" s="38" t="str">
        <x:v>[]</x:v>
      </x:c>
      <x:c r="J126" s="38" t="str">
        <x:v>{}</x:v>
      </x:c>
      <x:c r="K126" s="36"/>
      <x:c r="L126" s="38" t="str">
        <x:v>{"source_field":"brand","source_term":"LAND ROVER 109S W PETROL","canonical_name":"Land Rover","entity_role":"vehicle_manufacturer","base_behavior":"use_entity"}</x:v>
      </x:c>
    </x:row>
    <x:row r="127" ht="18" customHeight="1">
      <x:c r="A127" s="36" t="str">
        <x:v>MFE-19866C9BDD9673</x:v>
      </x:c>
      <x:c r="B127" s="36" t="str">
        <x:v>brand</x:v>
      </x:c>
      <x:c r="C127" s="36" t="str">
        <x:v>LINCOLN CONTINENTAL</x:v>
      </x:c>
      <x:c r="D127" s="36" t="str">
        <x:v>Lincoln</x:v>
      </x:c>
      <x:c r="E127" s="36" t="str">
        <x:v>vehicle_manufacturer</x:v>
      </x:c>
      <x:c r="F127" s="36" t="str">
        <x:v>use_entity</x:v>
      </x:c>
      <x:c r="G127" s="36" t="str">
        <x:v>exact</x:v>
      </x:c>
      <x:c r="H127" s="38" t="str">
        <x:v>[]</x:v>
      </x:c>
      <x:c r="I127" s="38" t="str">
        <x:v>[]</x:v>
      </x:c>
      <x:c r="J127" s="38" t="str">
        <x:v>{}</x:v>
      </x:c>
      <x:c r="K127" s="36"/>
      <x:c r="L127" s="38" t="str">
        <x:v>{"source_field":"brand","source_term":"LINCOLN CONTINENTAL","canonical_name":"Lincoln","entity_role":"vehicle_manufacturer","base_behavior":"use_entity"}</x:v>
      </x:c>
    </x:row>
    <x:row r="128" ht="18" customHeight="1">
      <x:c r="A128" s="36" t="str">
        <x:v>MFE-75B2600A028211</x:v>
      </x:c>
      <x:c r="B128" s="36" t="str">
        <x:v>brand</x:v>
      </x:c>
      <x:c r="C128" s="36" t="str">
        <x:v>LÖÖVESLÄPET LS 1300</x:v>
      </x:c>
      <x:c r="D128" s="36" t="str">
        <x:v>Löövesläpet</x:v>
      </x:c>
      <x:c r="E128" s="36" t="str">
        <x:v>vehicle_manufacturer</x:v>
      </x:c>
      <x:c r="F128" s="36" t="str">
        <x:v>use_entity</x:v>
      </x:c>
      <x:c r="G128" s="36" t="str">
        <x:v>exact</x:v>
      </x:c>
      <x:c r="H128" s="38" t="str">
        <x:v>[]</x:v>
      </x:c>
      <x:c r="I128" s="38" t="str">
        <x:v>[]</x:v>
      </x:c>
      <x:c r="J128" s="38" t="str">
        <x:v>{}</x:v>
      </x:c>
      <x:c r="K128" s="36"/>
      <x:c r="L128" s="38" t="str">
        <x:v>{"source_field":"brand","source_term":"LÖÖVESLÄPET LS 1300","canonical_name":"Löövesläpet","entity_role":"vehicle_manufacturer","base_behavior":"use_entity"}</x:v>
      </x:c>
    </x:row>
    <x:row r="129" ht="18" customHeight="1">
      <x:c r="A129" s="36" t="str">
        <x:v>MFE-65D2D2F5380269</x:v>
      </x:c>
      <x:c r="B129" s="36" t="str">
        <x:v>brand</x:v>
      </x:c>
      <x:c r="C129" s="36" t="str">
        <x:v>LÖÖVESLÄPET LS 1300 CAR</x:v>
      </x:c>
      <x:c r="D129" s="36" t="str">
        <x:v>Löövesläpet</x:v>
      </x:c>
      <x:c r="E129" s="36" t="str">
        <x:v>vehicle_manufacturer</x:v>
      </x:c>
      <x:c r="F129" s="36" t="str">
        <x:v>use_entity</x:v>
      </x:c>
      <x:c r="G129" s="36" t="str">
        <x:v>exact</x:v>
      </x:c>
      <x:c r="H129" s="38" t="str">
        <x:v>[]</x:v>
      </x:c>
      <x:c r="I129" s="38" t="str">
        <x:v>[]</x:v>
      </x:c>
      <x:c r="J129" s="38" t="str">
        <x:v>{}</x:v>
      </x:c>
      <x:c r="K129" s="36"/>
      <x:c r="L129" s="38" t="str">
        <x:v>{"source_field":"brand","source_term":"LÖÖVESLÄPET LS 1300 CAR","canonical_name":"Löövesläpet","entity_role":"vehicle_manufacturer","base_behavior":"use_entity"}</x:v>
      </x:c>
    </x:row>
    <x:row r="130" ht="18" customHeight="1">
      <x:c r="A130" s="36" t="str">
        <x:v>MFE-81021CC7C83B15</x:v>
      </x:c>
      <x:c r="B130" s="36" t="str">
        <x:v>brand</x:v>
      </x:c>
      <x:c r="C130" s="36" t="str">
        <x:v>MARKLUNDS BIL SMIDE MB</x:v>
      </x:c>
      <x:c r="D130" s="36" t="str">
        <x:v>Marklunds Bil &amp; Smide</x:v>
      </x:c>
      <x:c r="E130" s="36" t="str">
        <x:v>vehicle_manufacturer</x:v>
      </x:c>
      <x:c r="F130" s="36" t="str">
        <x:v>use_entity</x:v>
      </x:c>
      <x:c r="G130" s="36" t="str">
        <x:v>exact</x:v>
      </x:c>
      <x:c r="H130" s="38" t="str">
        <x:v>[]</x:v>
      </x:c>
      <x:c r="I130" s="38" t="str">
        <x:v>[]</x:v>
      </x:c>
      <x:c r="J130" s="38" t="str">
        <x:v>{}</x:v>
      </x:c>
      <x:c r="K130" s="36"/>
      <x:c r="L130" s="38" t="str">
        <x:v>{"source_field":"brand","source_term":"MARKLUNDS BIL SMIDE MB","canonical_name":"Marklunds Bil &amp; Smide","entity_role":"vehicle_manufacturer","base_behavior":"use_entity"}</x:v>
      </x:c>
    </x:row>
    <x:row r="131" ht="18" customHeight="1">
      <x:c r="A131" s="36" t="str">
        <x:v>MFE-371EBCDAB5CEB9</x:v>
      </x:c>
      <x:c r="B131" s="36" t="str">
        <x:v>brand</x:v>
      </x:c>
      <x:c r="C131" s="36" t="str">
        <x:v>MASSEY FERGUSON 135</x:v>
      </x:c>
      <x:c r="D131" s="36" t="str">
        <x:v>Massey Ferguson</x:v>
      </x:c>
      <x:c r="E131" s="36" t="str">
        <x:v>vehicle_manufacturer</x:v>
      </x:c>
      <x:c r="F131" s="36" t="str">
        <x:v>use_entity</x:v>
      </x:c>
      <x:c r="G131" s="36" t="str">
        <x:v>exact</x:v>
      </x:c>
      <x:c r="H131" s="38" t="str">
        <x:v>[]</x:v>
      </x:c>
      <x:c r="I131" s="38" t="str">
        <x:v>[]</x:v>
      </x:c>
      <x:c r="J131" s="38" t="str">
        <x:v>{}</x:v>
      </x:c>
      <x:c r="K131" s="36"/>
      <x:c r="L131" s="38" t="str">
        <x:v>{"source_field":"brand","source_term":"MASSEY FERGUSON 135","canonical_name":"Massey Ferguson","entity_role":"vehicle_manufacturer","base_behavior":"use_entity"}</x:v>
      </x:c>
    </x:row>
    <x:row r="132" ht="18" customHeight="1">
      <x:c r="A132" s="36" t="str">
        <x:v>MFE-23B7CC09F0985E</x:v>
      </x:c>
      <x:c r="B132" s="36" t="str">
        <x:v>brand</x:v>
      </x:c>
      <x:c r="C132" s="36" t="str">
        <x:v>MASSEY FERGUSON 135 S</x:v>
      </x:c>
      <x:c r="D132" s="36" t="str">
        <x:v>Massey Ferguson</x:v>
      </x:c>
      <x:c r="E132" s="36" t="str">
        <x:v>vehicle_manufacturer</x:v>
      </x:c>
      <x:c r="F132" s="36" t="str">
        <x:v>use_entity</x:v>
      </x:c>
      <x:c r="G132" s="36" t="str">
        <x:v>exact</x:v>
      </x:c>
      <x:c r="H132" s="38" t="str">
        <x:v>[]</x:v>
      </x:c>
      <x:c r="I132" s="38" t="str">
        <x:v>[]</x:v>
      </x:c>
      <x:c r="J132" s="38" t="str">
        <x:v>{}</x:v>
      </x:c>
      <x:c r="K132" s="36"/>
      <x:c r="L132" s="38" t="str">
        <x:v>{"source_field":"brand","source_term":"MASSEY FERGUSON 135 S","canonical_name":"Massey Ferguson","entity_role":"vehicle_manufacturer","base_behavior":"use_entity"}</x:v>
      </x:c>
    </x:row>
    <x:row r="133" ht="18" customHeight="1">
      <x:c r="A133" s="36" t="str">
        <x:v>MFE-C4058F6E7EDB59</x:v>
      </x:c>
      <x:c r="B133" s="36" t="str">
        <x:v>brand</x:v>
      </x:c>
      <x:c r="C133" s="36" t="str">
        <x:v>MAZDA 626 KOMBI 2 0D GLX</x:v>
      </x:c>
      <x:c r="D133" s="36" t="str">
        <x:v>Mazda</x:v>
      </x:c>
      <x:c r="E133" s="36" t="str">
        <x:v>vehicle_manufacturer</x:v>
      </x:c>
      <x:c r="F133" s="36" t="str">
        <x:v>use_entity</x:v>
      </x:c>
      <x:c r="G133" s="36" t="str">
        <x:v>exact</x:v>
      </x:c>
      <x:c r="H133" s="38" t="str">
        <x:v>[]</x:v>
      </x:c>
      <x:c r="I133" s="38" t="str">
        <x:v>[]</x:v>
      </x:c>
      <x:c r="J133" s="38" t="str">
        <x:v>{}</x:v>
      </x:c>
      <x:c r="K133" s="36"/>
      <x:c r="L133" s="38" t="str">
        <x:v>{"source_field":"brand","source_term":"MAZDA 626 KOMBI 2 0D GLX","canonical_name":"Mazda","entity_role":"vehicle_manufacturer","base_behavior":"use_entity"}</x:v>
      </x:c>
    </x:row>
    <x:row r="134" ht="18" customHeight="1">
      <x:c r="A134" s="36" t="str">
        <x:v>MFE-974388BBB91500</x:v>
      </x:c>
      <x:c r="B134" s="36" t="str">
        <x:v>brand</x:v>
      </x:c>
      <x:c r="C134" s="36" t="str">
        <x:v>NEPTUN</x:v>
      </x:c>
      <x:c r="D134" s="36" t="str">
        <x:v>Neptun</x:v>
      </x:c>
      <x:c r="E134" s="36" t="str">
        <x:v>vehicle_manufacturer</x:v>
      </x:c>
      <x:c r="F134" s="36" t="str">
        <x:v>use_entity</x:v>
      </x:c>
      <x:c r="G134" s="36" t="str">
        <x:v>exact</x:v>
      </x:c>
      <x:c r="H134" s="38" t="str">
        <x:v>[]</x:v>
      </x:c>
      <x:c r="I134" s="38" t="str">
        <x:v>[]</x:v>
      </x:c>
      <x:c r="J134" s="38" t="str">
        <x:v>{}</x:v>
      </x:c>
      <x:c r="K134" s="36"/>
      <x:c r="L134" s="38" t="str">
        <x:v>{"source_field":"brand","source_term":"NEPTUN","canonical_name":"Neptun","entity_role":"vehicle_manufacturer","base_behavior":"use_entity"}</x:v>
      </x:c>
    </x:row>
    <x:row r="135" ht="18" customHeight="1">
      <x:c r="A135" s="36" t="str">
        <x:v>MFE-4DFEC79DB1B1A5</x:v>
      </x:c>
      <x:c r="B135" s="36" t="str">
        <x:v>brand</x:v>
      </x:c>
      <x:c r="C135" s="36" t="str">
        <x:v>NUFFIELD 4 DM</x:v>
      </x:c>
      <x:c r="D135" s="36" t="str">
        <x:v>Nuffield</x:v>
      </x:c>
      <x:c r="E135" s="36" t="str">
        <x:v>vehicle_manufacturer</x:v>
      </x:c>
      <x:c r="F135" s="36" t="str">
        <x:v>use_entity</x:v>
      </x:c>
      <x:c r="G135" s="36" t="str">
        <x:v>exact</x:v>
      </x:c>
      <x:c r="H135" s="38" t="str">
        <x:v>[]</x:v>
      </x:c>
      <x:c r="I135" s="38" t="str">
        <x:v>[]</x:v>
      </x:c>
      <x:c r="J135" s="38" t="str">
        <x:v>{}</x:v>
      </x:c>
      <x:c r="K135" s="36"/>
      <x:c r="L135" s="38" t="str">
        <x:v>{"source_field":"brand","source_term":"NUFFIELD 4 DM","canonical_name":"Nuffield","entity_role":"vehicle_manufacturer","base_behavior":"use_entity"}</x:v>
      </x:c>
    </x:row>
    <x:row r="136" ht="18" customHeight="1">
      <x:c r="A136" s="36" t="str">
        <x:v>MFE-CEE8172B91599C</x:v>
      </x:c>
      <x:c r="B136" s="36" t="str">
        <x:v>brand</x:v>
      </x:c>
      <x:c r="C136" s="36" t="str">
        <x:v>OLDSMOBILE DYNAMIC88 4DR</x:v>
      </x:c>
      <x:c r="D136" s="36" t="str">
        <x:v>Oldsmobile</x:v>
      </x:c>
      <x:c r="E136" s="36" t="str">
        <x:v>vehicle_manufacturer</x:v>
      </x:c>
      <x:c r="F136" s="36" t="str">
        <x:v>use_entity</x:v>
      </x:c>
      <x:c r="G136" s="36" t="str">
        <x:v>exact</x:v>
      </x:c>
      <x:c r="H136" s="38" t="str">
        <x:v>[]</x:v>
      </x:c>
      <x:c r="I136" s="38" t="str">
        <x:v>[]</x:v>
      </x:c>
      <x:c r="J136" s="38" t="str">
        <x:v>{}</x:v>
      </x:c>
      <x:c r="K136" s="36"/>
      <x:c r="L136" s="38" t="str">
        <x:v>{"source_field":"brand","source_term":"OLDSMOBILE DYNAMIC88 4DR","canonical_name":"Oldsmobile","entity_role":"vehicle_manufacturer","base_behavior":"use_entity"}</x:v>
      </x:c>
    </x:row>
    <x:row r="137" ht="18" customHeight="1">
      <x:c r="A137" s="36" t="str">
        <x:v>MFE-EEA01B80A7514D</x:v>
      </x:c>
      <x:c r="B137" s="36" t="str">
        <x:v>brand</x:v>
      </x:c>
      <x:c r="C137" s="36" t="str">
        <x:v>OLDSMOBILE SUPER 88</x:v>
      </x:c>
      <x:c r="D137" s="36" t="str">
        <x:v>Oldsmobile</x:v>
      </x:c>
      <x:c r="E137" s="36" t="str">
        <x:v>vehicle_manufacturer</x:v>
      </x:c>
      <x:c r="F137" s="36" t="str">
        <x:v>use_entity</x:v>
      </x:c>
      <x:c r="G137" s="36" t="str">
        <x:v>exact</x:v>
      </x:c>
      <x:c r="H137" s="38" t="str">
        <x:v>[]</x:v>
      </x:c>
      <x:c r="I137" s="38" t="str">
        <x:v>[]</x:v>
      </x:c>
      <x:c r="J137" s="38" t="str">
        <x:v>{}</x:v>
      </x:c>
      <x:c r="K137" s="36"/>
      <x:c r="L137" s="38" t="str">
        <x:v>{"source_field":"brand","source_term":"OLDSMOBILE SUPER 88","canonical_name":"Oldsmobile","entity_role":"vehicle_manufacturer","base_behavior":"use_entity"}</x:v>
      </x:c>
    </x:row>
    <x:row r="138" ht="18" customHeight="1">
      <x:c r="A138" s="36" t="str">
        <x:v>MFE-2BB0E7AEAB3C6C</x:v>
      </x:c>
      <x:c r="B138" s="36" t="str">
        <x:v>brand</x:v>
      </x:c>
      <x:c r="C138" s="36" t="str">
        <x:v>PLYMOUTH SPECIAL DE LUXE</x:v>
      </x:c>
      <x:c r="D138" s="36" t="str">
        <x:v>Plymouth</x:v>
      </x:c>
      <x:c r="E138" s="36" t="str">
        <x:v>vehicle_manufacturer</x:v>
      </x:c>
      <x:c r="F138" s="36" t="str">
        <x:v>use_entity</x:v>
      </x:c>
      <x:c r="G138" s="36" t="str">
        <x:v>exact</x:v>
      </x:c>
      <x:c r="H138" s="38" t="str">
        <x:v>[]</x:v>
      </x:c>
      <x:c r="I138" s="38" t="str">
        <x:v>[]</x:v>
      </x:c>
      <x:c r="J138" s="38" t="str">
        <x:v>{}</x:v>
      </x:c>
      <x:c r="K138" s="36"/>
      <x:c r="L138" s="38" t="str">
        <x:v>{"source_field":"brand","source_term":"PLYMOUTH SPECIAL DE LUXE","canonical_name":"Plymouth","entity_role":"vehicle_manufacturer","base_behavior":"use_entity"}</x:v>
      </x:c>
    </x:row>
    <x:row r="139" ht="18" customHeight="1">
      <x:c r="A139" s="36" t="str">
        <x:v>MFE-674B69FC771B5D</x:v>
      </x:c>
      <x:c r="B139" s="36" t="str">
        <x:v>brand</x:v>
      </x:c>
      <x:c r="C139" s="36" t="str">
        <x:v>POLARIS XP 850 E</x:v>
      </x:c>
      <x:c r="D139" s="36" t="str">
        <x:v>Polaris</x:v>
      </x:c>
      <x:c r="E139" s="36" t="str">
        <x:v>vehicle_manufacturer</x:v>
      </x:c>
      <x:c r="F139" s="36" t="str">
        <x:v>use_entity</x:v>
      </x:c>
      <x:c r="G139" s="36" t="str">
        <x:v>exact</x:v>
      </x:c>
      <x:c r="H139" s="38" t="str">
        <x:v>[]</x:v>
      </x:c>
      <x:c r="I139" s="38" t="str">
        <x:v>[]</x:v>
      </x:c>
      <x:c r="J139" s="38" t="str">
        <x:v>{}</x:v>
      </x:c>
      <x:c r="K139" s="36"/>
      <x:c r="L139" s="38" t="str">
        <x:v>{"source_field":"brand","source_term":"POLARIS XP 850 E","canonical_name":"Polaris","entity_role":"vehicle_manufacturer","base_behavior":"use_entity"}</x:v>
      </x:c>
    </x:row>
    <x:row r="140" ht="18" customHeight="1">
      <x:c r="A140" s="36" t="str">
        <x:v>MFE-BD340714224C5D</x:v>
      </x:c>
      <x:c r="B140" s="36" t="str">
        <x:v>brand</x:v>
      </x:c>
      <x:c r="C140" s="36" t="str">
        <x:v>POLARVAGNEN POLAR 425</x:v>
      </x:c>
      <x:c r="D140" s="36" t="str">
        <x:v>Polar</x:v>
      </x:c>
      <x:c r="E140" s="36" t="str">
        <x:v>vehicle_manufacturer</x:v>
      </x:c>
      <x:c r="F140" s="36" t="str">
        <x:v>use_entity</x:v>
      </x:c>
      <x:c r="G140" s="36" t="str">
        <x:v>exact</x:v>
      </x:c>
      <x:c r="H140" s="38" t="str">
        <x:v>[]</x:v>
      </x:c>
      <x:c r="I140" s="38" t="str">
        <x:v>[]</x:v>
      </x:c>
      <x:c r="J140" s="38" t="str">
        <x:v>{}</x:v>
      </x:c>
      <x:c r="K140" s="36"/>
      <x:c r="L140" s="38" t="str">
        <x:v>{"source_field":"brand","source_term":"POLARVAGNEN POLAR 425","canonical_name":"Polar","entity_role":"vehicle_manufacturer","base_behavior":"use_entity"}</x:v>
      </x:c>
    </x:row>
    <x:row r="141" ht="18" customHeight="1">
      <x:c r="A141" s="36" t="str">
        <x:v>MFE-914EFA68EFC658</x:v>
      </x:c>
      <x:c r="B141" s="36" t="str">
        <x:v>brand</x:v>
      </x:c>
      <x:c r="C141" s="36" t="str">
        <x:v>POLARVAGNEN POLAR P520</x:v>
      </x:c>
      <x:c r="D141" s="36" t="str">
        <x:v>Polar</x:v>
      </x:c>
      <x:c r="E141" s="36" t="str">
        <x:v>vehicle_manufacturer</x:v>
      </x:c>
      <x:c r="F141" s="36" t="str">
        <x:v>use_entity</x:v>
      </x:c>
      <x:c r="G141" s="36" t="str">
        <x:v>exact</x:v>
      </x:c>
      <x:c r="H141" s="38" t="str">
        <x:v>[]</x:v>
      </x:c>
      <x:c r="I141" s="38" t="str">
        <x:v>[]</x:v>
      </x:c>
      <x:c r="J141" s="38" t="str">
        <x:v>{}</x:v>
      </x:c>
      <x:c r="K141" s="36"/>
      <x:c r="L141" s="38" t="str">
        <x:v>{"source_field":"brand","source_term":"POLARVAGNEN POLAR P520","canonical_name":"Polar","entity_role":"vehicle_manufacturer","base_behavior":"use_entity"}</x:v>
      </x:c>
    </x:row>
    <x:row r="142" ht="18" customHeight="1">
      <x:c r="A142" s="36" t="str">
        <x:v>MFE-FD6891E9F9BE22</x:v>
      </x:c>
      <x:c r="B142" s="36" t="str">
        <x:v>brand</x:v>
      </x:c>
      <x:c r="C142" s="36" t="str">
        <x:v>REKOTRAILER</x:v>
      </x:c>
      <x:c r="D142" s="36" t="str">
        <x:v>Reko Trailer</x:v>
      </x:c>
      <x:c r="E142" s="36" t="str">
        <x:v>vehicle_manufacturer</x:v>
      </x:c>
      <x:c r="F142" s="36" t="str">
        <x:v>use_entity</x:v>
      </x:c>
      <x:c r="G142" s="36" t="str">
        <x:v>exact</x:v>
      </x:c>
      <x:c r="H142" s="38" t="str">
        <x:v>[]</x:v>
      </x:c>
      <x:c r="I142" s="38" t="str">
        <x:v>[]</x:v>
      </x:c>
      <x:c r="J142" s="38" t="str">
        <x:v>{}</x:v>
      </x:c>
      <x:c r="K142" s="36"/>
      <x:c r="L142" s="38" t="str">
        <x:v>{"source_field":"brand","source_term":"REKOTRAILER","canonical_name":"Reko Trailer","entity_role":"vehicle_manufacturer","base_behavior":"use_entity"}</x:v>
      </x:c>
    </x:row>
    <x:row r="143" ht="18" customHeight="1">
      <x:c r="A143" s="36" t="str">
        <x:v>MFE-CA977697235DA8</x:v>
      </x:c>
      <x:c r="B143" s="36" t="str">
        <x:v>brand</x:v>
      </x:c>
      <x:c r="C143" s="36" t="str">
        <x:v>SAAB 9 3 S 5D 2 0I</x:v>
      </x:c>
      <x:c r="D143" s="36" t="str">
        <x:v>Saab</x:v>
      </x:c>
      <x:c r="E143" s="36" t="str">
        <x:v>vehicle_manufacturer</x:v>
      </x:c>
      <x:c r="F143" s="36" t="str">
        <x:v>use_entity</x:v>
      </x:c>
      <x:c r="G143" s="36" t="str">
        <x:v>exact</x:v>
      </x:c>
      <x:c r="H143" s="38" t="str">
        <x:v>[]</x:v>
      </x:c>
      <x:c r="I143" s="38" t="str">
        <x:v>[]</x:v>
      </x:c>
      <x:c r="J143" s="38" t="str">
        <x:v>{}</x:v>
      </x:c>
      <x:c r="K143" s="36"/>
      <x:c r="L143" s="38" t="str">
        <x:v>{"source_field":"brand","source_term":"SAAB 9 3 S 5D 2 0I","canonical_name":"Saab","entity_role":"vehicle_manufacturer","base_behavior":"use_entity"}</x:v>
      </x:c>
    </x:row>
    <x:row r="144" ht="18" customHeight="1">
      <x:c r="A144" s="36" t="str">
        <x:v>MFE-68435DC6A89DEB</x:v>
      </x:c>
      <x:c r="B144" s="36" t="str">
        <x:v>brand</x:v>
      </x:c>
      <x:c r="C144" s="36" t="str">
        <x:v>SAAB 900 2 0I DX55J</x:v>
      </x:c>
      <x:c r="D144" s="36" t="str">
        <x:v>Saab</x:v>
      </x:c>
      <x:c r="E144" s="36" t="str">
        <x:v>vehicle_manufacturer</x:v>
      </x:c>
      <x:c r="F144" s="36" t="str">
        <x:v>use_entity</x:v>
      </x:c>
      <x:c r="G144" s="36" t="str">
        <x:v>exact</x:v>
      </x:c>
      <x:c r="H144" s="38" t="str">
        <x:v>[]</x:v>
      </x:c>
      <x:c r="I144" s="38" t="str">
        <x:v>[]</x:v>
      </x:c>
      <x:c r="J144" s="38" t="str">
        <x:v>{}</x:v>
      </x:c>
      <x:c r="K144" s="36"/>
      <x:c r="L144" s="38" t="str">
        <x:v>{"source_field":"brand","source_term":"SAAB 900 2 0I DX55J","canonical_name":"Saab","entity_role":"vehicle_manufacturer","base_behavior":"use_entity"}</x:v>
      </x:c>
    </x:row>
    <x:row r="145" ht="18" customHeight="1">
      <x:c r="A145" s="36" t="str">
        <x:v>MFE-9D7FBDAFBA5137</x:v>
      </x:c>
      <x:c r="B145" s="36" t="str">
        <x:v>brand</x:v>
      </x:c>
      <x:c r="C145" s="36" t="str">
        <x:v>SAAB 900 I8 AB25J</x:v>
      </x:c>
      <x:c r="D145" s="36" t="str">
        <x:v>Saab</x:v>
      </x:c>
      <x:c r="E145" s="36" t="str">
        <x:v>vehicle_manufacturer</x:v>
      </x:c>
      <x:c r="F145" s="36" t="str">
        <x:v>use_entity</x:v>
      </x:c>
      <x:c r="G145" s="36" t="str">
        <x:v>exact</x:v>
      </x:c>
      <x:c r="H145" s="38" t="str">
        <x:v>[]</x:v>
      </x:c>
      <x:c r="I145" s="38" t="str">
        <x:v>[]</x:v>
      </x:c>
      <x:c r="J145" s="38" t="str">
        <x:v>{}</x:v>
      </x:c>
      <x:c r="K145" s="36"/>
      <x:c r="L145" s="38" t="str">
        <x:v>{"source_field":"brand","source_term":"SAAB 900 I8 AB25J","canonical_name":"Saab","entity_role":"vehicle_manufacturer","base_behavior":"use_entity"}</x:v>
      </x:c>
    </x:row>
    <x:row r="146" ht="18" customHeight="1">
      <x:c r="A146" s="36" t="str">
        <x:v>MFE-A0EAA0AF931B43</x:v>
      </x:c>
      <x:c r="B146" s="36" t="str">
        <x:v>brand</x:v>
      </x:c>
      <x:c r="C146" s="36" t="str">
        <x:v>SAAB 9000 CSE 2 3 TURBO</x:v>
      </x:c>
      <x:c r="D146" s="36" t="str">
        <x:v>Saab</x:v>
      </x:c>
      <x:c r="E146" s="36" t="str">
        <x:v>vehicle_manufacturer</x:v>
      </x:c>
      <x:c r="F146" s="36" t="str">
        <x:v>use_entity</x:v>
      </x:c>
      <x:c r="G146" s="36" t="str">
        <x:v>exact</x:v>
      </x:c>
      <x:c r="H146" s="38" t="str">
        <x:v>[]</x:v>
      </x:c>
      <x:c r="I146" s="38" t="str">
        <x:v>[]</x:v>
      </x:c>
      <x:c r="J146" s="38" t="str">
        <x:v>{}</x:v>
      </x:c>
      <x:c r="K146" s="36"/>
      <x:c r="L146" s="38" t="str">
        <x:v>{"source_field":"brand","source_term":"SAAB 9000 CSE 2 3 TURBO","canonical_name":"Saab","entity_role":"vehicle_manufacturer","base_behavior":"use_entity"}</x:v>
      </x:c>
    </x:row>
    <x:row r="147" ht="18" customHeight="1">
      <x:c r="A147" s="36" t="str">
        <x:v>MFE-BB1D574437AD20</x:v>
      </x:c>
      <x:c r="B147" s="36" t="str">
        <x:v>brand</x:v>
      </x:c>
      <x:c r="C147" s="36" t="str">
        <x:v>SAAB 96 V4 LHD</x:v>
      </x:c>
      <x:c r="D147" s="36" t="str">
        <x:v>Saab</x:v>
      </x:c>
      <x:c r="E147" s="36" t="str">
        <x:v>vehicle_manufacturer</x:v>
      </x:c>
      <x:c r="F147" s="36" t="str">
        <x:v>use_entity</x:v>
      </x:c>
      <x:c r="G147" s="36" t="str">
        <x:v>exact</x:v>
      </x:c>
      <x:c r="H147" s="38" t="str">
        <x:v>[]</x:v>
      </x:c>
      <x:c r="I147" s="38" t="str">
        <x:v>[]</x:v>
      </x:c>
      <x:c r="J147" s="38" t="str">
        <x:v>{}</x:v>
      </x:c>
      <x:c r="K147" s="36"/>
      <x:c r="L147" s="38" t="str">
        <x:v>{"source_field":"brand","source_term":"SAAB 96 V4 LHD","canonical_name":"Saab","entity_role":"vehicle_manufacturer","base_behavior":"use_entity"}</x:v>
      </x:c>
    </x:row>
    <x:row r="148" ht="18" customHeight="1">
      <x:c r="A148" s="36" t="str">
        <x:v>MFE-8D2C992DA33E21</x:v>
      </x:c>
      <x:c r="B148" s="36" t="str">
        <x:v>brand</x:v>
      </x:c>
      <x:c r="C148" s="36" t="str">
        <x:v>SAAB 99 2 0 CM 2</x:v>
      </x:c>
      <x:c r="D148" s="36" t="str">
        <x:v>Saab</x:v>
      </x:c>
      <x:c r="E148" s="36" t="str">
        <x:v>vehicle_manufacturer</x:v>
      </x:c>
      <x:c r="F148" s="36" t="str">
        <x:v>use_entity</x:v>
      </x:c>
      <x:c r="G148" s="36" t="str">
        <x:v>exact</x:v>
      </x:c>
      <x:c r="H148" s="38" t="str">
        <x:v>[]</x:v>
      </x:c>
      <x:c r="I148" s="38" t="str">
        <x:v>[]</x:v>
      </x:c>
      <x:c r="J148" s="38" t="str">
        <x:v>{}</x:v>
      </x:c>
      <x:c r="K148" s="36"/>
      <x:c r="L148" s="38" t="str">
        <x:v>{"source_field":"brand","source_term":"SAAB 99 2 0 CM 2","canonical_name":"Saab","entity_role":"vehicle_manufacturer","base_behavior":"use_entity"}</x:v>
      </x:c>
    </x:row>
    <x:row r="149" ht="18" customHeight="1">
      <x:c r="A149" s="36" t="str">
        <x:v>MFE-7748EE88087451</x:v>
      </x:c>
      <x:c r="B149" s="36" t="str">
        <x:v>brand</x:v>
      </x:c>
      <x:c r="C149" s="36" t="str">
        <x:v>SAAB SPORT</x:v>
      </x:c>
      <x:c r="D149" s="36" t="str">
        <x:v>Saab</x:v>
      </x:c>
      <x:c r="E149" s="36" t="str">
        <x:v>vehicle_manufacturer</x:v>
      </x:c>
      <x:c r="F149" s="36" t="str">
        <x:v>use_entity</x:v>
      </x:c>
      <x:c r="G149" s="36" t="str">
        <x:v>exact</x:v>
      </x:c>
      <x:c r="H149" s="38" t="str">
        <x:v>[]</x:v>
      </x:c>
      <x:c r="I149" s="38" t="str">
        <x:v>[]</x:v>
      </x:c>
      <x:c r="J149" s="38" t="str">
        <x:v>{}</x:v>
      </x:c>
      <x:c r="K149" s="36"/>
      <x:c r="L149" s="38" t="str">
        <x:v>{"source_field":"brand","source_term":"SAAB SPORT","canonical_name":"Saab","entity_role":"vehicle_manufacturer","base_behavior":"use_entity"}</x:v>
      </x:c>
    </x:row>
    <x:row r="150" ht="18" customHeight="1">
      <x:c r="A150" s="36" t="str">
        <x:v>MFE-221B2E7D7E60AB</x:v>
      </x:c>
      <x:c r="B150" s="36" t="str">
        <x:v>brand</x:v>
      </x:c>
      <x:c r="C150" s="36" t="str">
        <x:v>SAAB V 4</x:v>
      </x:c>
      <x:c r="D150" s="36" t="str">
        <x:v>Saab</x:v>
      </x:c>
      <x:c r="E150" s="36" t="str">
        <x:v>vehicle_manufacturer</x:v>
      </x:c>
      <x:c r="F150" s="36" t="str">
        <x:v>use_entity</x:v>
      </x:c>
      <x:c r="G150" s="36" t="str">
        <x:v>exact</x:v>
      </x:c>
      <x:c r="H150" s="38" t="str">
        <x:v>[]</x:v>
      </x:c>
      <x:c r="I150" s="38" t="str">
        <x:v>[]</x:v>
      </x:c>
      <x:c r="J150" s="38" t="str">
        <x:v>{}</x:v>
      </x:c>
      <x:c r="K150" s="36"/>
      <x:c r="L150" s="38" t="str">
        <x:v>{"source_field":"brand","source_term":"SAAB V 4","canonical_name":"Saab","entity_role":"vehicle_manufacturer","base_behavior":"use_entity"}</x:v>
      </x:c>
    </x:row>
    <x:row r="151" ht="18" customHeight="1">
      <x:c r="A151" s="36" t="str">
        <x:v>MFE-66F73B4ACA1204</x:v>
      </x:c>
      <x:c r="B151" s="36" t="str">
        <x:v>brand</x:v>
      </x:c>
      <x:c r="C151" s="36" t="str">
        <x:v>SC SÄVSJÖ 5 6 SC SR</x:v>
      </x:c>
      <x:c r="D151" s="36" t="str">
        <x:v>SC-Sävsjö</x:v>
      </x:c>
      <x:c r="E151" s="36" t="str">
        <x:v>vehicle_manufacturer</x:v>
      </x:c>
      <x:c r="F151" s="36" t="str">
        <x:v>use_entity</x:v>
      </x:c>
      <x:c r="G151" s="36" t="str">
        <x:v>exact</x:v>
      </x:c>
      <x:c r="H151" s="38" t="str">
        <x:v>[]</x:v>
      </x:c>
      <x:c r="I151" s="38" t="str">
        <x:v>[]</x:v>
      </x:c>
      <x:c r="J151" s="38" t="str">
        <x:v>{}</x:v>
      </x:c>
      <x:c r="K151" s="36"/>
      <x:c r="L151" s="38" t="str">
        <x:v>{"source_field":"brand","source_term":"SC SÄVSJÖ 5 6 SC SR","canonical_name":"SC-Sävsjö","entity_role":"vehicle_manufacturer","base_behavior":"use_entity"}</x:v>
      </x:c>
    </x:row>
    <x:row r="152" ht="18" customHeight="1">
      <x:c r="A152" s="36" t="str">
        <x:v>MFE-3857EC7B576F1E</x:v>
      </x:c>
      <x:c r="B152" s="36" t="str">
        <x:v>brand</x:v>
      </x:c>
      <x:c r="C152" s="36" t="str">
        <x:v>SCABIA 50 S</x:v>
      </x:c>
      <x:c r="D152" s="36" t="str">
        <x:v>Scania</x:v>
      </x:c>
      <x:c r="E152" s="36" t="str">
        <x:v>vehicle_manufacturer</x:v>
      </x:c>
      <x:c r="F152" s="36" t="str">
        <x:v>use_entity</x:v>
      </x:c>
      <x:c r="G152" s="36" t="str">
        <x:v>exact</x:v>
      </x:c>
      <x:c r="H152" s="38" t="str">
        <x:v>[]</x:v>
      </x:c>
      <x:c r="I152" s="38" t="str">
        <x:v>[]</x:v>
      </x:c>
      <x:c r="J152" s="38" t="str">
        <x:v>{}</x:v>
      </x:c>
      <x:c r="K152" s="36"/>
      <x:c r="L152" s="38" t="str">
        <x:v>{"source_field":"brand","source_term":"SCABIA 50 S","canonical_name":"Scania","entity_role":"vehicle_manufacturer","base_behavior":"use_entity"}</x:v>
      </x:c>
    </x:row>
    <x:row r="153" ht="18" customHeight="1">
      <x:c r="A153" s="36" t="str">
        <x:v>MFE-F8A9ED3FC8D36B</x:v>
      </x:c>
      <x:c r="B153" s="36" t="str">
        <x:v>brand</x:v>
      </x:c>
      <x:c r="C153" s="36" t="str">
        <x:v>SCANIAVABIS B 5658</x:v>
      </x:c>
      <x:c r="D153" s="36" t="str">
        <x:v>Scania-Vabis</x:v>
      </x:c>
      <x:c r="E153" s="36" t="str">
        <x:v>vehicle_manufacturer</x:v>
      </x:c>
      <x:c r="F153" s="36" t="str">
        <x:v>use_entity</x:v>
      </x:c>
      <x:c r="G153" s="36" t="str">
        <x:v>exact</x:v>
      </x:c>
      <x:c r="H153" s="38" t="str">
        <x:v>[]</x:v>
      </x:c>
      <x:c r="I153" s="38" t="str">
        <x:v>[]</x:v>
      </x:c>
      <x:c r="J153" s="38" t="str">
        <x:v>{}</x:v>
      </x:c>
      <x:c r="K153" s="36"/>
      <x:c r="L153" s="38" t="str">
        <x:v>{"source_field":"brand","source_term":"SCANIAVABIS B 5658","canonical_name":"Scania-Vabis","entity_role":"vehicle_manufacturer","base_behavior":"use_entity"}</x:v>
      </x:c>
    </x:row>
    <x:row r="154" ht="18" customHeight="1">
      <x:c r="A154" s="36" t="str">
        <x:v>MFE-C5A9A78DDC64B5</x:v>
      </x:c>
      <x:c r="B154" s="36" t="str">
        <x:v>brand</x:v>
      </x:c>
      <x:c r="C154" s="36" t="str">
        <x:v>SKODA FELICIA</x:v>
      </x:c>
      <x:c r="D154" s="36" t="str">
        <x:v>Škoda</x:v>
      </x:c>
      <x:c r="E154" s="36" t="str">
        <x:v>vehicle_manufacturer</x:v>
      </x:c>
      <x:c r="F154" s="36" t="str">
        <x:v>use_entity</x:v>
      </x:c>
      <x:c r="G154" s="36" t="str">
        <x:v>exact</x:v>
      </x:c>
      <x:c r="H154" s="38" t="str">
        <x:v>[]</x:v>
      </x:c>
      <x:c r="I154" s="38" t="str">
        <x:v>[]</x:v>
      </x:c>
      <x:c r="J154" s="38" t="str">
        <x:v>{}</x:v>
      </x:c>
      <x:c r="K154" s="36"/>
      <x:c r="L154" s="38" t="str">
        <x:v>{"source_field":"brand","source_term":"SKODA FELICIA","canonical_name":"Škoda","entity_role":"vehicle_manufacturer","base_behavior":"use_entity"}</x:v>
      </x:c>
    </x:row>
    <x:row r="155" ht="18" customHeight="1">
      <x:c r="A155" s="36" t="str">
        <x:v>MFE-0F424C397BDA85</x:v>
      </x:c>
      <x:c r="B155" s="36" t="str">
        <x:v>brand</x:v>
      </x:c>
      <x:c r="C155" s="36" t="str">
        <x:v>SM SLÄPET 2565</x:v>
      </x:c>
      <x:c r="D155" s="36" t="str">
        <x:v>SM-Släpet</x:v>
      </x:c>
      <x:c r="E155" s="36" t="str">
        <x:v>vehicle_manufacturer</x:v>
      </x:c>
      <x:c r="F155" s="36" t="str">
        <x:v>use_entity</x:v>
      </x:c>
      <x:c r="G155" s="36" t="str">
        <x:v>exact</x:v>
      </x:c>
      <x:c r="H155" s="38" t="str">
        <x:v>[]</x:v>
      </x:c>
      <x:c r="I155" s="38" t="str">
        <x:v>[]</x:v>
      </x:c>
      <x:c r="J155" s="38" t="str">
        <x:v>{}</x:v>
      </x:c>
      <x:c r="K155" s="36"/>
      <x:c r="L155" s="38" t="str">
        <x:v>{"source_field":"brand","source_term":"SM SLÄPET 2565","canonical_name":"SM-Släpet","entity_role":"vehicle_manufacturer","base_behavior":"use_entity"}</x:v>
      </x:c>
    </x:row>
    <x:row r="156" ht="18" customHeight="1">
      <x:c r="A156" s="36" t="str">
        <x:v>MFE-6B613B69BD0F2F</x:v>
      </x:c>
      <x:c r="B156" s="36" t="str">
        <x:v>brand</x:v>
      </x:c>
      <x:c r="C156" s="36" t="str">
        <x:v>SOLARIS URBINO 12LE CNG</x:v>
      </x:c>
      <x:c r="D156" s="36" t="str">
        <x:v>Solaris</x:v>
      </x:c>
      <x:c r="E156" s="36" t="str">
        <x:v>vehicle_manufacturer</x:v>
      </x:c>
      <x:c r="F156" s="36" t="str">
        <x:v>use_entity</x:v>
      </x:c>
      <x:c r="G156" s="36" t="str">
        <x:v>exact</x:v>
      </x:c>
      <x:c r="H156" s="38" t="str">
        <x:v>[]</x:v>
      </x:c>
      <x:c r="I156" s="38" t="str">
        <x:v>[]</x:v>
      </x:c>
      <x:c r="J156" s="38" t="str">
        <x:v>{}</x:v>
      </x:c>
      <x:c r="K156" s="36"/>
      <x:c r="L156" s="38" t="str">
        <x:v>{"source_field":"brand","source_term":"SOLARIS URBINO 12LE CNG","canonical_name":"Solaris","entity_role":"vehicle_manufacturer","base_behavior":"use_entity"}</x:v>
      </x:c>
    </x:row>
    <x:row r="157" ht="18" customHeight="1">
      <x:c r="A157" s="36" t="str">
        <x:v>MFE-6958CAA7383D08</x:v>
      </x:c>
      <x:c r="B157" s="36" t="str">
        <x:v>brand</x:v>
      </x:c>
      <x:c r="C157" s="36" t="str">
        <x:v>SOLIFER ARTIC 450</x:v>
      </x:c>
      <x:c r="D157" s="36" t="str">
        <x:v>Solifer</x:v>
      </x:c>
      <x:c r="E157" s="36" t="str">
        <x:v>vehicle_manufacturer</x:v>
      </x:c>
      <x:c r="F157" s="36" t="str">
        <x:v>use_entity</x:v>
      </x:c>
      <x:c r="G157" s="36" t="str">
        <x:v>exact</x:v>
      </x:c>
      <x:c r="H157" s="38" t="str">
        <x:v>[]</x:v>
      </x:c>
      <x:c r="I157" s="38" t="str">
        <x:v>[]</x:v>
      </x:c>
      <x:c r="J157" s="38" t="str">
        <x:v>{}</x:v>
      </x:c>
      <x:c r="K157" s="36"/>
      <x:c r="L157" s="38" t="str">
        <x:v>{"source_field":"brand","source_term":"SOLIFER ARTIC 450","canonical_name":"Solifer","entity_role":"vehicle_manufacturer","base_behavior":"use_entity"}</x:v>
      </x:c>
    </x:row>
    <x:row r="158" ht="18" customHeight="1">
      <x:c r="A158" s="36" t="str">
        <x:v>MFE-F90AC3D98FF4EE</x:v>
      </x:c>
      <x:c r="B158" s="36" t="str">
        <x:v>brand</x:v>
      </x:c>
      <x:c r="C158" s="36" t="str">
        <x:v>STEYR</x:v>
      </x:c>
      <x:c r="D158" s="36" t="str">
        <x:v>Steyr</x:v>
      </x:c>
      <x:c r="E158" s="36" t="str">
        <x:v>vehicle_manufacturer</x:v>
      </x:c>
      <x:c r="F158" s="36" t="str">
        <x:v>use_entity</x:v>
      </x:c>
      <x:c r="G158" s="36" t="str">
        <x:v>exact</x:v>
      </x:c>
      <x:c r="H158" s="38" t="str">
        <x:v>[]</x:v>
      </x:c>
      <x:c r="I158" s="38" t="str">
        <x:v>[]</x:v>
      </x:c>
      <x:c r="J158" s="38" t="str">
        <x:v>{}</x:v>
      </x:c>
      <x:c r="K158" s="36"/>
      <x:c r="L158" s="38" t="str">
        <x:v>{"source_field":"brand","source_term":"STEYR","canonical_name":"Steyr","entity_role":"vehicle_manufacturer","base_behavior":"use_entity"}</x:v>
      </x:c>
    </x:row>
    <x:row r="159" ht="18" customHeight="1">
      <x:c r="A159" s="36" t="str">
        <x:v>MFE-9CD869868DF5A4</x:v>
      </x:c>
      <x:c r="B159" s="36" t="str">
        <x:v>brand</x:v>
      </x:c>
      <x:c r="C159" s="36" t="str">
        <x:v>STUDEBAKER PRESIDENT</x:v>
      </x:c>
      <x:c r="D159" s="36" t="str">
        <x:v>Studebaker</x:v>
      </x:c>
      <x:c r="E159" s="36" t="str">
        <x:v>vehicle_manufacturer</x:v>
      </x:c>
      <x:c r="F159" s="36" t="str">
        <x:v>use_entity</x:v>
      </x:c>
      <x:c r="G159" s="36" t="str">
        <x:v>exact</x:v>
      </x:c>
      <x:c r="H159" s="38" t="str">
        <x:v>[]</x:v>
      </x:c>
      <x:c r="I159" s="38" t="str">
        <x:v>[]</x:v>
      </x:c>
      <x:c r="J159" s="38" t="str">
        <x:v>{}</x:v>
      </x:c>
      <x:c r="K159" s="36"/>
      <x:c r="L159" s="38" t="str">
        <x:v>{"source_field":"brand","source_term":"STUDEBAKER PRESIDENT","canonical_name":"Studebaker","entity_role":"vehicle_manufacturer","base_behavior":"use_entity"}</x:v>
      </x:c>
    </x:row>
    <x:row r="160" ht="18" customHeight="1">
      <x:c r="A160" s="36" t="str">
        <x:v>MFE-327756A1F94750</x:v>
      </x:c>
      <x:c r="B160" s="36" t="str">
        <x:v>brand</x:v>
      </x:c>
      <x:c r="C160" s="36" t="str">
        <x:v>SUZUKI WVCG</x:v>
      </x:c>
      <x:c r="D160" s="36" t="str">
        <x:v>Suzuki</x:v>
      </x:c>
      <x:c r="E160" s="36" t="str">
        <x:v>vehicle_manufacturer</x:v>
      </x:c>
      <x:c r="F160" s="36" t="str">
        <x:v>use_entity</x:v>
      </x:c>
      <x:c r="G160" s="36" t="str">
        <x:v>exact</x:v>
      </x:c>
      <x:c r="H160" s="38" t="str">
        <x:v>[]</x:v>
      </x:c>
      <x:c r="I160" s="38" t="str">
        <x:v>[]</x:v>
      </x:c>
      <x:c r="J160" s="38" t="str">
        <x:v>{}</x:v>
      </x:c>
      <x:c r="K160" s="36"/>
      <x:c r="L160" s="38" t="str">
        <x:v>{"source_field":"brand","source_term":"SUZUKI WVCG","canonical_name":"Suzuki","entity_role":"vehicle_manufacturer","base_behavior":"use_entity"}</x:v>
      </x:c>
    </x:row>
    <x:row r="161" ht="18" customHeight="1">
      <x:c r="A161" s="36" t="str">
        <x:v>MFE-582F5EAD3573EC</x:v>
      </x:c>
      <x:c r="B161" s="36" t="str">
        <x:v>brand</x:v>
      </x:c>
      <x:c r="C161" s="36" t="str">
        <x:v>TEMARED</x:v>
      </x:c>
      <x:c r="D161" s="36" t="str">
        <x:v>Temared</x:v>
      </x:c>
      <x:c r="E161" s="36" t="str">
        <x:v>vehicle_manufacturer</x:v>
      </x:c>
      <x:c r="F161" s="36" t="str">
        <x:v>use_entity</x:v>
      </x:c>
      <x:c r="G161" s="36" t="str">
        <x:v>exact</x:v>
      </x:c>
      <x:c r="H161" s="38" t="str">
        <x:v>[]</x:v>
      </x:c>
      <x:c r="I161" s="38" t="str">
        <x:v>[]</x:v>
      </x:c>
      <x:c r="J161" s="38" t="str">
        <x:v>{}</x:v>
      </x:c>
      <x:c r="K161" s="36"/>
      <x:c r="L161" s="38" t="str">
        <x:v>{"source_field":"brand","source_term":"TEMARED","canonical_name":"Temared","entity_role":"vehicle_manufacturer","base_behavior":"use_entity"}</x:v>
      </x:c>
    </x:row>
    <x:row r="162" ht="18" customHeight="1">
      <x:c r="A162" s="36" t="str">
        <x:v>MFE-32A8F39602F30F</x:v>
      </x:c>
      <x:c r="B162" s="36" t="str">
        <x:v>brand</x:v>
      </x:c>
      <x:c r="C162" s="36" t="str">
        <x:v>THULE 0600UVSL</x:v>
      </x:c>
      <x:c r="D162" s="36" t="str">
        <x:v>Thule</x:v>
      </x:c>
      <x:c r="E162" s="36" t="str">
        <x:v>vehicle_manufacturer</x:v>
      </x:c>
      <x:c r="F162" s="36" t="str">
        <x:v>use_entity</x:v>
      </x:c>
      <x:c r="G162" s="36" t="str">
        <x:v>exact</x:v>
      </x:c>
      <x:c r="H162" s="38" t="str">
        <x:v>[]</x:v>
      </x:c>
      <x:c r="I162" s="38" t="str">
        <x:v>[]</x:v>
      </x:c>
      <x:c r="J162" s="38" t="str">
        <x:v>{}</x:v>
      </x:c>
      <x:c r="K162" s="36"/>
      <x:c r="L162" s="38" t="str">
        <x:v>{"source_field":"brand","source_term":"THULE 0600UVSL","canonical_name":"Thule","entity_role":"vehicle_manufacturer","base_behavior":"use_entity"}</x:v>
      </x:c>
    </x:row>
    <x:row r="163" ht="18" customHeight="1">
      <x:c r="A163" s="36" t="str">
        <x:v>MFE-2DC2F5FCE81D1B</x:v>
      </x:c>
      <x:c r="B163" s="36" t="str">
        <x:v>brand</x:v>
      </x:c>
      <x:c r="C163" s="36" t="str">
        <x:v>THULE B01</x:v>
      </x:c>
      <x:c r="D163" s="36" t="str">
        <x:v>Thule</x:v>
      </x:c>
      <x:c r="E163" s="36" t="str">
        <x:v>vehicle_manufacturer</x:v>
      </x:c>
      <x:c r="F163" s="36" t="str">
        <x:v>use_entity</x:v>
      </x:c>
      <x:c r="G163" s="36" t="str">
        <x:v>exact</x:v>
      </x:c>
      <x:c r="H163" s="38" t="str">
        <x:v>[]</x:v>
      </x:c>
      <x:c r="I163" s="38" t="str">
        <x:v>[]</x:v>
      </x:c>
      <x:c r="J163" s="38" t="str">
        <x:v>{}</x:v>
      </x:c>
      <x:c r="K163" s="36"/>
      <x:c r="L163" s="38" t="str">
        <x:v>{"source_field":"brand","source_term":"THULE B01","canonical_name":"Thule","entity_role":"vehicle_manufacturer","base_behavior":"use_entity"}</x:v>
      </x:c>
    </x:row>
    <x:row r="164" ht="18" customHeight="1">
      <x:c r="A164" s="36" t="str">
        <x:v>MFE-2F8308EAE6AE86</x:v>
      </x:c>
      <x:c r="B164" s="36" t="str">
        <x:v>brand</x:v>
      </x:c>
      <x:c r="C164" s="36" t="str">
        <x:v>THULE F1425650U</x:v>
      </x:c>
      <x:c r="D164" s="36" t="str">
        <x:v>Thule</x:v>
      </x:c>
      <x:c r="E164" s="36" t="str">
        <x:v>vehicle_manufacturer</x:v>
      </x:c>
      <x:c r="F164" s="36" t="str">
        <x:v>use_entity</x:v>
      </x:c>
      <x:c r="G164" s="36" t="str">
        <x:v>exact</x:v>
      </x:c>
      <x:c r="H164" s="38" t="str">
        <x:v>[]</x:v>
      </x:c>
      <x:c r="I164" s="38" t="str">
        <x:v>[]</x:v>
      </x:c>
      <x:c r="J164" s="38" t="str">
        <x:v>{}</x:v>
      </x:c>
      <x:c r="K164" s="36"/>
      <x:c r="L164" s="38" t="str">
        <x:v>{"source_field":"brand","source_term":"THULE F1425650U","canonical_name":"Thule","entity_role":"vehicle_manufacturer","base_behavior":"use_entity"}</x:v>
      </x:c>
    </x:row>
    <x:row r="165" ht="18" customHeight="1">
      <x:c r="A165" s="36" t="str">
        <x:v>MFE-F25538659E8734</x:v>
      </x:c>
      <x:c r="B165" s="36" t="str">
        <x:v>brand</x:v>
      </x:c>
      <x:c r="C165" s="36" t="str">
        <x:v>TIAB 7910</x:v>
      </x:c>
      <x:c r="D165" s="36" t="str">
        <x:v>TIAB</x:v>
      </x:c>
      <x:c r="E165" s="36" t="str">
        <x:v>vehicle_manufacturer</x:v>
      </x:c>
      <x:c r="F165" s="36" t="str">
        <x:v>use_entity</x:v>
      </x:c>
      <x:c r="G165" s="36" t="str">
        <x:v>exact</x:v>
      </x:c>
      <x:c r="H165" s="38" t="str">
        <x:v>[]</x:v>
      </x:c>
      <x:c r="I165" s="38" t="str">
        <x:v>[]</x:v>
      </x:c>
      <x:c r="J165" s="38" t="str">
        <x:v>{}</x:v>
      </x:c>
      <x:c r="K165" s="36"/>
      <x:c r="L165" s="38" t="str">
        <x:v>{"source_field":"brand","source_term":"TIAB 7910","canonical_name":"TIAB","entity_role":"vehicle_manufacturer","base_behavior":"use_entity"}</x:v>
      </x:c>
    </x:row>
    <x:row r="166" ht="18" customHeight="1">
      <x:c r="A166" s="36" t="str">
        <x:v>MFE-4A88CCAAA0C199</x:v>
      </x:c>
      <x:c r="B166" s="36" t="str">
        <x:v>brand</x:v>
      </x:c>
      <x:c r="C166" s="36" t="str">
        <x:v>TIKI</x:v>
      </x:c>
      <x:c r="D166" s="36" t="str">
        <x:v>Tiki Treiler</x:v>
      </x:c>
      <x:c r="E166" s="36" t="str">
        <x:v>vehicle_manufacturer</x:v>
      </x:c>
      <x:c r="F166" s="36" t="str">
        <x:v>use_entity</x:v>
      </x:c>
      <x:c r="G166" s="36" t="str">
        <x:v>exact</x:v>
      </x:c>
      <x:c r="H166" s="38" t="str">
        <x:v>[]</x:v>
      </x:c>
      <x:c r="I166" s="38" t="str">
        <x:v>[]</x:v>
      </x:c>
      <x:c r="J166" s="38" t="str">
        <x:v>{}</x:v>
      </x:c>
      <x:c r="K166" s="36"/>
      <x:c r="L166" s="38" t="str">
        <x:v>{"source_field":"brand","source_term":"TIKI","canonical_name":"Tiki Treiler","entity_role":"vehicle_manufacturer","base_behavior":"use_entity"}</x:v>
      </x:c>
    </x:row>
    <x:row r="167" ht="18" customHeight="1">
      <x:c r="A167" s="36" t="str">
        <x:v>MFE-34EF6CC0A0002C</x:v>
      </x:c>
      <x:c r="B167" s="36" t="str">
        <x:v>brand</x:v>
      </x:c>
      <x:c r="C167" s="36" t="str">
        <x:v>TIKI B131</x:v>
      </x:c>
      <x:c r="D167" s="36" t="str">
        <x:v>Tiki Treiler</x:v>
      </x:c>
      <x:c r="E167" s="36" t="str">
        <x:v>vehicle_manufacturer</x:v>
      </x:c>
      <x:c r="F167" s="36" t="str">
        <x:v>use_entity</x:v>
      </x:c>
      <x:c r="G167" s="36" t="str">
        <x:v>exact</x:v>
      </x:c>
      <x:c r="H167" s="38" t="str">
        <x:v>[]</x:v>
      </x:c>
      <x:c r="I167" s="38" t="str">
        <x:v>[]</x:v>
      </x:c>
      <x:c r="J167" s="38" t="str">
        <x:v>{}</x:v>
      </x:c>
      <x:c r="K167" s="36"/>
      <x:c r="L167" s="38" t="str">
        <x:v>{"source_field":"brand","source_term":"TIKI B131","canonical_name":"Tiki Treiler","entity_role":"vehicle_manufacturer","base_behavior":"use_entity"}</x:v>
      </x:c>
    </x:row>
    <x:row r="168" ht="18" customHeight="1">
      <x:c r="A168" s="36" t="str">
        <x:v>MFE-DF6BDC49A2B575</x:v>
      </x:c>
      <x:c r="B168" s="36" t="str">
        <x:v>brand</x:v>
      </x:c>
      <x:c r="C168" s="36" t="str">
        <x:v>TIKI TREILER B 350P</x:v>
      </x:c>
      <x:c r="D168" s="36" t="str">
        <x:v>Tiki Treiler</x:v>
      </x:c>
      <x:c r="E168" s="36" t="str">
        <x:v>vehicle_manufacturer</x:v>
      </x:c>
      <x:c r="F168" s="36" t="str">
        <x:v>use_entity</x:v>
      </x:c>
      <x:c r="G168" s="36" t="str">
        <x:v>exact</x:v>
      </x:c>
      <x:c r="H168" s="38" t="str">
        <x:v>[]</x:v>
      </x:c>
      <x:c r="I168" s="38" t="str">
        <x:v>[]</x:v>
      </x:c>
      <x:c r="J168" s="38" t="str">
        <x:v>{}</x:v>
      </x:c>
      <x:c r="K168" s="36"/>
      <x:c r="L168" s="38" t="str">
        <x:v>{"source_field":"brand","source_term":"TIKI TREILER B 350P","canonical_name":"Tiki Treiler","entity_role":"vehicle_manufacturer","base_behavior":"use_entity"}</x:v>
      </x:c>
    </x:row>
    <x:row r="169" ht="18" customHeight="1">
      <x:c r="A169" s="36" t="str">
        <x:v>MFE-DBD2FA29152BC4</x:v>
      </x:c>
      <x:c r="B169" s="36" t="str">
        <x:v>brand</x:v>
      </x:c>
      <x:c r="C169" s="36" t="str">
        <x:v>TIKI TREILER BT 700</x:v>
      </x:c>
      <x:c r="D169" s="36" t="str">
        <x:v>Tiki Treiler</x:v>
      </x:c>
      <x:c r="E169" s="36" t="str">
        <x:v>vehicle_manufacturer</x:v>
      </x:c>
      <x:c r="F169" s="36" t="str">
        <x:v>use_entity</x:v>
      </x:c>
      <x:c r="G169" s="36" t="str">
        <x:v>exact</x:v>
      </x:c>
      <x:c r="H169" s="38" t="str">
        <x:v>[]</x:v>
      </x:c>
      <x:c r="I169" s="38" t="str">
        <x:v>[]</x:v>
      </x:c>
      <x:c r="J169" s="38" t="str">
        <x:v>{}</x:v>
      </x:c>
      <x:c r="K169" s="36"/>
      <x:c r="L169" s="38" t="str">
        <x:v>{"source_field":"brand","source_term":"TIKI TREILER BT 700","canonical_name":"Tiki Treiler","entity_role":"vehicle_manufacturer","base_behavior":"use_entity"}</x:v>
      </x:c>
    </x:row>
    <x:row r="170" ht="18" customHeight="1">
      <x:c r="A170" s="36" t="str">
        <x:v>MFE-DEDBC52E5812BC</x:v>
      </x:c>
      <x:c r="B170" s="36" t="str">
        <x:v>brand</x:v>
      </x:c>
      <x:c r="C170" s="36" t="str">
        <x:v>TIKI TREILER C121</x:v>
      </x:c>
      <x:c r="D170" s="36" t="str">
        <x:v>Tiki Treiler</x:v>
      </x:c>
      <x:c r="E170" s="36" t="str">
        <x:v>vehicle_manufacturer</x:v>
      </x:c>
      <x:c r="F170" s="36" t="str">
        <x:v>use_entity</x:v>
      </x:c>
      <x:c r="G170" s="36" t="str">
        <x:v>exact</x:v>
      </x:c>
      <x:c r="H170" s="38" t="str">
        <x:v>[]</x:v>
      </x:c>
      <x:c r="I170" s="38" t="str">
        <x:v>[]</x:v>
      </x:c>
      <x:c r="J170" s="38" t="str">
        <x:v>{}</x:v>
      </x:c>
      <x:c r="K170" s="36"/>
      <x:c r="L170" s="38" t="str">
        <x:v>{"source_field":"brand","source_term":"TIKI TREILER C121","canonical_name":"Tiki Treiler","entity_role":"vehicle_manufacturer","base_behavior":"use_entity"}</x:v>
      </x:c>
    </x:row>
    <x:row r="171" ht="18" customHeight="1">
      <x:c r="A171" s="36" t="str">
        <x:v>MFE-C48AD1F1478C5F</x:v>
      </x:c>
      <x:c r="B171" s="36" t="str">
        <x:v>brand</x:v>
      </x:c>
      <x:c r="C171" s="36" t="str">
        <x:v>TIKI TREILER C163</x:v>
      </x:c>
      <x:c r="D171" s="36" t="str">
        <x:v>Tiki Treiler</x:v>
      </x:c>
      <x:c r="E171" s="36" t="str">
        <x:v>vehicle_manufacturer</x:v>
      </x:c>
      <x:c r="F171" s="36" t="str">
        <x:v>use_entity</x:v>
      </x:c>
      <x:c r="G171" s="36" t="str">
        <x:v>exact</x:v>
      </x:c>
      <x:c r="H171" s="38" t="str">
        <x:v>[]</x:v>
      </x:c>
      <x:c r="I171" s="38" t="str">
        <x:v>[]</x:v>
      </x:c>
      <x:c r="J171" s="38" t="str">
        <x:v>{}</x:v>
      </x:c>
      <x:c r="K171" s="36"/>
      <x:c r="L171" s="38" t="str">
        <x:v>{"source_field":"brand","source_term":"TIKI TREILER C163","canonical_name":"Tiki Treiler","entity_role":"vehicle_manufacturer","base_behavior":"use_entity"}</x:v>
      </x:c>
    </x:row>
    <x:row r="172" ht="18" customHeight="1">
      <x:c r="A172" s="36" t="str">
        <x:v>MFE-5326FD93F23A8E</x:v>
      </x:c>
      <x:c r="B172" s="36" t="str">
        <x:v>brand</x:v>
      </x:c>
      <x:c r="C172" s="36" t="str">
        <x:v>TK TRAILER ES</x:v>
      </x:c>
      <x:c r="D172" s="36" t="str">
        <x:v>TK Trailer</x:v>
      </x:c>
      <x:c r="E172" s="36" t="str">
        <x:v>vehicle_manufacturer</x:v>
      </x:c>
      <x:c r="F172" s="36" t="str">
        <x:v>use_entity</x:v>
      </x:c>
      <x:c r="G172" s="36" t="str">
        <x:v>exact</x:v>
      </x:c>
      <x:c r="H172" s="38" t="str">
        <x:v>[]</x:v>
      </x:c>
      <x:c r="I172" s="38" t="str">
        <x:v>[]</x:v>
      </x:c>
      <x:c r="J172" s="38" t="str">
        <x:v>{}</x:v>
      </x:c>
      <x:c r="K172" s="36"/>
      <x:c r="L172" s="38" t="str">
        <x:v>{"source_field":"brand","source_term":"TK TRAILER ES","canonical_name":"TK Trailer","entity_role":"vehicle_manufacturer","base_behavior":"use_entity"}</x:v>
      </x:c>
    </x:row>
    <x:row r="173" ht="18" customHeight="1">
      <x:c r="A173" s="36" t="str">
        <x:v>MFE-A38B04E8C51F83</x:v>
      </x:c>
      <x:c r="B173" s="36" t="str">
        <x:v>brand</x:v>
      </x:c>
      <x:c r="C173" s="36" t="str">
        <x:v>TRAILERGRUPPEN L 1001</x:v>
      </x:c>
      <x:c r="D173" s="36" t="str">
        <x:v>Trailergruppen</x:v>
      </x:c>
      <x:c r="E173" s="36" t="str">
        <x:v>vehicle_manufacturer</x:v>
      </x:c>
      <x:c r="F173" s="36" t="str">
        <x:v>use_entity</x:v>
      </x:c>
      <x:c r="G173" s="36" t="str">
        <x:v>exact</x:v>
      </x:c>
      <x:c r="H173" s="38" t="str">
        <x:v>[]</x:v>
      </x:c>
      <x:c r="I173" s="38" t="str">
        <x:v>[]</x:v>
      </x:c>
      <x:c r="J173" s="38" t="str">
        <x:v>{}</x:v>
      </x:c>
      <x:c r="K173" s="36"/>
      <x:c r="L173" s="38" t="str">
        <x:v>{"source_field":"brand","source_term":"TRAILERGRUPPEN L 1001","canonical_name":"Trailergruppen","entity_role":"vehicle_manufacturer","base_behavior":"use_entity"}</x:v>
      </x:c>
    </x:row>
    <x:row r="174" ht="18" customHeight="1">
      <x:c r="A174" s="36" t="str">
        <x:v>MFE-CF9DD7007D8126</x:v>
      </x:c>
      <x:c r="B174" s="36" t="str">
        <x:v>brand</x:v>
      </x:c>
      <x:c r="C174" s="36" t="str">
        <x:v>TRANSPORTMEKANO</x:v>
      </x:c>
      <x:c r="D174" s="36" t="str">
        <x:v>Transportmekano</x:v>
      </x:c>
      <x:c r="E174" s="36" t="str">
        <x:v>vehicle_manufacturer</x:v>
      </x:c>
      <x:c r="F174" s="36" t="str">
        <x:v>use_entity</x:v>
      </x:c>
      <x:c r="G174" s="36" t="str">
        <x:v>exact</x:v>
      </x:c>
      <x:c r="H174" s="38" t="str">
        <x:v>[]</x:v>
      </x:c>
      <x:c r="I174" s="38" t="str">
        <x:v>[]</x:v>
      </x:c>
      <x:c r="J174" s="38" t="str">
        <x:v>{}</x:v>
      </x:c>
      <x:c r="K174" s="36"/>
      <x:c r="L174" s="38" t="str">
        <x:v>{"source_field":"brand","source_term":"TRANSPORTMEKANO","canonical_name":"Transportmekano","entity_role":"vehicle_manufacturer","base_behavior":"use_entity"}</x:v>
      </x:c>
    </x:row>
    <x:row r="175" ht="18" customHeight="1">
      <x:c r="A175" s="36" t="str">
        <x:v>MFE-AB667ABD7D8F28</x:v>
      </x:c>
      <x:c r="B175" s="36" t="str">
        <x:v>brand</x:v>
      </x:c>
      <x:c r="C175" s="36" t="str">
        <x:v>TRI STAR TSF SD CHASSI</x:v>
      </x:c>
      <x:c r="D175" s="36" t="str">
        <x:v>Tri-Star</x:v>
      </x:c>
      <x:c r="E175" s="36" t="str">
        <x:v>vehicle_manufacturer</x:v>
      </x:c>
      <x:c r="F175" s="36" t="str">
        <x:v>use_entity</x:v>
      </x:c>
      <x:c r="G175" s="36" t="str">
        <x:v>exact</x:v>
      </x:c>
      <x:c r="H175" s="38" t="str">
        <x:v>[]</x:v>
      </x:c>
      <x:c r="I175" s="38" t="str">
        <x:v>[]</x:v>
      </x:c>
      <x:c r="J175" s="38" t="str">
        <x:v>{}</x:v>
      </x:c>
      <x:c r="K175" s="36"/>
      <x:c r="L175" s="38" t="str">
        <x:v>{"source_field":"brand","source_term":"TRI STAR TSF SD CHASSI","canonical_name":"Tri-Star","entity_role":"vehicle_manufacturer","base_behavior":"use_entity"}</x:v>
      </x:c>
    </x:row>
    <x:row r="176" ht="18" customHeight="1">
      <x:c r="A176" s="36" t="str">
        <x:v>MFE-353D9BBB7C66C0</x:v>
      </x:c>
      <x:c r="B176" s="36" t="str">
        <x:v>brand</x:v>
      </x:c>
      <x:c r="C176" s="36" t="str">
        <x:v>TRIUMPH TIGER 900</x:v>
      </x:c>
      <x:c r="D176" s="36" t="str">
        <x:v>Triumph</x:v>
      </x:c>
      <x:c r="E176" s="36" t="str">
        <x:v>vehicle_manufacturer</x:v>
      </x:c>
      <x:c r="F176" s="36" t="str">
        <x:v>use_entity</x:v>
      </x:c>
      <x:c r="G176" s="36" t="str">
        <x:v>exact</x:v>
      </x:c>
      <x:c r="H176" s="38" t="str">
        <x:v>[]</x:v>
      </x:c>
      <x:c r="I176" s="38" t="str">
        <x:v>[]</x:v>
      </x:c>
      <x:c r="J176" s="38" t="str">
        <x:v>{}</x:v>
      </x:c>
      <x:c r="K176" s="36"/>
      <x:c r="L176" s="38" t="str">
        <x:v>{"source_field":"brand","source_term":"TRIUMPH TIGER 900","canonical_name":"Triumph","entity_role":"vehicle_manufacturer","base_behavior":"use_entity"}</x:v>
      </x:c>
    </x:row>
    <x:row r="177" ht="18" customHeight="1">
      <x:c r="A177" s="36" t="str">
        <x:v>MFE-4BBC9D2FDFDA69</x:v>
      </x:c>
      <x:c r="B177" s="36" t="str">
        <x:v>brand</x:v>
      </x:c>
      <x:c r="C177" s="36" t="str">
        <x:v>VALERYD FAVÖR 1300</x:v>
      </x:c>
      <x:c r="D177" s="36" t="str">
        <x:v>Valeryd</x:v>
      </x:c>
      <x:c r="E177" s="36" t="str">
        <x:v>vehicle_manufacturer</x:v>
      </x:c>
      <x:c r="F177" s="36" t="str">
        <x:v>use_entity</x:v>
      </x:c>
      <x:c r="G177" s="36" t="str">
        <x:v>exact</x:v>
      </x:c>
      <x:c r="H177" s="38" t="str">
        <x:v>[]</x:v>
      </x:c>
      <x:c r="I177" s="38" t="str">
        <x:v>[]</x:v>
      </x:c>
      <x:c r="J177" s="38" t="str">
        <x:v>{}</x:v>
      </x:c>
      <x:c r="K177" s="36"/>
      <x:c r="L177" s="38" t="str">
        <x:v>{"source_field":"brand","source_term":"VALERYD FAVÖR 1300","canonical_name":"Valeryd","entity_role":"vehicle_manufacturer","base_behavior":"use_entity"}</x:v>
      </x:c>
    </x:row>
    <x:row r="178" ht="18" customHeight="1">
      <x:c r="A178" s="36" t="str">
        <x:v>MFE-0C3C02E69F532E</x:v>
      </x:c>
      <x:c r="B178" s="36" t="str">
        <x:v>brand</x:v>
      </x:c>
      <x:c r="C178" s="36" t="str">
        <x:v>VALTRA</x:v>
      </x:c>
      <x:c r="D178" s="36" t="str">
        <x:v>Valtra</x:v>
      </x:c>
      <x:c r="E178" s="36" t="str">
        <x:v>vehicle_manufacturer</x:v>
      </x:c>
      <x:c r="F178" s="36" t="str">
        <x:v>use_entity</x:v>
      </x:c>
      <x:c r="G178" s="36" t="str">
        <x:v>exact</x:v>
      </x:c>
      <x:c r="H178" s="38" t="str">
        <x:v>[]</x:v>
      </x:c>
      <x:c r="I178" s="38" t="str">
        <x:v>[]</x:v>
      </x:c>
      <x:c r="J178" s="38" t="str">
        <x:v>{}</x:v>
      </x:c>
      <x:c r="K178" s="36"/>
      <x:c r="L178" s="38" t="str">
        <x:v>{"source_field":"brand","source_term":"VALTRA","canonical_name":"Valtra","entity_role":"vehicle_manufacturer","base_behavior":"use_entity"}</x:v>
      </x:c>
    </x:row>
    <x:row r="179" ht="18" customHeight="1">
      <x:c r="A179" s="36" t="str">
        <x:v>MFE-28972C898D3839</x:v>
      </x:c>
      <x:c r="B179" s="36" t="str">
        <x:v>brand</x:v>
      </x:c>
      <x:c r="C179" s="36" t="str">
        <x:v>VESPA SUPER</x:v>
      </x:c>
      <x:c r="D179" s="36" t="str">
        <x:v>Vespa</x:v>
      </x:c>
      <x:c r="E179" s="36" t="str">
        <x:v>vehicle_manufacturer</x:v>
      </x:c>
      <x:c r="F179" s="36" t="str">
        <x:v>use_entity</x:v>
      </x:c>
      <x:c r="G179" s="36" t="str">
        <x:v>exact</x:v>
      </x:c>
      <x:c r="H179" s="38" t="str">
        <x:v>[]</x:v>
      </x:c>
      <x:c r="I179" s="38" t="str">
        <x:v>[]</x:v>
      </x:c>
      <x:c r="J179" s="38" t="str">
        <x:v>{}</x:v>
      </x:c>
      <x:c r="K179" s="36"/>
      <x:c r="L179" s="38" t="str">
        <x:v>{"source_field":"brand","source_term":"VESPA SUPER","canonical_name":"Vespa","entity_role":"vehicle_manufacturer","base_behavior":"use_entity"}</x:v>
      </x:c>
    </x:row>
    <x:row r="180" ht="18" customHeight="1">
      <x:c r="A180" s="36" t="str">
        <x:v>MFE-3A4C7C8B8C74D7</x:v>
      </x:c>
      <x:c r="B180" s="36" t="str">
        <x:v>brand</x:v>
      </x:c>
      <x:c r="C180" s="36" t="str">
        <x:v>VOLKSW 1500LIM113 AVK</x:v>
      </x:c>
      <x:c r="D180" s="36" t="str">
        <x:v>Volkswagen</x:v>
      </x:c>
      <x:c r="E180" s="36" t="str">
        <x:v>vehicle_manufacturer</x:v>
      </x:c>
      <x:c r="F180" s="36" t="str">
        <x:v>use_entity</x:v>
      </x:c>
      <x:c r="G180" s="36" t="str">
        <x:v>exact</x:v>
      </x:c>
      <x:c r="H180" s="38" t="str">
        <x:v>[]</x:v>
      </x:c>
      <x:c r="I180" s="38" t="str">
        <x:v>[]</x:v>
      </x:c>
      <x:c r="J180" s="38" t="str">
        <x:v>{}</x:v>
      </x:c>
      <x:c r="K180" s="36"/>
      <x:c r="L180" s="38" t="str">
        <x:v>{"source_field":"brand","source_term":"VOLKSW 1500LIM113 AVK","canonical_name":"Volkswagen","entity_role":"vehicle_manufacturer","base_behavior":"use_entity"}</x:v>
      </x:c>
    </x:row>
    <x:row r="181" ht="18" customHeight="1">
      <x:c r="A181" s="36" t="str">
        <x:v>MFE-957F498B2A41D5</x:v>
      </x:c>
      <x:c r="B181" s="36" t="str">
        <x:v>brand</x:v>
      </x:c>
      <x:c r="C181" s="36" t="str">
        <x:v>VW CADDY SKÅP</x:v>
      </x:c>
      <x:c r="D181" s="36" t="str">
        <x:v>Volkswagen</x:v>
      </x:c>
      <x:c r="E181" s="36" t="str">
        <x:v>vehicle_manufacturer</x:v>
      </x:c>
      <x:c r="F181" s="36" t="str">
        <x:v>use_entity</x:v>
      </x:c>
      <x:c r="G181" s="36" t="str">
        <x:v>exact</x:v>
      </x:c>
      <x:c r="H181" s="38" t="str">
        <x:v>[]</x:v>
      </x:c>
      <x:c r="I181" s="38" t="str">
        <x:v>[]</x:v>
      </x:c>
      <x:c r="J181" s="38" t="str">
        <x:v>{}</x:v>
      </x:c>
      <x:c r="K181" s="36"/>
      <x:c r="L181" s="38" t="str">
        <x:v>{"source_field":"brand","source_term":"VW CADDY SKÅP","canonical_name":"Volkswagen","entity_role":"vehicle_manufacturer","base_behavior":"use_entity"}</x:v>
      </x:c>
    </x:row>
    <x:row r="182" ht="18" customHeight="1">
      <x:c r="A182" s="36" t="str">
        <x:v>MFE-9EF4701494566B</x:v>
      </x:c>
      <x:c r="B182" s="36" t="str">
        <x:v>brand</x:v>
      </x:c>
      <x:c r="C182" s="36" t="str">
        <x:v>VW CARAVELLE</x:v>
      </x:c>
      <x:c r="D182" s="36" t="str">
        <x:v>Volkswagen</x:v>
      </x:c>
      <x:c r="E182" s="36" t="str">
        <x:v>vehicle_manufacturer</x:v>
      </x:c>
      <x:c r="F182" s="36" t="str">
        <x:v>use_entity</x:v>
      </x:c>
      <x:c r="G182" s="36" t="str">
        <x:v>exact</x:v>
      </x:c>
      <x:c r="H182" s="38" t="str">
        <x:v>[]</x:v>
      </x:c>
      <x:c r="I182" s="38" t="str">
        <x:v>[]</x:v>
      </x:c>
      <x:c r="J182" s="38" t="str">
        <x:v>{}</x:v>
      </x:c>
      <x:c r="K182" s="36"/>
      <x:c r="L182" s="38" t="str">
        <x:v>{"source_field":"brand","source_term":"VW CARAVELLE","canonical_name":"Volkswagen","entity_role":"vehicle_manufacturer","base_behavior":"use_entity"}</x:v>
      </x:c>
    </x:row>
    <x:row r="183" ht="18" customHeight="1">
      <x:c r="A183" s="36" t="str">
        <x:v>MFE-6854C93D270C63</x:v>
      </x:c>
      <x:c r="B183" s="36" t="str">
        <x:v>brand</x:v>
      </x:c>
      <x:c r="C183" s="36" t="str">
        <x:v>VW PASSAT VAR TDI</x:v>
      </x:c>
      <x:c r="D183" s="36" t="str">
        <x:v>Volkswagen</x:v>
      </x:c>
      <x:c r="E183" s="36" t="str">
        <x:v>vehicle_manufacturer</x:v>
      </x:c>
      <x:c r="F183" s="36" t="str">
        <x:v>use_entity</x:v>
      </x:c>
      <x:c r="G183" s="36" t="str">
        <x:v>exact</x:v>
      </x:c>
      <x:c r="H183" s="38" t="str">
        <x:v>[]</x:v>
      </x:c>
      <x:c r="I183" s="38" t="str">
        <x:v>[]</x:v>
      </x:c>
      <x:c r="J183" s="38" t="str">
        <x:v>{}</x:v>
      </x:c>
      <x:c r="K183" s="36"/>
      <x:c r="L183" s="38" t="str">
        <x:v>{"source_field":"brand","source_term":"VW PASSAT VAR TDI","canonical_name":"Volkswagen","entity_role":"vehicle_manufacturer","base_behavior":"use_entity"}</x:v>
      </x:c>
    </x:row>
    <x:row r="184" ht="18" customHeight="1">
      <x:c r="A184" s="36" t="str">
        <x:v>MFE-CE6D98C7EA5C22</x:v>
      </x:c>
      <x:c r="B184" s="36" t="str">
        <x:v>brand</x:v>
      </x:c>
      <x:c r="C184" s="36" t="str">
        <x:v>WILK S4 500</x:v>
      </x:c>
      <x:c r="D184" s="36" t="str">
        <x:v>Wilk</x:v>
      </x:c>
      <x:c r="E184" s="36" t="str">
        <x:v>vehicle_manufacturer</x:v>
      </x:c>
      <x:c r="F184" s="36" t="str">
        <x:v>use_entity</x:v>
      </x:c>
      <x:c r="G184" s="36" t="str">
        <x:v>exact</x:v>
      </x:c>
      <x:c r="H184" s="38" t="str">
        <x:v>[]</x:v>
      </x:c>
      <x:c r="I184" s="38" t="str">
        <x:v>[]</x:v>
      </x:c>
      <x:c r="J184" s="38" t="str">
        <x:v>{}</x:v>
      </x:c>
      <x:c r="K184" s="36"/>
      <x:c r="L184" s="38" t="str">
        <x:v>{"source_field":"brand","source_term":"WILK S4 500","canonical_name":"Wilk","entity_role":"vehicle_manufacturer","base_behavior":"use_entity"}</x:v>
      </x:c>
    </x:row>
    <x:row r="185" ht="18" customHeight="1">
      <x:c r="A185" s="36" t="str">
        <x:v>MFE-A94F5A3F8266BC</x:v>
      </x:c>
      <x:c r="B185" s="36" t="str">
        <x:v>brand</x:v>
      </x:c>
      <x:c r="C185" s="36" t="str">
        <x:v>WILK S4 560</x:v>
      </x:c>
      <x:c r="D185" s="36" t="str">
        <x:v>Wilk</x:v>
      </x:c>
      <x:c r="E185" s="36" t="str">
        <x:v>vehicle_manufacturer</x:v>
      </x:c>
      <x:c r="F185" s="36" t="str">
        <x:v>use_entity</x:v>
      </x:c>
      <x:c r="G185" s="36" t="str">
        <x:v>exact</x:v>
      </x:c>
      <x:c r="H185" s="38" t="str">
        <x:v>[]</x:v>
      </x:c>
      <x:c r="I185" s="38" t="str">
        <x:v>[]</x:v>
      </x:c>
      <x:c r="J185" s="38" t="str">
        <x:v>{}</x:v>
      </x:c>
      <x:c r="K185" s="36"/>
      <x:c r="L185" s="38" t="str">
        <x:v>{"source_field":"brand","source_term":"WILK S4 560","canonical_name":"Wilk","entity_role":"vehicle_manufacturer","base_behavior":"use_entity"}</x:v>
      </x:c>
    </x:row>
    <x:row r="186" ht="18" customHeight="1">
      <x:c r="A186" s="36" t="str">
        <x:v>MFE-EB251741FC4DEA</x:v>
      </x:c>
      <x:c r="B186" s="36" t="str">
        <x:v>brand</x:v>
      </x:c>
      <x:c r="C186" s="36" t="str">
        <x:v>YAMAHA YZF1000R 4VD</x:v>
      </x:c>
      <x:c r="D186" s="36" t="str">
        <x:v>Yamaha</x:v>
      </x:c>
      <x:c r="E186" s="36" t="str">
        <x:v>vehicle_manufacturer</x:v>
      </x:c>
      <x:c r="F186" s="36" t="str">
        <x:v>use_entity</x:v>
      </x:c>
      <x:c r="G186" s="36" t="str">
        <x:v>exact</x:v>
      </x:c>
      <x:c r="H186" s="38" t="str">
        <x:v>[]</x:v>
      </x:c>
      <x:c r="I186" s="38" t="str">
        <x:v>[]</x:v>
      </x:c>
      <x:c r="J186" s="38" t="str">
        <x:v>{}</x:v>
      </x:c>
      <x:c r="K186" s="36"/>
      <x:c r="L186" s="38" t="str">
        <x:v>{"source_field":"brand","source_term":"YAMAHA YZF1000R 4VD","canonical_name":"Yamaha","entity_role":"vehicle_manufacturer","base_behavior":"use_entity"}</x:v>
      </x:c>
    </x:row>
    <x:row r="187" ht="18" customHeight="1">
      <x:c r="A187" s="36" t="str">
        <x:v>MFE-728890BDBD3E50</x:v>
      </x:c>
      <x:c r="B187" s="36" t="str">
        <x:v>brand</x:v>
      </x:c>
      <x:c r="C187" s="36" t="str">
        <x:v>ÅTM 10014</x:v>
      </x:c>
      <x:c r="D187" s="36" t="str">
        <x:v>ÅTM</x:v>
      </x:c>
      <x:c r="E187" s="36" t="str">
        <x:v>vehicle_manufacturer</x:v>
      </x:c>
      <x:c r="F187" s="36" t="str">
        <x:v>use_entity</x:v>
      </x:c>
      <x:c r="G187" s="36" t="str">
        <x:v>exact</x:v>
      </x:c>
      <x:c r="H187" s="38" t="str">
        <x:v>[]</x:v>
      </x:c>
      <x:c r="I187" s="38" t="str">
        <x:v>[]</x:v>
      </x:c>
      <x:c r="J187" s="38" t="str">
        <x:v>{}</x:v>
      </x:c>
      <x:c r="K187" s="36"/>
      <x:c r="L187" s="38" t="str">
        <x:v>{"source_field":"brand","source_term":"ÅTM 10014","canonical_name":"ÅTM","entity_role":"vehicle_manufacturer","base_behavior":"use_entity"}</x:v>
      </x:c>
    </x:row>
    <x:row r="188" ht="18" customHeight="1">
      <x:c r="A188" s="36" t="str">
        <x:v>MFE-2D9F02CB112D44</x:v>
      </x:c>
      <x:c r="B188" s="36" t="str">
        <x:v>brand</x:v>
      </x:c>
      <x:c r="C188" s="36" t="str">
        <x:v>ÅTM 7512</x:v>
      </x:c>
      <x:c r="D188" s="36" t="str">
        <x:v>ÅTM</x:v>
      </x:c>
      <x:c r="E188" s="36" t="str">
        <x:v>vehicle_manufacturer</x:v>
      </x:c>
      <x:c r="F188" s="36" t="str">
        <x:v>use_entity</x:v>
      </x:c>
      <x:c r="G188" s="36" t="str">
        <x:v>exact</x:v>
      </x:c>
      <x:c r="H188" s="38" t="str">
        <x:v>[]</x:v>
      </x:c>
      <x:c r="I188" s="38" t="str">
        <x:v>[]</x:v>
      </x:c>
      <x:c r="J188" s="38" t="str">
        <x:v>{}</x:v>
      </x:c>
      <x:c r="K188" s="36"/>
      <x:c r="L188" s="38" t="str">
        <x:v>{"source_field":"brand","source_term":"ÅTM 7512","canonical_name":"ÅTM","entity_role":"vehicle_manufacturer","base_behavior":"use_entity"}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38481f4de394b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18" hidden="0" customWidth="1"/>
    <x:col min="4" max="4" width="36" hidden="0" customWidth="1"/>
    <x:col min="5" max="5" width="26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14" hidden="0" customWidth="1"/>
    <x:col min="13" max="13" width="38" hidden="0" customWidth="1"/>
    <x:col min="14" max="14" width="50" hidden="0" customWidth="1"/>
    <x:col min="15" max="15" width="18" hidden="0" customWidth="1"/>
    <x:col min="16" max="16" width="18" hidden="0" customWidth="1"/>
    <x:col min="17" max="17" width="18" hidden="0" customWidth="1"/>
    <x:col min="18" max="18" width="25" hidden="0" customWidth="1"/>
    <x:col min="19" max="19" width="25" hidden="0" customWidth="1"/>
    <x:col min="20" max="20" width="80" hidden="0" customWidth="1"/>
  </x:cols>
  <x:sheetData>
    <x:row r="1" ht="34" customHeight="1">
      <x:c r="A1" s="28" t="str">
        <x:v>Complete effective manufacturer entity view</x:v>
      </x:c>
    </x:row>
    <x:row r="2" ht="34" customHeight="1">
      <x:c r="A2" s="31" t="str">
        <x:v>Runtime view from the matching application version: built-in catalog plus active database overrides and discovered source evidence. origin identifies why each row exists; effective_entity_json preserves the complete API payload.</x:v>
      </x:c>
    </x:row>
    <x:row r="4" ht="30" customHeight="1">
      <x:c r="A4" s="34" t="str">
        <x:v>entity_id</x:v>
      </x:c>
      <x:c r="B4" s="34" t="str">
        <x:v>definition_origin</x:v>
      </x:c>
      <x:c r="C4" s="34" t="str">
        <x:v>source_field</x:v>
      </x:c>
      <x:c r="D4" s="34" t="str">
        <x:v>source_term</x:v>
      </x:c>
      <x:c r="E4" s="34" t="str">
        <x:v>active_canonical_name</x:v>
      </x:c>
      <x:c r="F4" s="34" t="str">
        <x:v>effective_canonical_name</x:v>
      </x:c>
      <x:c r="G4" s="34" t="str">
        <x:v>active_entity_role</x:v>
      </x:c>
      <x:c r="H4" s="34" t="str">
        <x:v>effective_entity_role</x:v>
      </x:c>
      <x:c r="I4" s="34" t="str">
        <x:v>active_base_behavior</x:v>
      </x:c>
      <x:c r="J4" s="34" t="str">
        <x:v>effective_base_behavior</x:v>
      </x:c>
      <x:c r="K4" s="34" t="str">
        <x:v>match_type</x:v>
      </x:c>
      <x:c r="L4" s="34" t="str">
        <x:v>occurrences</x:v>
      </x:c>
      <x:c r="M4" s="34" t="str">
        <x:v>base_manufacturers</x:v>
      </x:c>
      <x:c r="N4" s="34" t="str">
        <x:v>reviewed_examples</x:v>
      </x:c>
      <x:c r="O4" s="34" t="str">
        <x:v>has_draft</x:v>
      </x:c>
      <x:c r="P4" s="34" t="str">
        <x:v>is_discovered</x:v>
      </x:c>
      <x:c r="Q4" s="34" t="str">
        <x:v>change_note</x:v>
      </x:c>
      <x:c r="R4" s="34" t="str">
        <x:v>created_at</x:v>
      </x:c>
      <x:c r="S4" s="34" t="str">
        <x:v>updated_at</x:v>
      </x:c>
      <x:c r="T4" s="34" t="str">
        <x:v>effective_entity_json</x:v>
      </x:c>
    </x:row>
    <x:row r="5" ht="18" customHeight="1">
      <x:c r="A5" s="36" t="str">
        <x:v>MFE-6524C2A8038BC8</x:v>
      </x:c>
      <x:c r="B5" s="36" t="str">
        <x:v>built_in_catalog</x:v>
      </x:c>
      <x:c r="C5" s="36" t="str">
        <x:v>brand</x:v>
      </x:c>
      <x:c r="D5" s="36" t="str">
        <x:v>AKTIV STABIL 1000 15</x:v>
      </x:c>
      <x:c r="E5" s="36" t="str">
        <x:v>Aktiv Stabil</x:v>
      </x:c>
      <x:c r="F5" s="36" t="str">
        <x:v>Aktiv Stabil</x:v>
      </x:c>
      <x:c r="G5" s="36" t="str">
        <x:v>vehicle_manufacturer</x:v>
      </x:c>
      <x:c r="H5" s="36" t="str">
        <x:v>vehicle_manufacturer</x:v>
      </x:c>
      <x:c r="I5" s="36" t="str">
        <x:v>use_entity</x:v>
      </x:c>
      <x:c r="J5" s="36" t="str">
        <x:v>use_entity</x:v>
      </x:c>
      <x:c r="K5" s="36" t="str">
        <x:v>exact</x:v>
      </x:c>
      <x:c r="L5" s="36" t="n">
        <x:v>0</x:v>
      </x:c>
      <x:c r="M5" s="38" t="str">
        <x:v>[]</x:v>
      </x:c>
      <x:c r="N5" s="38" t="str">
        <x:v>[]</x:v>
      </x:c>
      <x:c r="O5" s="42" t="b">
        <x:v>0</x:v>
      </x:c>
      <x:c r="P5" s="42" t="b">
        <x:v>0</x:v>
      </x:c>
      <x:c r="Q5" s="36"/>
      <x:c r="R5" s="36"/>
      <x:c r="S5" s="36"/>
      <x:c r="T5" s="38" t="str">
        <x:v>{"entity_id":"MFE-6524C2A8038BC8","source_field":"brand","source_term":"AKTIV STABIL 1000 15","active_canonical_name":"Aktiv Stabil","effective_canonical_name":"Aktiv Stabi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" ht="18" customHeight="1">
      <x:c r="A6" s="36" t="str">
        <x:v>MFE-4B918A113E9883</x:v>
      </x:c>
      <x:c r="B6" s="36" t="str">
        <x:v>built_in_catalog</x:v>
      </x:c>
      <x:c r="C6" s="36" t="str">
        <x:v>brand</x:v>
      </x:c>
      <x:c r="D6" s="36" t="str">
        <x:v>ALFA ROMEO 940</x:v>
      </x:c>
      <x:c r="E6" s="36" t="str">
        <x:v>Alfa Romeo</x:v>
      </x:c>
      <x:c r="F6" s="36" t="str">
        <x:v>Alfa Romeo</x:v>
      </x:c>
      <x:c r="G6" s="36" t="str">
        <x:v>vehicle_manufacturer</x:v>
      </x:c>
      <x:c r="H6" s="36" t="str">
        <x:v>vehicle_manufacturer</x:v>
      </x:c>
      <x:c r="I6" s="36" t="str">
        <x:v>use_entity</x:v>
      </x:c>
      <x:c r="J6" s="36" t="str">
        <x:v>use_entity</x:v>
      </x:c>
      <x:c r="K6" s="36" t="str">
        <x:v>exact</x:v>
      </x:c>
      <x:c r="L6" s="36" t="n">
        <x:v>0</x:v>
      </x:c>
      <x:c r="M6" s="38" t="str">
        <x:v>[]</x:v>
      </x:c>
      <x:c r="N6" s="38" t="str">
        <x:v>[]</x:v>
      </x:c>
      <x:c r="O6" s="42" t="b">
        <x:v>0</x:v>
      </x:c>
      <x:c r="P6" s="42" t="b">
        <x:v>0</x:v>
      </x:c>
      <x:c r="Q6" s="36"/>
      <x:c r="R6" s="36"/>
      <x:c r="S6" s="36"/>
      <x:c r="T6" s="38" t="str">
        <x:v>{"entity_id":"MFE-4B918A113E9883","source_field":"brand","source_term":"ALFA ROMEO 940","active_canonical_name":"Alfa Romeo","effective_canonical_name":"Alfa Rome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" ht="18" customHeight="1">
      <x:c r="A7" s="36" t="str">
        <x:v>MFE-2CA4ABAA708092</x:v>
      </x:c>
      <x:c r="B7" s="36" t="str">
        <x:v>built_in_catalog</x:v>
      </x:c>
      <x:c r="C7" s="36" t="str">
        <x:v>brand</x:v>
      </x:c>
      <x:c r="D7" s="36" t="str">
        <x:v>ALFA ROMEO GIULIETTA SPR</x:v>
      </x:c>
      <x:c r="E7" s="36" t="str">
        <x:v>Alfa Romeo</x:v>
      </x:c>
      <x:c r="F7" s="36" t="str">
        <x:v>Alfa Romeo</x:v>
      </x:c>
      <x:c r="G7" s="36" t="str">
        <x:v>vehicle_manufacturer</x:v>
      </x:c>
      <x:c r="H7" s="36" t="str">
        <x:v>vehicle_manufacturer</x:v>
      </x:c>
      <x:c r="I7" s="36" t="str">
        <x:v>use_entity</x:v>
      </x:c>
      <x:c r="J7" s="36" t="str">
        <x:v>use_entity</x:v>
      </x:c>
      <x:c r="K7" s="36" t="str">
        <x:v>exact</x:v>
      </x:c>
      <x:c r="L7" s="36" t="n">
        <x:v>0</x:v>
      </x:c>
      <x:c r="M7" s="38" t="str">
        <x:v>[]</x:v>
      </x:c>
      <x:c r="N7" s="38" t="str">
        <x:v>[]</x:v>
      </x:c>
      <x:c r="O7" s="42" t="b">
        <x:v>0</x:v>
      </x:c>
      <x:c r="P7" s="42" t="b">
        <x:v>0</x:v>
      </x:c>
      <x:c r="Q7" s="36"/>
      <x:c r="R7" s="36"/>
      <x:c r="S7" s="36"/>
      <x:c r="T7" s="38" t="str">
        <x:v>{"entity_id":"MFE-2CA4ABAA708092","source_field":"brand","source_term":"ALFA ROMEO GIULIETTA SPR","active_canonical_name":"Alfa Romeo","effective_canonical_name":"Alfa Rome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" ht="18" customHeight="1">
      <x:c r="A8" s="36" t="str">
        <x:v>MFE-76AC7D12F75224</x:v>
      </x:c>
      <x:c r="B8" s="36" t="str">
        <x:v>built_in_catalog</x:v>
      </x:c>
      <x:c r="C8" s="36" t="str">
        <x:v>manufacturer</x:v>
      </x:c>
      <x:c r="D8" s="36" t="str">
        <x:v>AUDI</x:v>
      </x:c>
      <x:c r="E8" s="36" t="str">
        <x:v>Audi</x:v>
      </x:c>
      <x:c r="F8" s="36" t="str">
        <x:v>Audi</x:v>
      </x:c>
      <x:c r="G8" s="36" t="str">
        <x:v>vehicle_manufacturer</x:v>
      </x:c>
      <x:c r="H8" s="36" t="str">
        <x:v>vehicle_manufacturer</x:v>
      </x:c>
      <x:c r="I8" s="36" t="str">
        <x:v>use_entity</x:v>
      </x:c>
      <x:c r="J8" s="36" t="str">
        <x:v>use_entity</x:v>
      </x:c>
      <x:c r="K8" s="36" t="str">
        <x:v>exact</x:v>
      </x:c>
      <x:c r="L8" s="36" t="n">
        <x:v>0</x:v>
      </x:c>
      <x:c r="M8" s="38" t="str">
        <x:v>[]</x:v>
      </x:c>
      <x:c r="N8" s="38" t="str">
        <x:v>[]</x:v>
      </x:c>
      <x:c r="O8" s="42" t="b">
        <x:v>0</x:v>
      </x:c>
      <x:c r="P8" s="42" t="b">
        <x:v>0</x:v>
      </x:c>
      <x:c r="Q8" s="36"/>
      <x:c r="R8" s="36"/>
      <x:c r="S8" s="36"/>
      <x:c r="T8" s="38" t="str">
        <x:v>{"entity_id":"MFE-76AC7D12F75224","source_field":"manufacturer","source_term":"AUDI","active_canonical_name":"Audi","effective_canonical_name":"Aud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" ht="18" customHeight="1">
      <x:c r="A9" s="36" t="str">
        <x:v>MFE-CA2CA2F04595F7</x:v>
      </x:c>
      <x:c r="B9" s="36" t="str">
        <x:v>built_in_catalog</x:v>
      </x:c>
      <x:c r="C9" s="36" t="str">
        <x:v>manufacturer</x:v>
      </x:c>
      <x:c r="D9" s="36" t="str">
        <x:v>AUDI AG</x:v>
      </x:c>
      <x:c r="E9" s="36" t="str">
        <x:v>Audi</x:v>
      </x:c>
      <x:c r="F9" s="36" t="str">
        <x:v>Audi</x:v>
      </x:c>
      <x:c r="G9" s="36" t="str">
        <x:v>vehicle_manufacturer</x:v>
      </x:c>
      <x:c r="H9" s="36" t="str">
        <x:v>vehicle_manufacturer</x:v>
      </x:c>
      <x:c r="I9" s="36" t="str">
        <x:v>use_entity</x:v>
      </x:c>
      <x:c r="J9" s="36" t="str">
        <x:v>use_entity</x:v>
      </x:c>
      <x:c r="K9" s="36" t="str">
        <x:v>exact</x:v>
      </x:c>
      <x:c r="L9" s="36" t="n">
        <x:v>0</x:v>
      </x:c>
      <x:c r="M9" s="38" t="str">
        <x:v>[]</x:v>
      </x:c>
      <x:c r="N9" s="38" t="str">
        <x:v>[]</x:v>
      </x:c>
      <x:c r="O9" s="42" t="b">
        <x:v>0</x:v>
      </x:c>
      <x:c r="P9" s="42" t="b">
        <x:v>0</x:v>
      </x:c>
      <x:c r="Q9" s="36"/>
      <x:c r="R9" s="36"/>
      <x:c r="S9" s="36"/>
      <x:c r="T9" s="38" t="str">
        <x:v>{"entity_id":"MFE-CA2CA2F04595F7","source_field":"manufacturer","source_term":"AUDI AG","active_canonical_name":"Audi","effective_canonical_name":"Aud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" ht="18" customHeight="1">
      <x:c r="A10" s="36" t="str">
        <x:v>MFE-59923D7586832A</x:v>
      </x:c>
      <x:c r="B10" s="36" t="str">
        <x:v>built_in_catalog</x:v>
      </x:c>
      <x:c r="C10" s="36" t="str">
        <x:v>manufacturer</x:v>
      </x:c>
      <x:c r="D10" s="36" t="str">
        <x:v>BAYERISCHE MOTOREN WERKE AG</x:v>
      </x:c>
      <x:c r="E10" s="36" t="str">
        <x:v>BMW</x:v>
      </x:c>
      <x:c r="F10" s="36" t="str">
        <x:v>BMW</x:v>
      </x:c>
      <x:c r="G10" s="36" t="str">
        <x:v>vehicle_manufacturer</x:v>
      </x:c>
      <x:c r="H10" s="36" t="str">
        <x:v>vehicle_manufacturer</x:v>
      </x:c>
      <x:c r="I10" s="36" t="str">
        <x:v>use_entity</x:v>
      </x:c>
      <x:c r="J10" s="36" t="str">
        <x:v>use_entity</x:v>
      </x:c>
      <x:c r="K10" s="36" t="str">
        <x:v>exact</x:v>
      </x:c>
      <x:c r="L10" s="36" t="n">
        <x:v>0</x:v>
      </x:c>
      <x:c r="M10" s="38" t="str">
        <x:v>[]</x:v>
      </x:c>
      <x:c r="N10" s="38" t="str">
        <x:v>[]</x:v>
      </x:c>
      <x:c r="O10" s="42" t="b">
        <x:v>0</x:v>
      </x:c>
      <x:c r="P10" s="42" t="b">
        <x:v>0</x:v>
      </x:c>
      <x:c r="Q10" s="36"/>
      <x:c r="R10" s="36"/>
      <x:c r="S10" s="36"/>
      <x:c r="T10" s="38" t="str">
        <x:v>{"entity_id":"MFE-59923D7586832A","source_field":"manufacturer","source_term":"BAYERISCHE MOTOREN WERKE AG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" ht="18" customHeight="1">
      <x:c r="A11" s="36" t="str">
        <x:v>MFE-493F2A9E53B0D1</x:v>
      </x:c>
      <x:c r="B11" s="36" t="str">
        <x:v>built_in_catalog</x:v>
      </x:c>
      <x:c r="C11" s="36" t="str">
        <x:v>brand</x:v>
      </x:c>
      <x:c r="D11" s="36" t="str">
        <x:v>BELARUS 820</x:v>
      </x:c>
      <x:c r="E11" s="36" t="str">
        <x:v>Belarus</x:v>
      </x:c>
      <x:c r="F11" s="36" t="str">
        <x:v>Belarus</x:v>
      </x:c>
      <x:c r="G11" s="36" t="str">
        <x:v>vehicle_manufacturer</x:v>
      </x:c>
      <x:c r="H11" s="36" t="str">
        <x:v>vehicle_manufacturer</x:v>
      </x:c>
      <x:c r="I11" s="36" t="str">
        <x:v>use_entity</x:v>
      </x:c>
      <x:c r="J11" s="36" t="str">
        <x:v>use_entity</x:v>
      </x:c>
      <x:c r="K11" s="36" t="str">
        <x:v>exact</x:v>
      </x:c>
      <x:c r="L11" s="36" t="n">
        <x:v>0</x:v>
      </x:c>
      <x:c r="M11" s="38" t="str">
        <x:v>[]</x:v>
      </x:c>
      <x:c r="N11" s="38" t="str">
        <x:v>[]</x:v>
      </x:c>
      <x:c r="O11" s="42" t="b">
        <x:v>0</x:v>
      </x:c>
      <x:c r="P11" s="42" t="b">
        <x:v>0</x:v>
      </x:c>
      <x:c r="Q11" s="36"/>
      <x:c r="R11" s="36"/>
      <x:c r="S11" s="36"/>
      <x:c r="T11" s="38" t="str">
        <x:v>{"entity_id":"MFE-493F2A9E53B0D1","source_field":"brand","source_term":"BELARUS 820","active_canonical_name":"Belarus","effective_canonical_name":"Belar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" ht="18" customHeight="1">
      <x:c r="A12" s="36" t="str">
        <x:v>MFE-089F1CDC3E7175</x:v>
      </x:c>
      <x:c r="B12" s="36" t="str">
        <x:v>built_in_catalog</x:v>
      </x:c>
      <x:c r="C12" s="36" t="str">
        <x:v>manufacturer</x:v>
      </x:c>
      <x:c r="D12" s="36" t="str">
        <x:v>BERCO PRODUKTION AB</x:v>
      </x:c>
      <x:c r="E12" s="36" t="str">
        <x:v>Berco</x:v>
      </x:c>
      <x:c r="F12" s="36" t="str">
        <x:v>Berco</x:v>
      </x:c>
      <x:c r="G12" s="36" t="str">
        <x:v>bodybuilder_converter</x:v>
      </x:c>
      <x:c r="H12" s="36" t="str">
        <x:v>bodybuilder_converter</x:v>
      </x:c>
      <x:c r="I12" s="36" t="str">
        <x:v>use_base_manufacturer</x:v>
      </x:c>
      <x:c r="J12" s="36" t="str">
        <x:v>use_base_manufacturer</x:v>
      </x:c>
      <x:c r="K12" s="36" t="str">
        <x:v>exact</x:v>
      </x:c>
      <x:c r="L12" s="36" t="n">
        <x:v>0</x:v>
      </x:c>
      <x:c r="M12" s="38" t="str">
        <x:v>[]</x:v>
      </x:c>
      <x:c r="N12" s="38" t="str">
        <x:v>[]</x:v>
      </x:c>
      <x:c r="O12" s="42" t="b">
        <x:v>0</x:v>
      </x:c>
      <x:c r="P12" s="42" t="b">
        <x:v>0</x:v>
      </x:c>
      <x:c r="Q12" s="36"/>
      <x:c r="R12" s="36"/>
      <x:c r="S12" s="36"/>
      <x:c r="T12" s="38" t="str">
        <x:v>{"entity_id":"MFE-089F1CDC3E7175","source_field":"manufacturer","source_term":"BERCO PRODUKTION AB","active_canonical_name":"Berco","effective_canonical_name":"Berco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3" ht="18" customHeight="1">
      <x:c r="A13" s="36" t="str">
        <x:v>MFE-BC4FBD95CB256D</x:v>
      </x:c>
      <x:c r="B13" s="36" t="str">
        <x:v>built_in_catalog</x:v>
      </x:c>
      <x:c r="C13" s="36" t="str">
        <x:v>brand</x:v>
      </x:c>
      <x:c r="D13" s="36" t="str">
        <x:v>BM VOLVO 861 DR</x:v>
      </x:c>
      <x:c r="E13" s="36" t="str">
        <x:v>Volvo BM</x:v>
      </x:c>
      <x:c r="F13" s="36" t="str">
        <x:v>Volvo BM</x:v>
      </x:c>
      <x:c r="G13" s="36" t="str">
        <x:v>vehicle_manufacturer</x:v>
      </x:c>
      <x:c r="H13" s="36" t="str">
        <x:v>vehicle_manufacturer</x:v>
      </x:c>
      <x:c r="I13" s="36" t="str">
        <x:v>use_entity</x:v>
      </x:c>
      <x:c r="J13" s="36" t="str">
        <x:v>use_entity</x:v>
      </x:c>
      <x:c r="K13" s="36" t="str">
        <x:v>exact</x:v>
      </x:c>
      <x:c r="L13" s="36" t="n">
        <x:v>0</x:v>
      </x:c>
      <x:c r="M13" s="38" t="str">
        <x:v>[]</x:v>
      </x:c>
      <x:c r="N13" s="38" t="str">
        <x:v>[]</x:v>
      </x:c>
      <x:c r="O13" s="42" t="b">
        <x:v>0</x:v>
      </x:c>
      <x:c r="P13" s="42" t="b">
        <x:v>0</x:v>
      </x:c>
      <x:c r="Q13" s="36"/>
      <x:c r="R13" s="36"/>
      <x:c r="S13" s="36"/>
      <x:c r="T13" s="38" t="str">
        <x:v>{"entity_id":"MFE-BC4FBD95CB256D","source_field":"brand","source_term":"BM VOLVO 861 DR","active_canonical_name":"Volvo BM","effective_canonical_name":"Volvo B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" ht="18" customHeight="1">
      <x:c r="A14" s="36" t="str">
        <x:v>MFE-E9DEB9601DD217</x:v>
      </x:c>
      <x:c r="B14" s="36" t="str">
        <x:v>active_database_override</x:v>
      </x:c>
      <x:c r="C14" s="36" t="str">
        <x:v>brand</x:v>
      </x:c>
      <x:c r="D14" s="36" t="str">
        <x:v>BMC</x:v>
      </x:c>
      <x:c r="E14" s="36" t="str">
        <x:v>BMC</x:v>
      </x:c>
      <x:c r="F14" s="36" t="str">
        <x:v>BMC</x:v>
      </x:c>
      <x:c r="G14" s="36" t="str">
        <x:v>vehicle_manufacturer</x:v>
      </x:c>
      <x:c r="H14" s="36" t="str">
        <x:v>vehicle_manufacturer</x:v>
      </x:c>
      <x:c r="I14" s="36" t="str">
        <x:v>use_entity</x:v>
      </x:c>
      <x:c r="J14" s="36" t="str">
        <x:v>use_entity</x:v>
      </x:c>
      <x:c r="K14" s="36" t="str">
        <x:v>whole_token_prefix</x:v>
      </x:c>
      <x:c r="L14" s="36" t="n">
        <x:v>0</x:v>
      </x:c>
      <x:c r="M14" s="38" t="str">
        <x:v>[]</x:v>
      </x:c>
      <x:c r="N14" s="38" t="str">
        <x:v>[]</x:v>
      </x:c>
      <x:c r="O14" s="42" t="b">
        <x:v>0</x:v>
      </x:c>
      <x:c r="P14" s="42" t="b">
        <x:v>0</x:v>
      </x:c>
      <x:c r="Q14" s="36"/>
      <x:c r="R14" s="36" t="n">
        <x:v>46239.752050324074</x:v>
      </x:c>
      <x:c r="S14" s="36" t="n">
        <x:v>46239.752050324074</x:v>
      </x:c>
      <x:c r="T14" s="38" t="str">
        <x:v>{"entity_id":"MFE-E9DEB9601DD217","source_field":"brand","source_term":"BMC","active_canonical_name":"BMC","effective_canonical_name":"BMC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5" ht="18" customHeight="1">
      <x:c r="A15" s="36" t="str">
        <x:v>MFE-5D8313D657FEC2</x:v>
      </x:c>
      <x:c r="B15" s="36" t="str">
        <x:v>built_in_catalog</x:v>
      </x:c>
      <x:c r="C15" s="36" t="str">
        <x:v>manufacturer</x:v>
      </x:c>
      <x:c r="D15" s="36" t="str">
        <x:v>BMW</x:v>
      </x:c>
      <x:c r="E15" s="36" t="str">
        <x:v>BMW</x:v>
      </x:c>
      <x:c r="F15" s="36" t="str">
        <x:v>BMW</x:v>
      </x:c>
      <x:c r="G15" s="36" t="str">
        <x:v>vehicle_manufacturer</x:v>
      </x:c>
      <x:c r="H15" s="36" t="str">
        <x:v>vehicle_manufacturer</x:v>
      </x:c>
      <x:c r="I15" s="36" t="str">
        <x:v>use_entity</x:v>
      </x:c>
      <x:c r="J15" s="36" t="str">
        <x:v>use_entity</x:v>
      </x:c>
      <x:c r="K15" s="36" t="str">
        <x:v>exact</x:v>
      </x:c>
      <x:c r="L15" s="36" t="n">
        <x:v>0</x:v>
      </x:c>
      <x:c r="M15" s="38" t="str">
        <x:v>[]</x:v>
      </x:c>
      <x:c r="N15" s="38" t="str">
        <x:v>[]</x:v>
      </x:c>
      <x:c r="O15" s="42" t="b">
        <x:v>0</x:v>
      </x:c>
      <x:c r="P15" s="42" t="b">
        <x:v>0</x:v>
      </x:c>
      <x:c r="Q15" s="36"/>
      <x:c r="R15" s="36"/>
      <x:c r="S15" s="36"/>
      <x:c r="T15" s="38" t="str">
        <x:v>{"entity_id":"MFE-5D8313D657FEC2","source_field":"manufacturer","source_term":"BMW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" ht="18" customHeight="1">
      <x:c r="A16" s="36" t="str">
        <x:v>MFE-DEBCD09722B651</x:v>
      </x:c>
      <x:c r="B16" s="36" t="str">
        <x:v>built_in_catalog</x:v>
      </x:c>
      <x:c r="C16" s="36" t="str">
        <x:v>manufacturer</x:v>
      </x:c>
      <x:c r="D16" s="36" t="str">
        <x:v>BMW AG</x:v>
      </x:c>
      <x:c r="E16" s="36" t="str">
        <x:v>BMW</x:v>
      </x:c>
      <x:c r="F16" s="36" t="str">
        <x:v>BMW</x:v>
      </x:c>
      <x:c r="G16" s="36" t="str">
        <x:v>vehicle_manufacturer</x:v>
      </x:c>
      <x:c r="H16" s="36" t="str">
        <x:v>vehicle_manufacturer</x:v>
      </x:c>
      <x:c r="I16" s="36" t="str">
        <x:v>use_entity</x:v>
      </x:c>
      <x:c r="J16" s="36" t="str">
        <x:v>use_entity</x:v>
      </x:c>
      <x:c r="K16" s="36" t="str">
        <x:v>exact</x:v>
      </x:c>
      <x:c r="L16" s="36" t="n">
        <x:v>0</x:v>
      </x:c>
      <x:c r="M16" s="38" t="str">
        <x:v>[]</x:v>
      </x:c>
      <x:c r="N16" s="38" t="str">
        <x:v>[]</x:v>
      </x:c>
      <x:c r="O16" s="42" t="b">
        <x:v>0</x:v>
      </x:c>
      <x:c r="P16" s="42" t="b">
        <x:v>0</x:v>
      </x:c>
      <x:c r="Q16" s="36"/>
      <x:c r="R16" s="36"/>
      <x:c r="S16" s="36"/>
      <x:c r="T16" s="38" t="str">
        <x:v>{"entity_id":"MFE-DEBCD09722B651","source_field":"manufacturer","source_term":"BMW AG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" ht="18" customHeight="1">
      <x:c r="A17" s="36" t="str">
        <x:v>MFE-0835529C51892F</x:v>
      </x:c>
      <x:c r="B17" s="36" t="str">
        <x:v>built_in_catalog</x:v>
      </x:c>
      <x:c r="C17" s="36" t="str">
        <x:v>brand</x:v>
      </x:c>
      <x:c r="D17" s="36" t="str">
        <x:v>BOJ SLÄP</x:v>
      </x:c>
      <x:c r="E17" s="36" t="str">
        <x:v>BOJ</x:v>
      </x:c>
      <x:c r="F17" s="36" t="str">
        <x:v>BOJ</x:v>
      </x:c>
      <x:c r="G17" s="36" t="str">
        <x:v>vehicle_manufacturer</x:v>
      </x:c>
      <x:c r="H17" s="36" t="str">
        <x:v>vehicle_manufacturer</x:v>
      </x:c>
      <x:c r="I17" s="36" t="str">
        <x:v>use_entity</x:v>
      </x:c>
      <x:c r="J17" s="36" t="str">
        <x:v>use_entity</x:v>
      </x:c>
      <x:c r="K17" s="36" t="str">
        <x:v>exact</x:v>
      </x:c>
      <x:c r="L17" s="36" t="n">
        <x:v>0</x:v>
      </x:c>
      <x:c r="M17" s="38" t="str">
        <x:v>[]</x:v>
      </x:c>
      <x:c r="N17" s="38" t="str">
        <x:v>[]</x:v>
      </x:c>
      <x:c r="O17" s="42" t="b">
        <x:v>0</x:v>
      </x:c>
      <x:c r="P17" s="42" t="b">
        <x:v>0</x:v>
      </x:c>
      <x:c r="Q17" s="36"/>
      <x:c r="R17" s="36"/>
      <x:c r="S17" s="36"/>
      <x:c r="T17" s="38" t="str">
        <x:v>{"entity_id":"MFE-0835529C51892F","source_field":"brand","source_term":"BOJ SLÄP","active_canonical_name":"BOJ","effective_canonical_name":"BOJ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" ht="18" customHeight="1">
      <x:c r="A18" s="36" t="str">
        <x:v>MFE-C7C7D251C1E93E</x:v>
      </x:c>
      <x:c r="B18" s="36" t="str">
        <x:v>built_in_catalog</x:v>
      </x:c>
      <x:c r="C18" s="36" t="str">
        <x:v>brand</x:v>
      </x:c>
      <x:c r="D18" s="36" t="str">
        <x:v>BOLINDER MUNKTELL VOLVO</x:v>
      </x:c>
      <x:c r="E18" s="36" t="str">
        <x:v>Volvo BM</x:v>
      </x:c>
      <x:c r="F18" s="36" t="str">
        <x:v>Volvo BM</x:v>
      </x:c>
      <x:c r="G18" s="36" t="str">
        <x:v>vehicle_manufacturer</x:v>
      </x:c>
      <x:c r="H18" s="36" t="str">
        <x:v>vehicle_manufacturer</x:v>
      </x:c>
      <x:c r="I18" s="36" t="str">
        <x:v>use_entity</x:v>
      </x:c>
      <x:c r="J18" s="36" t="str">
        <x:v>use_entity</x:v>
      </x:c>
      <x:c r="K18" s="36" t="str">
        <x:v>exact</x:v>
      </x:c>
      <x:c r="L18" s="36" t="n">
        <x:v>0</x:v>
      </x:c>
      <x:c r="M18" s="38" t="str">
        <x:v>[]</x:v>
      </x:c>
      <x:c r="N18" s="38" t="str">
        <x:v>[]</x:v>
      </x:c>
      <x:c r="O18" s="42" t="b">
        <x:v>0</x:v>
      </x:c>
      <x:c r="P18" s="42" t="b">
        <x:v>0</x:v>
      </x:c>
      <x:c r="Q18" s="36"/>
      <x:c r="R18" s="36"/>
      <x:c r="S18" s="36"/>
      <x:c r="T18" s="38" t="str">
        <x:v>{"entity_id":"MFE-C7C7D251C1E93E","source_field":"brand","source_term":"BOLINDER MUNKTELL VOLVO","active_canonical_name":"Volvo BM","effective_canonical_name":"Volvo B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" ht="18" customHeight="1">
      <x:c r="A19" s="36" t="str">
        <x:v>MFE-4B12AC89E5C15A</x:v>
      </x:c>
      <x:c r="B19" s="36" t="str">
        <x:v>built_in_catalog</x:v>
      </x:c>
      <x:c r="C19" s="36" t="str">
        <x:v>manufacturer</x:v>
      </x:c>
      <x:c r="D19" s="36" t="str">
        <x:v>BRABUS</x:v>
      </x:c>
      <x:c r="E19" s="36" t="str">
        <x:v>Brabus</x:v>
      </x:c>
      <x:c r="F19" s="36" t="str">
        <x:v>Brabus</x:v>
      </x:c>
      <x:c r="G19" s="36" t="str">
        <x:v>bodybuilder_converter</x:v>
      </x:c>
      <x:c r="H19" s="36" t="str">
        <x:v>bodybuilder_converter</x:v>
      </x:c>
      <x:c r="I19" s="36" t="str">
        <x:v>use_base_manufacturer</x:v>
      </x:c>
      <x:c r="J19" s="36" t="str">
        <x:v>use_base_manufacturer</x:v>
      </x:c>
      <x:c r="K19" s="36" t="str">
        <x:v>exact</x:v>
      </x:c>
      <x:c r="L19" s="36" t="n">
        <x:v>0</x:v>
      </x:c>
      <x:c r="M19" s="38" t="str">
        <x:v>[]</x:v>
      </x:c>
      <x:c r="N19" s="38" t="str">
        <x:v>[]</x:v>
      </x:c>
      <x:c r="O19" s="42" t="b">
        <x:v>0</x:v>
      </x:c>
      <x:c r="P19" s="42" t="b">
        <x:v>0</x:v>
      </x:c>
      <x:c r="Q19" s="36"/>
      <x:c r="R19" s="36"/>
      <x:c r="S19" s="36"/>
      <x:c r="T19" s="38" t="str">
        <x:v>{"entity_id":"MFE-4B12AC89E5C15A","source_field":"manufacturer","source_term":"BRABUS","active_canonical_name":"Brabus","effective_canonical_name":"Bra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20" ht="18" customHeight="1">
      <x:c r="A20" s="36" t="str">
        <x:v>MFE-09A38209BBAB90</x:v>
      </x:c>
      <x:c r="B20" s="36" t="str">
        <x:v>built_in_catalog</x:v>
      </x:c>
      <x:c r="C20" s="36" t="str">
        <x:v>manufacturer</x:v>
      </x:c>
      <x:c r="D20" s="36" t="str">
        <x:v>BRABUS GMBH</x:v>
      </x:c>
      <x:c r="E20" s="36" t="str">
        <x:v>Brabus</x:v>
      </x:c>
      <x:c r="F20" s="36" t="str">
        <x:v>Brabus</x:v>
      </x:c>
      <x:c r="G20" s="36" t="str">
        <x:v>bodybuilder_converter</x:v>
      </x:c>
      <x:c r="H20" s="36" t="str">
        <x:v>bodybuilder_converter</x:v>
      </x:c>
      <x:c r="I20" s="36" t="str">
        <x:v>use_base_manufacturer</x:v>
      </x:c>
      <x:c r="J20" s="36" t="str">
        <x:v>use_base_manufacturer</x:v>
      </x:c>
      <x:c r="K20" s="36" t="str">
        <x:v>exact</x:v>
      </x:c>
      <x:c r="L20" s="36" t="n">
        <x:v>0</x:v>
      </x:c>
      <x:c r="M20" s="38" t="str">
        <x:v>[]</x:v>
      </x:c>
      <x:c r="N20" s="38" t="str">
        <x:v>[]</x:v>
      </x:c>
      <x:c r="O20" s="42" t="b">
        <x:v>0</x:v>
      </x:c>
      <x:c r="P20" s="42" t="b">
        <x:v>0</x:v>
      </x:c>
      <x:c r="Q20" s="36"/>
      <x:c r="R20" s="36"/>
      <x:c r="S20" s="36"/>
      <x:c r="T20" s="38" t="str">
        <x:v>{"entity_id":"MFE-09A38209BBAB90","source_field":"manufacturer","source_term":"BRABUS GMBH","active_canonical_name":"Brabus","effective_canonical_name":"Bra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21" ht="18" customHeight="1">
      <x:c r="A21" s="36" t="str">
        <x:v>MFE-FEC7E7AE28F967</x:v>
      </x:c>
      <x:c r="B21" s="36" t="str">
        <x:v>built_in_catalog</x:v>
      </x:c>
      <x:c r="C21" s="36" t="str">
        <x:v>brand</x:v>
      </x:c>
      <x:c r="D21" s="36" t="str">
        <x:v>BRENDERUP</x:v>
      </x:c>
      <x:c r="E21" s="36" t="str">
        <x:v>Brenderup</x:v>
      </x:c>
      <x:c r="F21" s="36" t="str">
        <x:v>Brenderup</x:v>
      </x:c>
      <x:c r="G21" s="36" t="str">
        <x:v>vehicle_manufacturer</x:v>
      </x:c>
      <x:c r="H21" s="36" t="str">
        <x:v>vehicle_manufacturer</x:v>
      </x:c>
      <x:c r="I21" s="36" t="str">
        <x:v>use_entity</x:v>
      </x:c>
      <x:c r="J21" s="36" t="str">
        <x:v>use_entity</x:v>
      </x:c>
      <x:c r="K21" s="36" t="str">
        <x:v>exact</x:v>
      </x:c>
      <x:c r="L21" s="36" t="n">
        <x:v>0</x:v>
      </x:c>
      <x:c r="M21" s="38" t="str">
        <x:v>[]</x:v>
      </x:c>
      <x:c r="N21" s="38" t="str">
        <x:v>[]</x:v>
      </x:c>
      <x:c r="O21" s="42" t="b">
        <x:v>0</x:v>
      </x:c>
      <x:c r="P21" s="42" t="b">
        <x:v>0</x:v>
      </x:c>
      <x:c r="Q21" s="36"/>
      <x:c r="R21" s="36"/>
      <x:c r="S21" s="36"/>
      <x:c r="T21" s="38" t="str">
        <x:v>{"entity_id":"MFE-FEC7E7AE28F967","source_field":"brand","source_term":"BRENDERUP","active_canonical_name":"Brenderup","effective_canonical_name":"Brenderu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" ht="18" customHeight="1">
      <x:c r="A22" s="36" t="str">
        <x:v>MFE-2CA6F864C4F0CB</x:v>
      </x:c>
      <x:c r="B22" s="36" t="str">
        <x:v>built_in_catalog</x:v>
      </x:c>
      <x:c r="C22" s="36" t="str">
        <x:v>manufacturer</x:v>
      </x:c>
      <x:c r="D22" s="36" t="str">
        <x:v>BRENDERUP AB</x:v>
      </x:c>
      <x:c r="E22" s="36" t="str">
        <x:v>Brenderup</x:v>
      </x:c>
      <x:c r="F22" s="36" t="str">
        <x:v>Brenderup</x:v>
      </x:c>
      <x:c r="G22" s="36" t="str">
        <x:v>vehicle_manufacturer</x:v>
      </x:c>
      <x:c r="H22" s="36" t="str">
        <x:v>vehicle_manufacturer</x:v>
      </x:c>
      <x:c r="I22" s="36" t="str">
        <x:v>use_entity</x:v>
      </x:c>
      <x:c r="J22" s="36" t="str">
        <x:v>use_entity</x:v>
      </x:c>
      <x:c r="K22" s="36" t="str">
        <x:v>exact</x:v>
      </x:c>
      <x:c r="L22" s="36" t="n">
        <x:v>0</x:v>
      </x:c>
      <x:c r="M22" s="38" t="str">
        <x:v>[]</x:v>
      </x:c>
      <x:c r="N22" s="38" t="str">
        <x:v>[]</x:v>
      </x:c>
      <x:c r="O22" s="42" t="b">
        <x:v>0</x:v>
      </x:c>
      <x:c r="P22" s="42" t="b">
        <x:v>0</x:v>
      </x:c>
      <x:c r="Q22" s="36"/>
      <x:c r="R22" s="36"/>
      <x:c r="S22" s="36"/>
      <x:c r="T22" s="38" t="str">
        <x:v>{"entity_id":"MFE-2CA6F864C4F0CB","source_field":"manufacturer","source_term":"BRENDERUP AB","active_canonical_name":"Brenderup","effective_canonical_name":"Brenderu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" ht="18" customHeight="1">
      <x:c r="A23" s="36" t="str">
        <x:v>MFE-9504249897B689</x:v>
      </x:c>
      <x:c r="B23" s="36" t="str">
        <x:v>built_in_catalog</x:v>
      </x:c>
      <x:c r="C23" s="36" t="str">
        <x:v>brand</x:v>
      </x:c>
      <x:c r="D23" s="36" t="str">
        <x:v>BRP</x:v>
      </x:c>
      <x:c r="E23" s="36" t="str">
        <x:v>BRP</x:v>
      </x:c>
      <x:c r="F23" s="36" t="str">
        <x:v>BRP</x:v>
      </x:c>
      <x:c r="G23" s="36" t="str">
        <x:v>vehicle_manufacturer</x:v>
      </x:c>
      <x:c r="H23" s="36" t="str">
        <x:v>vehicle_manufacturer</x:v>
      </x:c>
      <x:c r="I23" s="36" t="str">
        <x:v>use_entity</x:v>
      </x:c>
      <x:c r="J23" s="36" t="str">
        <x:v>use_entity</x:v>
      </x:c>
      <x:c r="K23" s="36" t="str">
        <x:v>exact</x:v>
      </x:c>
      <x:c r="L23" s="36" t="n">
        <x:v>0</x:v>
      </x:c>
      <x:c r="M23" s="38" t="str">
        <x:v>[]</x:v>
      </x:c>
      <x:c r="N23" s="38" t="str">
        <x:v>[]</x:v>
      </x:c>
      <x:c r="O23" s="42" t="b">
        <x:v>0</x:v>
      </x:c>
      <x:c r="P23" s="42" t="b">
        <x:v>0</x:v>
      </x:c>
      <x:c r="Q23" s="36"/>
      <x:c r="R23" s="36"/>
      <x:c r="S23" s="36"/>
      <x:c r="T23" s="38" t="str">
        <x:v>{"entity_id":"MFE-9504249897B689","source_field":"brand","source_term":"BRP","active_canonical_name":"BRP","effective_canonical_name":"BR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4" ht="18" customHeight="1">
      <x:c r="A24" s="36" t="str">
        <x:v>MFE-58BE1D02CD07AA</x:v>
      </x:c>
      <x:c r="B24" s="36" t="str">
        <x:v>built_in_catalog</x:v>
      </x:c>
      <x:c r="C24" s="36" t="str">
        <x:v>brand</x:v>
      </x:c>
      <x:c r="D24" s="36" t="str">
        <x:v>BRÖDERNA FRANSSON 850</x:v>
      </x:c>
      <x:c r="E24" s="36" t="str">
        <x:v>Bröderna Fransson</x:v>
      </x:c>
      <x:c r="F24" s="36" t="str">
        <x:v>Bröderna Fransson</x:v>
      </x:c>
      <x:c r="G24" s="36" t="str">
        <x:v>vehicle_manufacturer</x:v>
      </x:c>
      <x:c r="H24" s="36" t="str">
        <x:v>vehicle_manufacturer</x:v>
      </x:c>
      <x:c r="I24" s="36" t="str">
        <x:v>use_entity</x:v>
      </x:c>
      <x:c r="J24" s="36" t="str">
        <x:v>use_entity</x:v>
      </x:c>
      <x:c r="K24" s="36" t="str">
        <x:v>exact</x:v>
      </x:c>
      <x:c r="L24" s="36" t="n">
        <x:v>0</x:v>
      </x:c>
      <x:c r="M24" s="38" t="str">
        <x:v>[]</x:v>
      </x:c>
      <x:c r="N24" s="38" t="str">
        <x:v>[]</x:v>
      </x:c>
      <x:c r="O24" s="42" t="b">
        <x:v>0</x:v>
      </x:c>
      <x:c r="P24" s="42" t="b">
        <x:v>0</x:v>
      </x:c>
      <x:c r="Q24" s="36"/>
      <x:c r="R24" s="36"/>
      <x:c r="S24" s="36"/>
      <x:c r="T24" s="38" t="str">
        <x:v>{"entity_id":"MFE-58BE1D02CD07AA","source_field":"brand","source_term":"BRÖDERNA FRANSSON 850","active_canonical_name":"Bröderna Fransson","effective_canonical_name":"Bröderna Frans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5" ht="18" customHeight="1">
      <x:c r="A25" s="36" t="str">
        <x:v>MFE-199D2C91D9EB65</x:v>
      </x:c>
      <x:c r="B25" s="36" t="str">
        <x:v>active_database_override</x:v>
      </x:c>
      <x:c r="C25" s="36" t="str">
        <x:v>brand</x:v>
      </x:c>
      <x:c r="D25" s="36" t="str">
        <x:v>BUICK</x:v>
      </x:c>
      <x:c r="E25" s="36" t="str">
        <x:v>Buick</x:v>
      </x:c>
      <x:c r="F25" s="36" t="str">
        <x:v>Buick</x:v>
      </x:c>
      <x:c r="G25" s="36" t="str">
        <x:v>vehicle_manufacturer</x:v>
      </x:c>
      <x:c r="H25" s="36" t="str">
        <x:v>vehicle_manufacturer</x:v>
      </x:c>
      <x:c r="I25" s="36" t="str">
        <x:v>use_entity</x:v>
      </x:c>
      <x:c r="J25" s="36" t="str">
        <x:v>use_entity</x:v>
      </x:c>
      <x:c r="K25" s="36" t="str">
        <x:v>whole_token_prefix</x:v>
      </x:c>
      <x:c r="L25" s="36" t="n">
        <x:v>0</x:v>
      </x:c>
      <x:c r="M25" s="38" t="str">
        <x:v>[]</x:v>
      </x:c>
      <x:c r="N25" s="38" t="str">
        <x:v>[]</x:v>
      </x:c>
      <x:c r="O25" s="42" t="b">
        <x:v>0</x:v>
      </x:c>
      <x:c r="P25" s="42" t="b">
        <x:v>0</x:v>
      </x:c>
      <x:c r="Q25" s="36"/>
      <x:c r="R25" s="36" t="n">
        <x:v>46239.752050324074</x:v>
      </x:c>
      <x:c r="S25" s="36" t="n">
        <x:v>46239.752050324074</x:v>
      </x:c>
      <x:c r="T25" s="38" t="str">
        <x:v>{"entity_id":"MFE-199D2C91D9EB65","source_field":"brand","source_term":"BUICK","active_canonical_name":"Buick","effective_canonical_name":"Buic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26" ht="18" customHeight="1">
      <x:c r="A26" s="36" t="str">
        <x:v>MFE-CB44AD6FACD59C</x:v>
      </x:c>
      <x:c r="B26" s="36" t="str">
        <x:v>built_in_catalog</x:v>
      </x:c>
      <x:c r="C26" s="36" t="str">
        <x:v>manufacturer</x:v>
      </x:c>
      <x:c r="D26" s="36" t="str">
        <x:v>BUS PRESTIGE</x:v>
      </x:c>
      <x:c r="E26" s="36" t="str">
        <x:v>Bus-Prestige</x:v>
      </x:c>
      <x:c r="F26" s="36" t="str">
        <x:v>Bus-Prestige</x:v>
      </x:c>
      <x:c r="G26" s="36" t="str">
        <x:v>bodybuilder_converter</x:v>
      </x:c>
      <x:c r="H26" s="36" t="str">
        <x:v>bodybuilder_converter</x:v>
      </x:c>
      <x:c r="I26" s="36" t="str">
        <x:v>use_base_manufacturer</x:v>
      </x:c>
      <x:c r="J26" s="36" t="str">
        <x:v>use_base_manufacturer</x:v>
      </x:c>
      <x:c r="K26" s="36" t="str">
        <x:v>exact</x:v>
      </x:c>
      <x:c r="L26" s="36" t="n">
        <x:v>0</x:v>
      </x:c>
      <x:c r="M26" s="38" t="str">
        <x:v>[]</x:v>
      </x:c>
      <x:c r="N26" s="38" t="str">
        <x:v>[]</x:v>
      </x:c>
      <x:c r="O26" s="42" t="b">
        <x:v>0</x:v>
      </x:c>
      <x:c r="P26" s="42" t="b">
        <x:v>0</x:v>
      </x:c>
      <x:c r="Q26" s="36"/>
      <x:c r="R26" s="36"/>
      <x:c r="S26" s="36"/>
      <x:c r="T26" s="38" t="str">
        <x:v>{"entity_id":"MFE-CB44AD6FACD59C","source_field":"manufacturer","source_term":"BUS PRESTIGE","active_canonical_name":"Bus-Prestige","effective_canonical_name":"Bus-Prestig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27" ht="18" customHeight="1">
      <x:c r="A27" s="36" t="str">
        <x:v>MFE-8D984B20ECA352</x:v>
      </x:c>
      <x:c r="B27" s="36" t="str">
        <x:v>built_in_catalog</x:v>
      </x:c>
      <x:c r="C27" s="36" t="str">
        <x:v>brand</x:v>
      </x:c>
      <x:c r="D27" s="36" t="str">
        <x:v>BUYANG FA D300</x:v>
      </x:c>
      <x:c r="E27" s="36" t="str">
        <x:v>Buyang</x:v>
      </x:c>
      <x:c r="F27" s="36" t="str">
        <x:v>Buyang</x:v>
      </x:c>
      <x:c r="G27" s="36" t="str">
        <x:v>vehicle_manufacturer</x:v>
      </x:c>
      <x:c r="H27" s="36" t="str">
        <x:v>vehicle_manufacturer</x:v>
      </x:c>
      <x:c r="I27" s="36" t="str">
        <x:v>use_entity</x:v>
      </x:c>
      <x:c r="J27" s="36" t="str">
        <x:v>use_entity</x:v>
      </x:c>
      <x:c r="K27" s="36" t="str">
        <x:v>exact</x:v>
      </x:c>
      <x:c r="L27" s="36" t="n">
        <x:v>0</x:v>
      </x:c>
      <x:c r="M27" s="38" t="str">
        <x:v>[]</x:v>
      </x:c>
      <x:c r="N27" s="38" t="str">
        <x:v>[]</x:v>
      </x:c>
      <x:c r="O27" s="42" t="b">
        <x:v>0</x:v>
      </x:c>
      <x:c r="P27" s="42" t="b">
        <x:v>0</x:v>
      </x:c>
      <x:c r="Q27" s="36"/>
      <x:c r="R27" s="36"/>
      <x:c r="S27" s="36"/>
      <x:c r="T27" s="38" t="str">
        <x:v>{"entity_id":"MFE-8D984B20ECA352","source_field":"brand","source_term":"BUYANG FA D300","active_canonical_name":"Buyang","effective_canonical_name":"Buyang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8" ht="18" customHeight="1">
      <x:c r="A28" s="36" t="str">
        <x:v>MFE-BCA81DE64500D7</x:v>
      </x:c>
      <x:c r="B28" s="36" t="str">
        <x:v>built_in_catalog</x:v>
      </x:c>
      <x:c r="C28" s="36" t="str">
        <x:v>brand</x:v>
      </x:c>
      <x:c r="D28" s="36" t="str">
        <x:v>CABBY NOVA 472 CT SLÄP</x:v>
      </x:c>
      <x:c r="E28" s="36" t="str">
        <x:v>Cabby</x:v>
      </x:c>
      <x:c r="F28" s="36" t="str">
        <x:v>Cabby</x:v>
      </x:c>
      <x:c r="G28" s="36" t="str">
        <x:v>vehicle_manufacturer</x:v>
      </x:c>
      <x:c r="H28" s="36" t="str">
        <x:v>vehicle_manufacturer</x:v>
      </x:c>
      <x:c r="I28" s="36" t="str">
        <x:v>use_entity</x:v>
      </x:c>
      <x:c r="J28" s="36" t="str">
        <x:v>use_entity</x:v>
      </x:c>
      <x:c r="K28" s="36" t="str">
        <x:v>exact</x:v>
      </x:c>
      <x:c r="L28" s="36" t="n">
        <x:v>0</x:v>
      </x:c>
      <x:c r="M28" s="38" t="str">
        <x:v>[]</x:v>
      </x:c>
      <x:c r="N28" s="38" t="str">
        <x:v>[]</x:v>
      </x:c>
      <x:c r="O28" s="42" t="b">
        <x:v>0</x:v>
      </x:c>
      <x:c r="P28" s="42" t="b">
        <x:v>0</x:v>
      </x:c>
      <x:c r="Q28" s="36"/>
      <x:c r="R28" s="36"/>
      <x:c r="S28" s="36"/>
      <x:c r="T28" s="38" t="str">
        <x:v>{"entity_id":"MFE-BCA81DE64500D7","source_field":"brand","source_term":"CABBY NOVA 472 CT SLÄP","active_canonical_name":"Cabby","effective_canonical_name":"Cabby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9" ht="18" customHeight="1">
      <x:c r="A29" s="36" t="str">
        <x:v>MFE-31F3817F57C66F</x:v>
      </x:c>
      <x:c r="B29" s="36" t="str">
        <x:v>built_in_catalog</x:v>
      </x:c>
      <x:c r="C29" s="36" t="str">
        <x:v>brand</x:v>
      </x:c>
      <x:c r="D29" s="36" t="str">
        <x:v>CASE 1490 4 WD</x:v>
      </x:c>
      <x:c r="E29" s="36" t="str">
        <x:v>Case</x:v>
      </x:c>
      <x:c r="F29" s="36" t="str">
        <x:v>Case</x:v>
      </x:c>
      <x:c r="G29" s="36" t="str">
        <x:v>vehicle_manufacturer</x:v>
      </x:c>
      <x:c r="H29" s="36" t="str">
        <x:v>vehicle_manufacturer</x:v>
      </x:c>
      <x:c r="I29" s="36" t="str">
        <x:v>use_entity</x:v>
      </x:c>
      <x:c r="J29" s="36" t="str">
        <x:v>use_entity</x:v>
      </x:c>
      <x:c r="K29" s="36" t="str">
        <x:v>exact</x:v>
      </x:c>
      <x:c r="L29" s="36" t="n">
        <x:v>0</x:v>
      </x:c>
      <x:c r="M29" s="38" t="str">
        <x:v>[]</x:v>
      </x:c>
      <x:c r="N29" s="38" t="str">
        <x:v>[]</x:v>
      </x:c>
      <x:c r="O29" s="42" t="b">
        <x:v>0</x:v>
      </x:c>
      <x:c r="P29" s="42" t="b">
        <x:v>0</x:v>
      </x:c>
      <x:c r="Q29" s="36"/>
      <x:c r="R29" s="36"/>
      <x:c r="S29" s="36"/>
      <x:c r="T29" s="38" t="str">
        <x:v>{"entity_id":"MFE-31F3817F57C66F","source_field":"brand","source_term":"CASE 1490 4 WD","active_canonical_name":"Case","effective_canonical_name":"Cas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0" ht="18" customHeight="1">
      <x:c r="A30" s="36" t="str">
        <x:v>MFE-40B86B0B9BBB17</x:v>
      </x:c>
      <x:c r="B30" s="36" t="str">
        <x:v>built_in_catalog</x:v>
      </x:c>
      <x:c r="C30" s="36" t="str">
        <x:v>brand</x:v>
      </x:c>
      <x:c r="D30" s="36" t="str">
        <x:v>CHEVROLET IMPALA</x:v>
      </x:c>
      <x:c r="E30" s="36" t="str">
        <x:v>Chevrolet</x:v>
      </x:c>
      <x:c r="F30" s="36" t="str">
        <x:v>Chevrolet</x:v>
      </x:c>
      <x:c r="G30" s="36" t="str">
        <x:v>vehicle_manufacturer</x:v>
      </x:c>
      <x:c r="H30" s="36" t="str">
        <x:v>vehicle_manufacturer</x:v>
      </x:c>
      <x:c r="I30" s="36" t="str">
        <x:v>use_entity</x:v>
      </x:c>
      <x:c r="J30" s="36" t="str">
        <x:v>use_entity</x:v>
      </x:c>
      <x:c r="K30" s="36" t="str">
        <x:v>exact</x:v>
      </x:c>
      <x:c r="L30" s="36" t="n">
        <x:v>0</x:v>
      </x:c>
      <x:c r="M30" s="38" t="str">
        <x:v>[]</x:v>
      </x:c>
      <x:c r="N30" s="38" t="str">
        <x:v>[]</x:v>
      </x:c>
      <x:c r="O30" s="42" t="b">
        <x:v>0</x:v>
      </x:c>
      <x:c r="P30" s="42" t="b">
        <x:v>0</x:v>
      </x:c>
      <x:c r="Q30" s="36"/>
      <x:c r="R30" s="36"/>
      <x:c r="S30" s="36"/>
      <x:c r="T30" s="38" t="str">
        <x:v>{"entity_id":"MFE-40B86B0B9BBB17","source_field":"brand","source_term":"CHEVROLET IMPALA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1" ht="18" customHeight="1">
      <x:c r="A31" s="36" t="str">
        <x:v>MFE-D87143B78DFEB8</x:v>
      </x:c>
      <x:c r="B31" s="36" t="str">
        <x:v>built_in_catalog</x:v>
      </x:c>
      <x:c r="C31" s="36" t="str">
        <x:v>brand</x:v>
      </x:c>
      <x:c r="D31" s="36" t="str">
        <x:v>CHEVROLET KL1T</x:v>
      </x:c>
      <x:c r="E31" s="36" t="str">
        <x:v>Chevrolet</x:v>
      </x:c>
      <x:c r="F31" s="36" t="str">
        <x:v>Chevrolet</x:v>
      </x:c>
      <x:c r="G31" s="36" t="str">
        <x:v>vehicle_manufacturer</x:v>
      </x:c>
      <x:c r="H31" s="36" t="str">
        <x:v>vehicle_manufacturer</x:v>
      </x:c>
      <x:c r="I31" s="36" t="str">
        <x:v>use_entity</x:v>
      </x:c>
      <x:c r="J31" s="36" t="str">
        <x:v>use_entity</x:v>
      </x:c>
      <x:c r="K31" s="36" t="str">
        <x:v>exact</x:v>
      </x:c>
      <x:c r="L31" s="36" t="n">
        <x:v>0</x:v>
      </x:c>
      <x:c r="M31" s="38" t="str">
        <x:v>[]</x:v>
      </x:c>
      <x:c r="N31" s="38" t="str">
        <x:v>[]</x:v>
      </x:c>
      <x:c r="O31" s="42" t="b">
        <x:v>0</x:v>
      </x:c>
      <x:c r="P31" s="42" t="b">
        <x:v>0</x:v>
      </x:c>
      <x:c r="Q31" s="36"/>
      <x:c r="R31" s="36"/>
      <x:c r="S31" s="36"/>
      <x:c r="T31" s="38" t="str">
        <x:v>{"entity_id":"MFE-D87143B78DFEB8","source_field":"brand","source_term":"CHEVROLET KL1T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2" ht="18" customHeight="1">
      <x:c r="A32" s="36" t="str">
        <x:v>MFE-895D4A944F68F8</x:v>
      </x:c>
      <x:c r="B32" s="36" t="str">
        <x:v>built_in_catalog</x:v>
      </x:c>
      <x:c r="C32" s="36" t="str">
        <x:v>brand</x:v>
      </x:c>
      <x:c r="D32" s="36" t="str">
        <x:v>CHEVROLET VAN</x:v>
      </x:c>
      <x:c r="E32" s="36" t="str">
        <x:v>Chevrolet</x:v>
      </x:c>
      <x:c r="F32" s="36" t="str">
        <x:v>Chevrolet</x:v>
      </x:c>
      <x:c r="G32" s="36" t="str">
        <x:v>vehicle_manufacturer</x:v>
      </x:c>
      <x:c r="H32" s="36" t="str">
        <x:v>vehicle_manufacturer</x:v>
      </x:c>
      <x:c r="I32" s="36" t="str">
        <x:v>use_entity</x:v>
      </x:c>
      <x:c r="J32" s="36" t="str">
        <x:v>use_entity</x:v>
      </x:c>
      <x:c r="K32" s="36" t="str">
        <x:v>exact</x:v>
      </x:c>
      <x:c r="L32" s="36" t="n">
        <x:v>0</x:v>
      </x:c>
      <x:c r="M32" s="38" t="str">
        <x:v>[]</x:v>
      </x:c>
      <x:c r="N32" s="38" t="str">
        <x:v>[]</x:v>
      </x:c>
      <x:c r="O32" s="42" t="b">
        <x:v>0</x:v>
      </x:c>
      <x:c r="P32" s="42" t="b">
        <x:v>0</x:v>
      </x:c>
      <x:c r="Q32" s="36"/>
      <x:c r="R32" s="36"/>
      <x:c r="S32" s="36"/>
      <x:c r="T32" s="38" t="str">
        <x:v>{"entity_id":"MFE-895D4A944F68F8","source_field":"brand","source_term":"CHEVROLET VAN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3" ht="18" customHeight="1">
      <x:c r="A33" s="36" t="str">
        <x:v>MFE-ED4F87B49282AD</x:v>
      </x:c>
      <x:c r="B33" s="36" t="str">
        <x:v>active_database_override</x:v>
      </x:c>
      <x:c r="C33" s="36" t="str">
        <x:v>brand</x:v>
      </x:c>
      <x:c r="D33" s="36" t="str">
        <x:v>CHRYSLER</x:v>
      </x:c>
      <x:c r="E33" s="36" t="str">
        <x:v>Chrysler</x:v>
      </x:c>
      <x:c r="F33" s="36" t="str">
        <x:v>Chrysler</x:v>
      </x:c>
      <x:c r="G33" s="36" t="str">
        <x:v>vehicle_manufacturer</x:v>
      </x:c>
      <x:c r="H33" s="36" t="str">
        <x:v>vehicle_manufacturer</x:v>
      </x:c>
      <x:c r="I33" s="36" t="str">
        <x:v>use_entity</x:v>
      </x:c>
      <x:c r="J33" s="36" t="str">
        <x:v>use_entity</x:v>
      </x:c>
      <x:c r="K33" s="36" t="str">
        <x:v>whole_token_prefix</x:v>
      </x:c>
      <x:c r="L33" s="36" t="n">
        <x:v>0</x:v>
      </x:c>
      <x:c r="M33" s="38" t="str">
        <x:v>[]</x:v>
      </x:c>
      <x:c r="N33" s="38" t="str">
        <x:v>[]</x:v>
      </x:c>
      <x:c r="O33" s="42" t="b">
        <x:v>0</x:v>
      </x:c>
      <x:c r="P33" s="42" t="b">
        <x:v>0</x:v>
      </x:c>
      <x:c r="Q33" s="36"/>
      <x:c r="R33" s="36" t="n">
        <x:v>46239.752050324074</x:v>
      </x:c>
      <x:c r="S33" s="36" t="n">
        <x:v>46239.752050324074</x:v>
      </x:c>
      <x:c r="T33" s="38" t="str">
        <x:v>{"entity_id":"MFE-ED4F87B49282AD","source_field":"brand","source_term":"CHRYSLER","active_canonical_name":"Chrysler","effective_canonical_name":"Chrys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34" ht="18" customHeight="1">
      <x:c r="A34" s="36" t="str">
        <x:v>MFE-062573713DBBB9</x:v>
      </x:c>
      <x:c r="B34" s="36" t="str">
        <x:v>built_in_catalog</x:v>
      </x:c>
      <x:c r="C34" s="36" t="str">
        <x:v>brand</x:v>
      </x:c>
      <x:c r="D34" s="36" t="str">
        <x:v>CI SMÅLANDIA 450</x:v>
      </x:c>
      <x:c r="E34" s="36" t="str">
        <x:v>CI Smålandia</x:v>
      </x:c>
      <x:c r="F34" s="36" t="str">
        <x:v>CI Smålandia</x:v>
      </x:c>
      <x:c r="G34" s="36" t="str">
        <x:v>vehicle_manufacturer</x:v>
      </x:c>
      <x:c r="H34" s="36" t="str">
        <x:v>vehicle_manufacturer</x:v>
      </x:c>
      <x:c r="I34" s="36" t="str">
        <x:v>use_entity</x:v>
      </x:c>
      <x:c r="J34" s="36" t="str">
        <x:v>use_entity</x:v>
      </x:c>
      <x:c r="K34" s="36" t="str">
        <x:v>exact</x:v>
      </x:c>
      <x:c r="L34" s="36" t="n">
        <x:v>0</x:v>
      </x:c>
      <x:c r="M34" s="38" t="str">
        <x:v>[]</x:v>
      </x:c>
      <x:c r="N34" s="38" t="str">
        <x:v>[]</x:v>
      </x:c>
      <x:c r="O34" s="42" t="b">
        <x:v>0</x:v>
      </x:c>
      <x:c r="P34" s="42" t="b">
        <x:v>0</x:v>
      </x:c>
      <x:c r="Q34" s="36"/>
      <x:c r="R34" s="36"/>
      <x:c r="S34" s="36"/>
      <x:c r="T34" s="38" t="str">
        <x:v>{"entity_id":"MFE-062573713DBBB9","source_field":"brand","source_term":"CI SMÅLANDIA 450","active_canonical_name":"CI Smålandia","effective_canonical_name":"CI Småland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5" ht="18" customHeight="1">
      <x:c r="A35" s="36" t="str">
        <x:v>MFE-213AA27EE8F28F</x:v>
      </x:c>
      <x:c r="B35" s="36" t="str">
        <x:v>built_in_catalog</x:v>
      </x:c>
      <x:c r="C35" s="36" t="str">
        <x:v>manufacturer</x:v>
      </x:c>
      <x:c r="D35" s="36" t="str">
        <x:v>CITROEN</x:v>
      </x:c>
      <x:c r="E35" s="36" t="str">
        <x:v>Citroën</x:v>
      </x:c>
      <x:c r="F35" s="36" t="str">
        <x:v>Citroën</x:v>
      </x:c>
      <x:c r="G35" s="36" t="str">
        <x:v>vehicle_manufacturer</x:v>
      </x:c>
      <x:c r="H35" s="36" t="str">
        <x:v>vehicle_manufacturer</x:v>
      </x:c>
      <x:c r="I35" s="36" t="str">
        <x:v>use_entity</x:v>
      </x:c>
      <x:c r="J35" s="36" t="str">
        <x:v>use_entity</x:v>
      </x:c>
      <x:c r="K35" s="36" t="str">
        <x:v>exact</x:v>
      </x:c>
      <x:c r="L35" s="36" t="n">
        <x:v>0</x:v>
      </x:c>
      <x:c r="M35" s="38" t="str">
        <x:v>[]</x:v>
      </x:c>
      <x:c r="N35" s="38" t="str">
        <x:v>[]</x:v>
      </x:c>
      <x:c r="O35" s="42" t="b">
        <x:v>0</x:v>
      </x:c>
      <x:c r="P35" s="42" t="b">
        <x:v>0</x:v>
      </x:c>
      <x:c r="Q35" s="36"/>
      <x:c r="R35" s="36"/>
      <x:c r="S35" s="36"/>
      <x:c r="T35" s="38" t="str">
        <x:v>{"entity_id":"MFE-213AA27EE8F28F","source_field":"manufacturer","source_term":"CITROEN","active_canonical_name":"Citroën","effective_canonical_name":"Citroë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6" ht="18" customHeight="1">
      <x:c r="A36" s="36" t="str">
        <x:v>MFE-B0C7D3AF419F78</x:v>
      </x:c>
      <x:c r="B36" s="36" t="str">
        <x:v>built_in_catalog</x:v>
      </x:c>
      <x:c r="C36" s="36" t="str">
        <x:v>manufacturer</x:v>
      </x:c>
      <x:c r="D36" s="36" t="str">
        <x:v>CITROËN</x:v>
      </x:c>
      <x:c r="E36" s="36" t="str">
        <x:v>Citroën</x:v>
      </x:c>
      <x:c r="F36" s="36" t="str">
        <x:v>Citroën</x:v>
      </x:c>
      <x:c r="G36" s="36" t="str">
        <x:v>vehicle_manufacturer</x:v>
      </x:c>
      <x:c r="H36" s="36" t="str">
        <x:v>vehicle_manufacturer</x:v>
      </x:c>
      <x:c r="I36" s="36" t="str">
        <x:v>use_entity</x:v>
      </x:c>
      <x:c r="J36" s="36" t="str">
        <x:v>use_entity</x:v>
      </x:c>
      <x:c r="K36" s="36" t="str">
        <x:v>exact</x:v>
      </x:c>
      <x:c r="L36" s="36" t="n">
        <x:v>0</x:v>
      </x:c>
      <x:c r="M36" s="38" t="str">
        <x:v>[]</x:v>
      </x:c>
      <x:c r="N36" s="38" t="str">
        <x:v>[]</x:v>
      </x:c>
      <x:c r="O36" s="42" t="b">
        <x:v>0</x:v>
      </x:c>
      <x:c r="P36" s="42" t="b">
        <x:v>0</x:v>
      </x:c>
      <x:c r="Q36" s="36"/>
      <x:c r="R36" s="36"/>
      <x:c r="S36" s="36"/>
      <x:c r="T36" s="38" t="str">
        <x:v>{"entity_id":"MFE-B0C7D3AF419F78","source_field":"manufacturer","source_term":"CITROËN","active_canonical_name":"Citroën","effective_canonical_name":"Citroë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7" ht="18" customHeight="1">
      <x:c r="A37" s="36" t="str">
        <x:v>MFE-04E2D7EE677E83</x:v>
      </x:c>
      <x:c r="B37" s="36" t="str">
        <x:v>built_in_catalog</x:v>
      </x:c>
      <x:c r="C37" s="36" t="str">
        <x:v>brand</x:v>
      </x:c>
      <x:c r="D37" s="36" t="str">
        <x:v>CLUB CAR DS</x:v>
      </x:c>
      <x:c r="E37" s="36" t="str">
        <x:v>Club Car</x:v>
      </x:c>
      <x:c r="F37" s="36" t="str">
        <x:v>Club Car</x:v>
      </x:c>
      <x:c r="G37" s="36" t="str">
        <x:v>vehicle_manufacturer</x:v>
      </x:c>
      <x:c r="H37" s="36" t="str">
        <x:v>vehicle_manufacturer</x:v>
      </x:c>
      <x:c r="I37" s="36" t="str">
        <x:v>use_entity</x:v>
      </x:c>
      <x:c r="J37" s="36" t="str">
        <x:v>use_entity</x:v>
      </x:c>
      <x:c r="K37" s="36" t="str">
        <x:v>exact</x:v>
      </x:c>
      <x:c r="L37" s="36" t="n">
        <x:v>0</x:v>
      </x:c>
      <x:c r="M37" s="38" t="str">
        <x:v>[]</x:v>
      </x:c>
      <x:c r="N37" s="38" t="str">
        <x:v>[]</x:v>
      </x:c>
      <x:c r="O37" s="42" t="b">
        <x:v>0</x:v>
      </x:c>
      <x:c r="P37" s="42" t="b">
        <x:v>0</x:v>
      </x:c>
      <x:c r="Q37" s="36"/>
      <x:c r="R37" s="36"/>
      <x:c r="S37" s="36"/>
      <x:c r="T37" s="38" t="str">
        <x:v>{"entity_id":"MFE-04E2D7EE677E83","source_field":"brand","source_term":"CLUB CAR DS","active_canonical_name":"Club Car","effective_canonical_name":"Club C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8" ht="18" customHeight="1">
      <x:c r="A38" s="36" t="str">
        <x:v>MFE-80C470898AD08F</x:v>
      </x:c>
      <x:c r="B38" s="36" t="str">
        <x:v>built_in_catalog</x:v>
      </x:c>
      <x:c r="C38" s="36" t="str">
        <x:v>brand</x:v>
      </x:c>
      <x:c r="D38" s="36" t="str">
        <x:v>CO SLÄPET 2000 BTR</x:v>
      </x:c>
      <x:c r="E38" s="36" t="str">
        <x:v>CO-Släpet</x:v>
      </x:c>
      <x:c r="F38" s="36" t="str">
        <x:v>CO-Släpet</x:v>
      </x:c>
      <x:c r="G38" s="36" t="str">
        <x:v>vehicle_manufacturer</x:v>
      </x:c>
      <x:c r="H38" s="36" t="str">
        <x:v>vehicle_manufacturer</x:v>
      </x:c>
      <x:c r="I38" s="36" t="str">
        <x:v>use_entity</x:v>
      </x:c>
      <x:c r="J38" s="36" t="str">
        <x:v>use_entity</x:v>
      </x:c>
      <x:c r="K38" s="36" t="str">
        <x:v>exact</x:v>
      </x:c>
      <x:c r="L38" s="36" t="n">
        <x:v>0</x:v>
      </x:c>
      <x:c r="M38" s="38" t="str">
        <x:v>[]</x:v>
      </x:c>
      <x:c r="N38" s="38" t="str">
        <x:v>[]</x:v>
      </x:c>
      <x:c r="O38" s="42" t="b">
        <x:v>0</x:v>
      </x:c>
      <x:c r="P38" s="42" t="b">
        <x:v>0</x:v>
      </x:c>
      <x:c r="Q38" s="36"/>
      <x:c r="R38" s="36"/>
      <x:c r="S38" s="36"/>
      <x:c r="T38" s="38" t="str">
        <x:v>{"entity_id":"MFE-80C470898AD08F","source_field":"brand","source_term":"CO SLÄPET 2000 BTR","active_canonical_name":"CO-Släpet","effective_canonical_name":"CO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39" ht="18" customHeight="1">
      <x:c r="A39" s="36" t="str">
        <x:v>MFE-02F345E4D27B51</x:v>
      </x:c>
      <x:c r="B39" s="36" t="str">
        <x:v>built_in_catalog</x:v>
      </x:c>
      <x:c r="C39" s="36" t="str">
        <x:v>brand</x:v>
      </x:c>
      <x:c r="D39" s="36" t="str">
        <x:v>CO SLÄPET 750 JUBI</x:v>
      </x:c>
      <x:c r="E39" s="36" t="str">
        <x:v>CO-Släpet</x:v>
      </x:c>
      <x:c r="F39" s="36" t="str">
        <x:v>CO-Släpet</x:v>
      </x:c>
      <x:c r="G39" s="36" t="str">
        <x:v>vehicle_manufacturer</x:v>
      </x:c>
      <x:c r="H39" s="36" t="str">
        <x:v>vehicle_manufacturer</x:v>
      </x:c>
      <x:c r="I39" s="36" t="str">
        <x:v>use_entity</x:v>
      </x:c>
      <x:c r="J39" s="36" t="str">
        <x:v>use_entity</x:v>
      </x:c>
      <x:c r="K39" s="36" t="str">
        <x:v>exact</x:v>
      </x:c>
      <x:c r="L39" s="36" t="n">
        <x:v>0</x:v>
      </x:c>
      <x:c r="M39" s="38" t="str">
        <x:v>[]</x:v>
      </x:c>
      <x:c r="N39" s="38" t="str">
        <x:v>[]</x:v>
      </x:c>
      <x:c r="O39" s="42" t="b">
        <x:v>0</x:v>
      </x:c>
      <x:c r="P39" s="42" t="b">
        <x:v>0</x:v>
      </x:c>
      <x:c r="Q39" s="36"/>
      <x:c r="R39" s="36"/>
      <x:c r="S39" s="36"/>
      <x:c r="T39" s="38" t="str">
        <x:v>{"entity_id":"MFE-02F345E4D27B51","source_field":"brand","source_term":"CO SLÄPET 750 JUBI","active_canonical_name":"CO-Släpet","effective_canonical_name":"CO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0" ht="18" customHeight="1">
      <x:c r="A40" s="36" t="str">
        <x:v>MFE-B1E0B47F0A881D</x:v>
      </x:c>
      <x:c r="B40" s="36" t="str">
        <x:v>active_database_override</x:v>
      </x:c>
      <x:c r="C40" s="36" t="str">
        <x:v>brand</x:v>
      </x:c>
      <x:c r="D40" s="36" t="str">
        <x:v>DACIA</x:v>
      </x:c>
      <x:c r="E40" s="36" t="str">
        <x:v>Dacia</x:v>
      </x:c>
      <x:c r="F40" s="36" t="str">
        <x:v>Dacia</x:v>
      </x:c>
      <x:c r="G40" s="36" t="str">
        <x:v>vehicle_manufacturer</x:v>
      </x:c>
      <x:c r="H40" s="36" t="str">
        <x:v>vehicle_manufacturer</x:v>
      </x:c>
      <x:c r="I40" s="36" t="str">
        <x:v>use_entity</x:v>
      </x:c>
      <x:c r="J40" s="36" t="str">
        <x:v>use_entity</x:v>
      </x:c>
      <x:c r="K40" s="36" t="str">
        <x:v>whole_token_prefix</x:v>
      </x:c>
      <x:c r="L40" s="36" t="n">
        <x:v>0</x:v>
      </x:c>
      <x:c r="M40" s="38" t="str">
        <x:v>[]</x:v>
      </x:c>
      <x:c r="N40" s="38" t="str">
        <x:v>[]</x:v>
      </x:c>
      <x:c r="O40" s="42" t="b">
        <x:v>0</x:v>
      </x:c>
      <x:c r="P40" s="42" t="b">
        <x:v>0</x:v>
      </x:c>
      <x:c r="Q40" s="36"/>
      <x:c r="R40" s="36" t="n">
        <x:v>46239.752050324074</x:v>
      </x:c>
      <x:c r="S40" s="36" t="n">
        <x:v>46239.752050324074</x:v>
      </x:c>
      <x:c r="T40" s="38" t="str">
        <x:v>{"entity_id":"MFE-B1E0B47F0A881D","source_field":"brand","source_term":"DACIA","active_canonical_name":"Dacia","effective_canonical_name":"Dac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41" ht="18" customHeight="1">
      <x:c r="A41" s="36" t="str">
        <x:v>MFE-2CC0D5087A786C</x:v>
      </x:c>
      <x:c r="B41" s="36" t="str">
        <x:v>built_in_catalog</x:v>
      </x:c>
      <x:c r="C41" s="36" t="str">
        <x:v>manufacturer</x:v>
      </x:c>
      <x:c r="D41" s="36" t="str">
        <x:v>DAF</x:v>
      </x:c>
      <x:c r="E41" s="36" t="str">
        <x:v>DAF</x:v>
      </x:c>
      <x:c r="F41" s="36" t="str">
        <x:v>DAF</x:v>
      </x:c>
      <x:c r="G41" s="36" t="str">
        <x:v>vehicle_manufacturer</x:v>
      </x:c>
      <x:c r="H41" s="36" t="str">
        <x:v>vehicle_manufacturer</x:v>
      </x:c>
      <x:c r="I41" s="36" t="str">
        <x:v>use_entity</x:v>
      </x:c>
      <x:c r="J41" s="36" t="str">
        <x:v>use_entity</x:v>
      </x:c>
      <x:c r="K41" s="36" t="str">
        <x:v>exact</x:v>
      </x:c>
      <x:c r="L41" s="36" t="n">
        <x:v>0</x:v>
      </x:c>
      <x:c r="M41" s="38" t="str">
        <x:v>[]</x:v>
      </x:c>
      <x:c r="N41" s="38" t="str">
        <x:v>[]</x:v>
      </x:c>
      <x:c r="O41" s="42" t="b">
        <x:v>0</x:v>
      </x:c>
      <x:c r="P41" s="42" t="b">
        <x:v>0</x:v>
      </x:c>
      <x:c r="Q41" s="36"/>
      <x:c r="R41" s="36"/>
      <x:c r="S41" s="36"/>
      <x:c r="T41" s="38" t="str">
        <x:v>{"entity_id":"MFE-2CC0D5087A786C","source_field":"manufacturer","source_term":"DAF","active_canonical_name":"DAF","effective_canonical_name":"DAF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2" ht="18" customHeight="1">
      <x:c r="A42" s="36" t="str">
        <x:v>MFE-6DAE87F38D439B</x:v>
      </x:c>
      <x:c r="B42" s="36" t="str">
        <x:v>built_in_catalog</x:v>
      </x:c>
      <x:c r="C42" s="36" t="str">
        <x:v>manufacturer</x:v>
      </x:c>
      <x:c r="D42" s="36" t="str">
        <x:v>DAF TRUCKS NV</x:v>
      </x:c>
      <x:c r="E42" s="36" t="str">
        <x:v>DAF</x:v>
      </x:c>
      <x:c r="F42" s="36" t="str">
        <x:v>DAF</x:v>
      </x:c>
      <x:c r="G42" s="36" t="str">
        <x:v>vehicle_manufacturer</x:v>
      </x:c>
      <x:c r="H42" s="36" t="str">
        <x:v>vehicle_manufacturer</x:v>
      </x:c>
      <x:c r="I42" s="36" t="str">
        <x:v>use_entity</x:v>
      </x:c>
      <x:c r="J42" s="36" t="str">
        <x:v>use_entity</x:v>
      </x:c>
      <x:c r="K42" s="36" t="str">
        <x:v>exact</x:v>
      </x:c>
      <x:c r="L42" s="36" t="n">
        <x:v>0</x:v>
      </x:c>
      <x:c r="M42" s="38" t="str">
        <x:v>[]</x:v>
      </x:c>
      <x:c r="N42" s="38" t="str">
        <x:v>[]</x:v>
      </x:c>
      <x:c r="O42" s="42" t="b">
        <x:v>0</x:v>
      </x:c>
      <x:c r="P42" s="42" t="b">
        <x:v>0</x:v>
      </x:c>
      <x:c r="Q42" s="36"/>
      <x:c r="R42" s="36"/>
      <x:c r="S42" s="36"/>
      <x:c r="T42" s="38" t="str">
        <x:v>{"entity_id":"MFE-6DAE87F38D439B","source_field":"manufacturer","source_term":"DAF TRUCKS NV","active_canonical_name":"DAF","effective_canonical_name":"DAF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3" ht="18" customHeight="1">
      <x:c r="A43" s="36" t="str">
        <x:v>MFE-D719974B26F6F0</x:v>
      </x:c>
      <x:c r="B43" s="36" t="str">
        <x:v>built_in_catalog</x:v>
      </x:c>
      <x:c r="C43" s="36" t="str">
        <x:v>manufacturer</x:v>
      </x:c>
      <x:c r="D43" s="36" t="str">
        <x:v>DAIMLER AG</x:v>
      </x:c>
      <x:c r="E43" s="36" t="str">
        <x:v>Mercedes-Benz</x:v>
      </x:c>
      <x:c r="F43" s="36" t="str">
        <x:v>Mercedes-Benz</x:v>
      </x:c>
      <x:c r="G43" s="36" t="str">
        <x:v>vehicle_manufacturer</x:v>
      </x:c>
      <x:c r="H43" s="36" t="str">
        <x:v>vehicle_manufacturer</x:v>
      </x:c>
      <x:c r="I43" s="36" t="str">
        <x:v>use_entity</x:v>
      </x:c>
      <x:c r="J43" s="36" t="str">
        <x:v>use_entity</x:v>
      </x:c>
      <x:c r="K43" s="36" t="str">
        <x:v>exact</x:v>
      </x:c>
      <x:c r="L43" s="36" t="n">
        <x:v>0</x:v>
      </x:c>
      <x:c r="M43" s="38" t="str">
        <x:v>[]</x:v>
      </x:c>
      <x:c r="N43" s="38" t="str">
        <x:v>[]</x:v>
      </x:c>
      <x:c r="O43" s="42" t="b">
        <x:v>0</x:v>
      </x:c>
      <x:c r="P43" s="42" t="b">
        <x:v>0</x:v>
      </x:c>
      <x:c r="Q43" s="36"/>
      <x:c r="R43" s="36"/>
      <x:c r="S43" s="36"/>
      <x:c r="T43" s="38" t="str">
        <x:v>{"entity_id":"MFE-D719974B26F6F0","source_field":"manufacturer","source_term":"DAIMLER AG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4" ht="18" customHeight="1">
      <x:c r="A44" s="36" t="str">
        <x:v>MFE-12CCF07FDE75EC</x:v>
      </x:c>
      <x:c r="B44" s="36" t="str">
        <x:v>built_in_catalog</x:v>
      </x:c>
      <x:c r="C44" s="36" t="str">
        <x:v>manufacturer</x:v>
      </x:c>
      <x:c r="D44" s="36" t="str">
        <x:v>DANGEL</x:v>
      </x:c>
      <x:c r="E44" s="36" t="str">
        <x:v>Dangel</x:v>
      </x:c>
      <x:c r="F44" s="36" t="str">
        <x:v>Dangel</x:v>
      </x:c>
      <x:c r="G44" s="36" t="str">
        <x:v>bodybuilder_converter</x:v>
      </x:c>
      <x:c r="H44" s="36" t="str">
        <x:v>bodybuilder_converter</x:v>
      </x:c>
      <x:c r="I44" s="36" t="str">
        <x:v>use_base_manufacturer</x:v>
      </x:c>
      <x:c r="J44" s="36" t="str">
        <x:v>use_base_manufacturer</x:v>
      </x:c>
      <x:c r="K44" s="36" t="str">
        <x:v>exact</x:v>
      </x:c>
      <x:c r="L44" s="36" t="n">
        <x:v>0</x:v>
      </x:c>
      <x:c r="M44" s="38" t="str">
        <x:v>[]</x:v>
      </x:c>
      <x:c r="N44" s="38" t="str">
        <x:v>[]</x:v>
      </x:c>
      <x:c r="O44" s="42" t="b">
        <x:v>0</x:v>
      </x:c>
      <x:c r="P44" s="42" t="b">
        <x:v>0</x:v>
      </x:c>
      <x:c r="Q44" s="36"/>
      <x:c r="R44" s="36"/>
      <x:c r="S44" s="36"/>
      <x:c r="T44" s="38" t="str">
        <x:v>{"entity_id":"MFE-12CCF07FDE75EC","source_field":"manufacturer","source_term":"DANGEL","active_canonical_name":"Dangel","effective_canonical_name":"Dangel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45" ht="18" customHeight="1">
      <x:c r="A45" s="36" t="str">
        <x:v>MFE-45DD43F880C601</x:v>
      </x:c>
      <x:c r="B45" s="36" t="str">
        <x:v>built_in_catalog</x:v>
      </x:c>
      <x:c r="C45" s="36" t="str">
        <x:v>manufacturer</x:v>
      </x:c>
      <x:c r="D45" s="36" t="str">
        <x:v>DR ING H C F PORSCHE AG</x:v>
      </x:c>
      <x:c r="E45" s="36" t="str">
        <x:v>Porsche</x:v>
      </x:c>
      <x:c r="F45" s="36" t="str">
        <x:v>Porsche</x:v>
      </x:c>
      <x:c r="G45" s="36" t="str">
        <x:v>vehicle_manufacturer</x:v>
      </x:c>
      <x:c r="H45" s="36" t="str">
        <x:v>vehicle_manufacturer</x:v>
      </x:c>
      <x:c r="I45" s="36" t="str">
        <x:v>use_entity</x:v>
      </x:c>
      <x:c r="J45" s="36" t="str">
        <x:v>use_entity</x:v>
      </x:c>
      <x:c r="K45" s="36" t="str">
        <x:v>exact</x:v>
      </x:c>
      <x:c r="L45" s="36" t="n">
        <x:v>0</x:v>
      </x:c>
      <x:c r="M45" s="38" t="str">
        <x:v>[]</x:v>
      </x:c>
      <x:c r="N45" s="38" t="str">
        <x:v>[]</x:v>
      </x:c>
      <x:c r="O45" s="42" t="b">
        <x:v>0</x:v>
      </x:c>
      <x:c r="P45" s="42" t="b">
        <x:v>0</x:v>
      </x:c>
      <x:c r="Q45" s="36"/>
      <x:c r="R45" s="36"/>
      <x:c r="S45" s="36"/>
      <x:c r="T45" s="38" t="str">
        <x:v>{"entity_id":"MFE-45DD43F880C601","source_field":"manufacturer","source_term":"DR ING H C F PORSCHE AG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6" ht="18" customHeight="1">
      <x:c r="A46" s="36" t="str">
        <x:v>MFE-05203FE4E772CB</x:v>
      </x:c>
      <x:c r="B46" s="36" t="str">
        <x:v>built_in_catalog</x:v>
      </x:c>
      <x:c r="C46" s="36" t="str">
        <x:v>brand</x:v>
      </x:c>
      <x:c r="D46" s="36" t="str">
        <x:v>DUCATI SUPERSPORT 900</x:v>
      </x:c>
      <x:c r="E46" s="36" t="str">
        <x:v>Ducati</x:v>
      </x:c>
      <x:c r="F46" s="36" t="str">
        <x:v>Ducati</x:v>
      </x:c>
      <x:c r="G46" s="36" t="str">
        <x:v>vehicle_manufacturer</x:v>
      </x:c>
      <x:c r="H46" s="36" t="str">
        <x:v>vehicle_manufacturer</x:v>
      </x:c>
      <x:c r="I46" s="36" t="str">
        <x:v>use_entity</x:v>
      </x:c>
      <x:c r="J46" s="36" t="str">
        <x:v>use_entity</x:v>
      </x:c>
      <x:c r="K46" s="36" t="str">
        <x:v>exact</x:v>
      </x:c>
      <x:c r="L46" s="36" t="n">
        <x:v>0</x:v>
      </x:c>
      <x:c r="M46" s="38" t="str">
        <x:v>[]</x:v>
      </x:c>
      <x:c r="N46" s="38" t="str">
        <x:v>[]</x:v>
      </x:c>
      <x:c r="O46" s="42" t="b">
        <x:v>0</x:v>
      </x:c>
      <x:c r="P46" s="42" t="b">
        <x:v>0</x:v>
      </x:c>
      <x:c r="Q46" s="36"/>
      <x:c r="R46" s="36"/>
      <x:c r="S46" s="36"/>
      <x:c r="T46" s="38" t="str">
        <x:v>{"entity_id":"MFE-05203FE4E772CB","source_field":"brand","source_term":"DUCATI SUPERSPORT 900","active_canonical_name":"Ducati","effective_canonical_name":"Ducat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7" ht="18" customHeight="1">
      <x:c r="A47" s="36" t="str">
        <x:v>MFE-78E093FEE4921B</x:v>
      </x:c>
      <x:c r="B47" s="36" t="str">
        <x:v>built_in_catalog</x:v>
      </x:c>
      <x:c r="C47" s="36" t="str">
        <x:v>manufacturer</x:v>
      </x:c>
      <x:c r="D47" s="36" t="str">
        <x:v>FCA</x:v>
      </x:c>
      <x:c r="E47" s="36" t="str">
        <x:v>FCA</x:v>
      </x:c>
      <x:c r="F47" s="36" t="str">
        <x:v>FCA</x:v>
      </x:c>
      <x:c r="G47" s="36" t="str">
        <x:v>corporate_group</x:v>
      </x:c>
      <x:c r="H47" s="36" t="str">
        <x:v>corporate_group</x:v>
      </x:c>
      <x:c r="I47" s="36" t="str">
        <x:v>require_evidence_review</x:v>
      </x:c>
      <x:c r="J47" s="36" t="str">
        <x:v>require_evidence_review</x:v>
      </x:c>
      <x:c r="K47" s="36" t="str">
        <x:v>exact</x:v>
      </x:c>
      <x:c r="L47" s="36" t="n">
        <x:v>0</x:v>
      </x:c>
      <x:c r="M47" s="38" t="str">
        <x:v>[]</x:v>
      </x:c>
      <x:c r="N47" s="38" t="str">
        <x:v>[]</x:v>
      </x:c>
      <x:c r="O47" s="42" t="b">
        <x:v>0</x:v>
      </x:c>
      <x:c r="P47" s="42" t="b">
        <x:v>0</x:v>
      </x:c>
      <x:c r="Q47" s="36"/>
      <x:c r="R47" s="36"/>
      <x:c r="S47" s="36"/>
      <x:c r="T47" s="38" t="str">
        <x:v>{"entity_id":"MFE-78E093FEE4921B","source_field":"manufacturer","source_term":"FCA","active_canonical_name":"FCA","effective_canonical_name":"FCA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48" ht="18" customHeight="1">
      <x:c r="A48" s="36" t="str">
        <x:v>MFE-2B0CE366FC8A9F</x:v>
      </x:c>
      <x:c r="B48" s="36" t="str">
        <x:v>built_in_catalog</x:v>
      </x:c>
      <x:c r="C48" s="36" t="str">
        <x:v>manufacturer</x:v>
      </x:c>
      <x:c r="D48" s="36" t="str">
        <x:v>FIAT</x:v>
      </x:c>
      <x:c r="E48" s="36" t="str">
        <x:v>Fiat</x:v>
      </x:c>
      <x:c r="F48" s="36" t="str">
        <x:v>Fiat</x:v>
      </x:c>
      <x:c r="G48" s="36" t="str">
        <x:v>vehicle_manufacturer</x:v>
      </x:c>
      <x:c r="H48" s="36" t="str">
        <x:v>vehicle_manufacturer</x:v>
      </x:c>
      <x:c r="I48" s="36" t="str">
        <x:v>use_entity</x:v>
      </x:c>
      <x:c r="J48" s="36" t="str">
        <x:v>use_entity</x:v>
      </x:c>
      <x:c r="K48" s="36" t="str">
        <x:v>exact</x:v>
      </x:c>
      <x:c r="L48" s="36" t="n">
        <x:v>0</x:v>
      </x:c>
      <x:c r="M48" s="38" t="str">
        <x:v>[]</x:v>
      </x:c>
      <x:c r="N48" s="38" t="str">
        <x:v>[]</x:v>
      </x:c>
      <x:c r="O48" s="42" t="b">
        <x:v>0</x:v>
      </x:c>
      <x:c r="P48" s="42" t="b">
        <x:v>0</x:v>
      </x:c>
      <x:c r="Q48" s="36"/>
      <x:c r="R48" s="36"/>
      <x:c r="S48" s="36"/>
      <x:c r="T48" s="38" t="str">
        <x:v>{"entity_id":"MFE-2B0CE366FC8A9F","source_field":"manufacturer","source_term":"FIAT","active_canonical_name":"Fiat","effective_canonical_name":"Fi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9" ht="18" customHeight="1">
      <x:c r="A49" s="36" t="str">
        <x:v>MFE-35E07EE90D94E4</x:v>
      </x:c>
      <x:c r="B49" s="36" t="str">
        <x:v>active_database_override</x:v>
      </x:c>
      <x:c r="C49" s="36" t="str">
        <x:v>brand</x:v>
      </x:c>
      <x:c r="D49" s="36" t="str">
        <x:v>FIAT ADRIA</x:v>
      </x:c>
      <x:c r="E49" s="36" t="str">
        <x:v>Adria</x:v>
      </x:c>
      <x:c r="F49" s="36" t="str">
        <x:v>Adria</x:v>
      </x:c>
      <x:c r="G49" s="36" t="str">
        <x:v>bodybuilder_converter</x:v>
      </x:c>
      <x:c r="H49" s="36" t="str">
        <x:v>bodybuilder_converter</x:v>
      </x:c>
      <x:c r="I49" s="36" t="str">
        <x:v>use_base_manufacturer</x:v>
      </x:c>
      <x:c r="J49" s="36" t="str">
        <x:v>use_base_manufacturer</x:v>
      </x:c>
      <x:c r="K49" s="36" t="str">
        <x:v>diacritic_insensitive_prefix</x:v>
      </x:c>
      <x:c r="L49" s="36" t="n">
        <x:v>0</x:v>
      </x:c>
      <x:c r="M49" s="38" t="str">
        <x:v>[]</x:v>
      </x:c>
      <x:c r="N49" s="38" t="str">
        <x:v>["FIAT ADRIA A"]</x:v>
      </x:c>
      <x:c r="O49" s="42" t="b">
        <x:v>0</x:v>
      </x:c>
      <x:c r="P49" s="42" t="b">
        <x:v>0</x:v>
      </x:c>
      <x:c r="Q49" s="36"/>
      <x:c r="R49" s="36" t="n">
        <x:v>46239.77979774305</x:v>
      </x:c>
      <x:c r="S49" s="36" t="n">
        <x:v>46239.77979774305</x:v>
      </x:c>
      <x:c r="T49" s="38" t="str">
        <x:v>{"entity_id":"MFE-35E07EE90D94E4","source_field":"brand","source_term":"FIAT ADRIA","active_canonical_name":"Adria","effective_canonical_name":"Adria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FIAT ADRIA A"]}</x:v>
      </x:c>
    </x:row>
    <x:row r="50" ht="18" customHeight="1">
      <x:c r="A50" s="36" t="str">
        <x:v>MFE-5FE4B911172108</x:v>
      </x:c>
      <x:c r="B50" s="36" t="str">
        <x:v>built_in_catalog</x:v>
      </x:c>
      <x:c r="C50" s="36" t="str">
        <x:v>manufacturer</x:v>
      </x:c>
      <x:c r="D50" s="36" t="str">
        <x:v>FIAT AUTO SPA</x:v>
      </x:c>
      <x:c r="E50" s="36" t="str">
        <x:v>Fiat</x:v>
      </x:c>
      <x:c r="F50" s="36" t="str">
        <x:v>Fiat</x:v>
      </x:c>
      <x:c r="G50" s="36" t="str">
        <x:v>vehicle_manufacturer</x:v>
      </x:c>
      <x:c r="H50" s="36" t="str">
        <x:v>vehicle_manufacturer</x:v>
      </x:c>
      <x:c r="I50" s="36" t="str">
        <x:v>use_entity</x:v>
      </x:c>
      <x:c r="J50" s="36" t="str">
        <x:v>use_entity</x:v>
      </x:c>
      <x:c r="K50" s="36" t="str">
        <x:v>exact</x:v>
      </x:c>
      <x:c r="L50" s="36" t="n">
        <x:v>0</x:v>
      </x:c>
      <x:c r="M50" s="38" t="str">
        <x:v>[]</x:v>
      </x:c>
      <x:c r="N50" s="38" t="str">
        <x:v>[]</x:v>
      </x:c>
      <x:c r="O50" s="42" t="b">
        <x:v>0</x:v>
      </x:c>
      <x:c r="P50" s="42" t="b">
        <x:v>0</x:v>
      </x:c>
      <x:c r="Q50" s="36"/>
      <x:c r="R50" s="36"/>
      <x:c r="S50" s="36"/>
      <x:c r="T50" s="38" t="str">
        <x:v>{"entity_id":"MFE-5FE4B911172108","source_field":"manufacturer","source_term":"FIAT AUTO SPA","active_canonical_name":"Fiat","effective_canonical_name":"Fi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1" ht="18" customHeight="1">
      <x:c r="A51" s="36" t="str">
        <x:v>MFE-83C7791BD5DE63</x:v>
      </x:c>
      <x:c r="B51" s="36" t="str">
        <x:v>active_database_override</x:v>
      </x:c>
      <x:c r="C51" s="36" t="str">
        <x:v>brand</x:v>
      </x:c>
      <x:c r="D51" s="36" t="str">
        <x:v>FIAT DETHLEFFS</x:v>
      </x:c>
      <x:c r="E51" s="36" t="str">
        <x:v>Dethleffs</x:v>
      </x:c>
      <x:c r="F51" s="36" t="str">
        <x:v>Dethleffs</x:v>
      </x:c>
      <x:c r="G51" s="36" t="str">
        <x:v>bodybuilder_converter</x:v>
      </x:c>
      <x:c r="H51" s="36" t="str">
        <x:v>bodybuilder_converter</x:v>
      </x:c>
      <x:c r="I51" s="36" t="str">
        <x:v>use_base_manufacturer</x:v>
      </x:c>
      <x:c r="J51" s="36" t="str">
        <x:v>use_base_manufacturer</x:v>
      </x:c>
      <x:c r="K51" s="36" t="str">
        <x:v>diacritic_insensitive_prefix</x:v>
      </x:c>
      <x:c r="L51" s="36" t="n">
        <x:v>0</x:v>
      </x:c>
      <x:c r="M51" s="38" t="str">
        <x:v>[]</x:v>
      </x:c>
      <x:c r="N51" s="38" t="str">
        <x:v>["FIAT DETHLEFFS"]</x:v>
      </x:c>
      <x:c r="O51" s="42" t="b">
        <x:v>0</x:v>
      </x:c>
      <x:c r="P51" s="42" t="b">
        <x:v>0</x:v>
      </x:c>
      <x:c r="Q51" s="36"/>
      <x:c r="R51" s="36" t="n">
        <x:v>46239.77979774305</x:v>
      </x:c>
      <x:c r="S51" s="36" t="n">
        <x:v>46239.77979774305</x:v>
      </x:c>
      <x:c r="T51" s="38" t="str">
        <x:v>{"entity_id":"MFE-83C7791BD5DE63","source_field":"brand","source_term":"FIAT DETHLEFFS","active_canonical_name":"Dethleffs","effective_canonical_name":"Dethleff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FIAT DETHLEFFS"]}</x:v>
      </x:c>
    </x:row>
    <x:row r="52" ht="18" customHeight="1">
      <x:c r="A52" s="36" t="str">
        <x:v>MFE-5F711C808A7093</x:v>
      </x:c>
      <x:c r="B52" s="36" t="str">
        <x:v>built_in_catalog</x:v>
      </x:c>
      <x:c r="C52" s="36" t="str">
        <x:v>brand</x:v>
      </x:c>
      <x:c r="D52" s="36" t="str">
        <x:v>FOBO 10016</x:v>
      </x:c>
      <x:c r="E52" s="36" t="str">
        <x:v>FOBO</x:v>
      </x:c>
      <x:c r="F52" s="36" t="str">
        <x:v>FOBO</x:v>
      </x:c>
      <x:c r="G52" s="36" t="str">
        <x:v>vehicle_manufacturer</x:v>
      </x:c>
      <x:c r="H52" s="36" t="str">
        <x:v>vehicle_manufacturer</x:v>
      </x:c>
      <x:c r="I52" s="36" t="str">
        <x:v>use_entity</x:v>
      </x:c>
      <x:c r="J52" s="36" t="str">
        <x:v>use_entity</x:v>
      </x:c>
      <x:c r="K52" s="36" t="str">
        <x:v>exact</x:v>
      </x:c>
      <x:c r="L52" s="36" t="n">
        <x:v>0</x:v>
      </x:c>
      <x:c r="M52" s="38" t="str">
        <x:v>[]</x:v>
      </x:c>
      <x:c r="N52" s="38" t="str">
        <x:v>[]</x:v>
      </x:c>
      <x:c r="O52" s="42" t="b">
        <x:v>0</x:v>
      </x:c>
      <x:c r="P52" s="42" t="b">
        <x:v>0</x:v>
      </x:c>
      <x:c r="Q52" s="36"/>
      <x:c r="R52" s="36"/>
      <x:c r="S52" s="36"/>
      <x:c r="T52" s="38" t="str">
        <x:v>{"entity_id":"MFE-5F711C808A7093","source_field":"brand","source_term":"FOBO 10016","active_canonical_name":"FOBO","effective_canonical_name":"FO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3" ht="18" customHeight="1">
      <x:c r="A53" s="36" t="str">
        <x:v>MFE-62A7AADA37E9F4</x:v>
      </x:c>
      <x:c r="B53" s="36" t="str">
        <x:v>built_in_catalog</x:v>
      </x:c>
      <x:c r="C53" s="36" t="str">
        <x:v>manufacturer</x:v>
      </x:c>
      <x:c r="D53" s="36" t="str">
        <x:v>FORD</x:v>
      </x:c>
      <x:c r="E53" s="36" t="str">
        <x:v>Ford</x:v>
      </x:c>
      <x:c r="F53" s="36" t="str">
        <x:v>Ford</x:v>
      </x:c>
      <x:c r="G53" s="36" t="str">
        <x:v>vehicle_manufacturer</x:v>
      </x:c>
      <x:c r="H53" s="36" t="str">
        <x:v>vehicle_manufacturer</x:v>
      </x:c>
      <x:c r="I53" s="36" t="str">
        <x:v>use_entity</x:v>
      </x:c>
      <x:c r="J53" s="36" t="str">
        <x:v>use_entity</x:v>
      </x:c>
      <x:c r="K53" s="36" t="str">
        <x:v>exact</x:v>
      </x:c>
      <x:c r="L53" s="36" t="n">
        <x:v>0</x:v>
      </x:c>
      <x:c r="M53" s="38" t="str">
        <x:v>[]</x:v>
      </x:c>
      <x:c r="N53" s="38" t="str">
        <x:v>[]</x:v>
      </x:c>
      <x:c r="O53" s="42" t="b">
        <x:v>0</x:v>
      </x:c>
      <x:c r="P53" s="42" t="b">
        <x:v>0</x:v>
      </x:c>
      <x:c r="Q53" s="36"/>
      <x:c r="R53" s="36"/>
      <x:c r="S53" s="36"/>
      <x:c r="T53" s="38" t="str">
        <x:v>{"entity_id":"MFE-62A7AADA37E9F4","source_field":"manufacturer","source_term":"FORD","active_canonical_name":"Ford","effective_canonical_name":"For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4" ht="18" customHeight="1">
      <x:c r="A54" s="36" t="str">
        <x:v>MFE-7E87B08FECB26B</x:v>
      </x:c>
      <x:c r="B54" s="36" t="str">
        <x:v>built_in_catalog</x:v>
      </x:c>
      <x:c r="C54" s="36" t="str">
        <x:v>manufacturer</x:v>
      </x:c>
      <x:c r="D54" s="36" t="str">
        <x:v>FORD MOTOR COMPANY</x:v>
      </x:c>
      <x:c r="E54" s="36" t="str">
        <x:v>Ford</x:v>
      </x:c>
      <x:c r="F54" s="36" t="str">
        <x:v>Ford</x:v>
      </x:c>
      <x:c r="G54" s="36" t="str">
        <x:v>vehicle_manufacturer</x:v>
      </x:c>
      <x:c r="H54" s="36" t="str">
        <x:v>vehicle_manufacturer</x:v>
      </x:c>
      <x:c r="I54" s="36" t="str">
        <x:v>use_entity</x:v>
      </x:c>
      <x:c r="J54" s="36" t="str">
        <x:v>use_entity</x:v>
      </x:c>
      <x:c r="K54" s="36" t="str">
        <x:v>exact</x:v>
      </x:c>
      <x:c r="L54" s="36" t="n">
        <x:v>0</x:v>
      </x:c>
      <x:c r="M54" s="38" t="str">
        <x:v>[]</x:v>
      </x:c>
      <x:c r="N54" s="38" t="str">
        <x:v>[]</x:v>
      </x:c>
      <x:c r="O54" s="42" t="b">
        <x:v>0</x:v>
      </x:c>
      <x:c r="P54" s="42" t="b">
        <x:v>0</x:v>
      </x:c>
      <x:c r="Q54" s="36"/>
      <x:c r="R54" s="36"/>
      <x:c r="S54" s="36"/>
      <x:c r="T54" s="38" t="str">
        <x:v>{"entity_id":"MFE-7E87B08FECB26B","source_field":"manufacturer","source_term":"FORD MOTOR COMPANY","active_canonical_name":"Ford","effective_canonical_name":"For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5" ht="18" customHeight="1">
      <x:c r="A55" s="36" t="str">
        <x:v>MFE-9136FCA78A4E36</x:v>
      </x:c>
      <x:c r="B55" s="36" t="str">
        <x:v>built_in_catalog</x:v>
      </x:c>
      <x:c r="C55" s="36" t="str">
        <x:v>brand</x:v>
      </x:c>
      <x:c r="D55" s="36" t="str">
        <x:v>FORDSON DEXTA</x:v>
      </x:c>
      <x:c r="E55" s="36" t="str">
        <x:v>Fordson</x:v>
      </x:c>
      <x:c r="F55" s="36" t="str">
        <x:v>Fordson</x:v>
      </x:c>
      <x:c r="G55" s="36" t="str">
        <x:v>vehicle_manufacturer</x:v>
      </x:c>
      <x:c r="H55" s="36" t="str">
        <x:v>vehicle_manufacturer</x:v>
      </x:c>
      <x:c r="I55" s="36" t="str">
        <x:v>use_entity</x:v>
      </x:c>
      <x:c r="J55" s="36" t="str">
        <x:v>use_entity</x:v>
      </x:c>
      <x:c r="K55" s="36" t="str">
        <x:v>exact</x:v>
      </x:c>
      <x:c r="L55" s="36" t="n">
        <x:v>0</x:v>
      </x:c>
      <x:c r="M55" s="38" t="str">
        <x:v>[]</x:v>
      </x:c>
      <x:c r="N55" s="38" t="str">
        <x:v>[]</x:v>
      </x:c>
      <x:c r="O55" s="42" t="b">
        <x:v>0</x:v>
      </x:c>
      <x:c r="P55" s="42" t="b">
        <x:v>0</x:v>
      </x:c>
      <x:c r="Q55" s="36"/>
      <x:c r="R55" s="36"/>
      <x:c r="S55" s="36"/>
      <x:c r="T55" s="38" t="str">
        <x:v>{"entity_id":"MFE-9136FCA78A4E36","source_field":"brand","source_term":"FORDSON DEXTA","active_canonical_name":"Fordson","effective_canonical_name":"For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6" ht="18" customHeight="1">
      <x:c r="A56" s="36" t="str">
        <x:v>MFE-259D2743A8C378</x:v>
      </x:c>
      <x:c r="B56" s="36" t="str">
        <x:v>built_in_catalog</x:v>
      </x:c>
      <x:c r="C56" s="36" t="str">
        <x:v>brand</x:v>
      </x:c>
      <x:c r="D56" s="36" t="str">
        <x:v>FORDSON MAJOR</x:v>
      </x:c>
      <x:c r="E56" s="36" t="str">
        <x:v>Fordson</x:v>
      </x:c>
      <x:c r="F56" s="36" t="str">
        <x:v>Fordson</x:v>
      </x:c>
      <x:c r="G56" s="36" t="str">
        <x:v>vehicle_manufacturer</x:v>
      </x:c>
      <x:c r="H56" s="36" t="str">
        <x:v>vehicle_manufacturer</x:v>
      </x:c>
      <x:c r="I56" s="36" t="str">
        <x:v>use_entity</x:v>
      </x:c>
      <x:c r="J56" s="36" t="str">
        <x:v>use_entity</x:v>
      </x:c>
      <x:c r="K56" s="36" t="str">
        <x:v>exact</x:v>
      </x:c>
      <x:c r="L56" s="36" t="n">
        <x:v>0</x:v>
      </x:c>
      <x:c r="M56" s="38" t="str">
        <x:v>[]</x:v>
      </x:c>
      <x:c r="N56" s="38" t="str">
        <x:v>[]</x:v>
      </x:c>
      <x:c r="O56" s="42" t="b">
        <x:v>0</x:v>
      </x:c>
      <x:c r="P56" s="42" t="b">
        <x:v>0</x:v>
      </x:c>
      <x:c r="Q56" s="36"/>
      <x:c r="R56" s="36"/>
      <x:c r="S56" s="36"/>
      <x:c r="T56" s="38" t="str">
        <x:v>{"entity_id":"MFE-259D2743A8C378","source_field":"brand","source_term":"FORDSON MAJOR","active_canonical_name":"Fordson","effective_canonical_name":"For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7" ht="18" customHeight="1">
      <x:c r="A57" s="36" t="str">
        <x:v>MFE-03A80AC9602E74</x:v>
      </x:c>
      <x:c r="B57" s="36" t="str">
        <x:v>built_in_catalog</x:v>
      </x:c>
      <x:c r="C57" s="36" t="str">
        <x:v>brand</x:v>
      </x:c>
      <x:c r="D57" s="36" t="str">
        <x:v>GISEBO G 25 16 1</x:v>
      </x:c>
      <x:c r="E57" s="36" t="str">
        <x:v>Gisebo</x:v>
      </x:c>
      <x:c r="F57" s="36" t="str">
        <x:v>Gisebo</x:v>
      </x:c>
      <x:c r="G57" s="36" t="str">
        <x:v>vehicle_manufacturer</x:v>
      </x:c>
      <x:c r="H57" s="36" t="str">
        <x:v>vehicle_manufacturer</x:v>
      </x:c>
      <x:c r="I57" s="36" t="str">
        <x:v>use_entity</x:v>
      </x:c>
      <x:c r="J57" s="36" t="str">
        <x:v>use_entity</x:v>
      </x:c>
      <x:c r="K57" s="36" t="str">
        <x:v>exact</x:v>
      </x:c>
      <x:c r="L57" s="36" t="n">
        <x:v>0</x:v>
      </x:c>
      <x:c r="M57" s="38" t="str">
        <x:v>[]</x:v>
      </x:c>
      <x:c r="N57" s="38" t="str">
        <x:v>[]</x:v>
      </x:c>
      <x:c r="O57" s="42" t="b">
        <x:v>0</x:v>
      </x:c>
      <x:c r="P57" s="42" t="b">
        <x:v>0</x:v>
      </x:c>
      <x:c r="Q57" s="36"/>
      <x:c r="R57" s="36"/>
      <x:c r="S57" s="36"/>
      <x:c r="T57" s="38" t="str">
        <x:v>{"entity_id":"MFE-03A80AC9602E74","source_field":"brand","source_term":"GISEBO G 25 16 1","active_canonical_name":"Gisebo","effective_canonical_name":"Gise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8" ht="18" customHeight="1">
      <x:c r="A58" s="36" t="str">
        <x:v>MFE-17235555F590CC</x:v>
      </x:c>
      <x:c r="B58" s="36" t="str">
        <x:v>built_in_catalog</x:v>
      </x:c>
      <x:c r="C58" s="36" t="str">
        <x:v>brand</x:v>
      </x:c>
      <x:c r="D58" s="36" t="str">
        <x:v>GISEBO G 25 18 2</x:v>
      </x:c>
      <x:c r="E58" s="36" t="str">
        <x:v>Gisebo</x:v>
      </x:c>
      <x:c r="F58" s="36" t="str">
        <x:v>Gisebo</x:v>
      </x:c>
      <x:c r="G58" s="36" t="str">
        <x:v>vehicle_manufacturer</x:v>
      </x:c>
      <x:c r="H58" s="36" t="str">
        <x:v>vehicle_manufacturer</x:v>
      </x:c>
      <x:c r="I58" s="36" t="str">
        <x:v>use_entity</x:v>
      </x:c>
      <x:c r="J58" s="36" t="str">
        <x:v>use_entity</x:v>
      </x:c>
      <x:c r="K58" s="36" t="str">
        <x:v>exact</x:v>
      </x:c>
      <x:c r="L58" s="36" t="n">
        <x:v>0</x:v>
      </x:c>
      <x:c r="M58" s="38" t="str">
        <x:v>[]</x:v>
      </x:c>
      <x:c r="N58" s="38" t="str">
        <x:v>[]</x:v>
      </x:c>
      <x:c r="O58" s="42" t="b">
        <x:v>0</x:v>
      </x:c>
      <x:c r="P58" s="42" t="b">
        <x:v>0</x:v>
      </x:c>
      <x:c r="Q58" s="36"/>
      <x:c r="R58" s="36"/>
      <x:c r="S58" s="36"/>
      <x:c r="T58" s="38" t="str">
        <x:v>{"entity_id":"MFE-17235555F590CC","source_field":"brand","source_term":"GISEBO G 25 18 2","active_canonical_name":"Gisebo","effective_canonical_name":"Gise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9" ht="18" customHeight="1">
      <x:c r="A59" s="36" t="str">
        <x:v>MFE-97CE6442014268</x:v>
      </x:c>
      <x:c r="B59" s="36" t="str">
        <x:v>built_in_catalog</x:v>
      </x:c>
      <x:c r="C59" s="36" t="str">
        <x:v>brand</x:v>
      </x:c>
      <x:c r="D59" s="36" t="str">
        <x:v>GOES</x:v>
      </x:c>
      <x:c r="E59" s="36" t="str">
        <x:v>Goes</x:v>
      </x:c>
      <x:c r="F59" s="36" t="str">
        <x:v>Goes</x:v>
      </x:c>
      <x:c r="G59" s="36" t="str">
        <x:v>vehicle_manufacturer</x:v>
      </x:c>
      <x:c r="H59" s="36" t="str">
        <x:v>vehicle_manufacturer</x:v>
      </x:c>
      <x:c r="I59" s="36" t="str">
        <x:v>use_entity</x:v>
      </x:c>
      <x:c r="J59" s="36" t="str">
        <x:v>use_entity</x:v>
      </x:c>
      <x:c r="K59" s="36" t="str">
        <x:v>exact</x:v>
      </x:c>
      <x:c r="L59" s="36" t="n">
        <x:v>0</x:v>
      </x:c>
      <x:c r="M59" s="38" t="str">
        <x:v>[]</x:v>
      </x:c>
      <x:c r="N59" s="38" t="str">
        <x:v>[]</x:v>
      </x:c>
      <x:c r="O59" s="42" t="b">
        <x:v>0</x:v>
      </x:c>
      <x:c r="P59" s="42" t="b">
        <x:v>0</x:v>
      </x:c>
      <x:c r="Q59" s="36"/>
      <x:c r="R59" s="36"/>
      <x:c r="S59" s="36"/>
      <x:c r="T59" s="38" t="str">
        <x:v>{"entity_id":"MFE-97CE6442014268","source_field":"brand","source_term":"GOES","active_canonical_name":"Goes","effective_canonical_name":"Goe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0" ht="18" customHeight="1">
      <x:c r="A60" s="36" t="str">
        <x:v>MFE-CE0A3DFFDC43B2</x:v>
      </x:c>
      <x:c r="B60" s="36" t="str">
        <x:v>built_in_catalog</x:v>
      </x:c>
      <x:c r="C60" s="36" t="str">
        <x:v>brand</x:v>
      </x:c>
      <x:c r="D60" s="36" t="str">
        <x:v>GOES CF500A</x:v>
      </x:c>
      <x:c r="E60" s="36" t="str">
        <x:v>Goes</x:v>
      </x:c>
      <x:c r="F60" s="36" t="str">
        <x:v>Goes</x:v>
      </x:c>
      <x:c r="G60" s="36" t="str">
        <x:v>vehicle_manufacturer</x:v>
      </x:c>
      <x:c r="H60" s="36" t="str">
        <x:v>vehicle_manufacturer</x:v>
      </x:c>
      <x:c r="I60" s="36" t="str">
        <x:v>use_entity</x:v>
      </x:c>
      <x:c r="J60" s="36" t="str">
        <x:v>use_entity</x:v>
      </x:c>
      <x:c r="K60" s="36" t="str">
        <x:v>exact</x:v>
      </x:c>
      <x:c r="L60" s="36" t="n">
        <x:v>0</x:v>
      </x:c>
      <x:c r="M60" s="38" t="str">
        <x:v>[]</x:v>
      </x:c>
      <x:c r="N60" s="38" t="str">
        <x:v>[]</x:v>
      </x:c>
      <x:c r="O60" s="42" t="b">
        <x:v>0</x:v>
      </x:c>
      <x:c r="P60" s="42" t="b">
        <x:v>0</x:v>
      </x:c>
      <x:c r="Q60" s="36"/>
      <x:c r="R60" s="36"/>
      <x:c r="S60" s="36"/>
      <x:c r="T60" s="38" t="str">
        <x:v>{"entity_id":"MFE-CE0A3DFFDC43B2","source_field":"brand","source_term":"GOES CF500A","active_canonical_name":"Goes","effective_canonical_name":"Goe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1" ht="18" customHeight="1">
      <x:c r="A61" s="36" t="str">
        <x:v>MFE-A2C96CFFDEE488</x:v>
      </x:c>
      <x:c r="B61" s="36" t="str">
        <x:v>built_in_catalog</x:v>
      </x:c>
      <x:c r="C61" s="36" t="str">
        <x:v>brand</x:v>
      </x:c>
      <x:c r="D61" s="36" t="str">
        <x:v>HARLEY DAVIDSON</x:v>
      </x:c>
      <x:c r="E61" s="36" t="str">
        <x:v>Harley-Davidson</x:v>
      </x:c>
      <x:c r="F61" s="36" t="str">
        <x:v>Harley-Davidson</x:v>
      </x:c>
      <x:c r="G61" s="36" t="str">
        <x:v>vehicle_manufacturer</x:v>
      </x:c>
      <x:c r="H61" s="36" t="str">
        <x:v>vehicle_manufacturer</x:v>
      </x:c>
      <x:c r="I61" s="36" t="str">
        <x:v>use_entity</x:v>
      </x:c>
      <x:c r="J61" s="36" t="str">
        <x:v>use_entity</x:v>
      </x:c>
      <x:c r="K61" s="36" t="str">
        <x:v>exact</x:v>
      </x:c>
      <x:c r="L61" s="36" t="n">
        <x:v>0</x:v>
      </x:c>
      <x:c r="M61" s="38" t="str">
        <x:v>[]</x:v>
      </x:c>
      <x:c r="N61" s="38" t="str">
        <x:v>[]</x:v>
      </x:c>
      <x:c r="O61" s="42" t="b">
        <x:v>0</x:v>
      </x:c>
      <x:c r="P61" s="42" t="b">
        <x:v>0</x:v>
      </x:c>
      <x:c r="Q61" s="36"/>
      <x:c r="R61" s="36"/>
      <x:c r="S61" s="36"/>
      <x:c r="T61" s="38" t="str">
        <x:v>{"entity_id":"MFE-A2C96CFFDEE488","source_field":"brand","source_term":"HARLEY DAVIDSON","active_canonical_name":"Harley-Davidson","effective_canonical_name":"Harley-Davi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2" ht="18" customHeight="1">
      <x:c r="A62" s="36" t="str">
        <x:v>MFE-2A6DCA57E4C3B5</x:v>
      </x:c>
      <x:c r="B62" s="36" t="str">
        <x:v>built_in_catalog</x:v>
      </x:c>
      <x:c r="C62" s="36" t="str">
        <x:v>brand</x:v>
      </x:c>
      <x:c r="D62" s="36" t="str">
        <x:v>HARLEY DAVIDSON FXE 1200</x:v>
      </x:c>
      <x:c r="E62" s="36" t="str">
        <x:v>Harley-Davidson</x:v>
      </x:c>
      <x:c r="F62" s="36" t="str">
        <x:v>Harley-Davidson</x:v>
      </x:c>
      <x:c r="G62" s="36" t="str">
        <x:v>vehicle_manufacturer</x:v>
      </x:c>
      <x:c r="H62" s="36" t="str">
        <x:v>vehicle_manufacturer</x:v>
      </x:c>
      <x:c r="I62" s="36" t="str">
        <x:v>use_entity</x:v>
      </x:c>
      <x:c r="J62" s="36" t="str">
        <x:v>use_entity</x:v>
      </x:c>
      <x:c r="K62" s="36" t="str">
        <x:v>exact</x:v>
      </x:c>
      <x:c r="L62" s="36" t="n">
        <x:v>0</x:v>
      </x:c>
      <x:c r="M62" s="38" t="str">
        <x:v>[]</x:v>
      </x:c>
      <x:c r="N62" s="38" t="str">
        <x:v>[]</x:v>
      </x:c>
      <x:c r="O62" s="42" t="b">
        <x:v>0</x:v>
      </x:c>
      <x:c r="P62" s="42" t="b">
        <x:v>0</x:v>
      </x:c>
      <x:c r="Q62" s="36"/>
      <x:c r="R62" s="36"/>
      <x:c r="S62" s="36"/>
      <x:c r="T62" s="38" t="str">
        <x:v>{"entity_id":"MFE-2A6DCA57E4C3B5","source_field":"brand","source_term":"HARLEY DAVIDSON FXE 1200","active_canonical_name":"Harley-Davidson","effective_canonical_name":"Harley-Davi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3" ht="18" customHeight="1">
      <x:c r="A63" s="36" t="str">
        <x:v>MFE-341702E4FAB041</x:v>
      </x:c>
      <x:c r="B63" s="36" t="str">
        <x:v>built_in_catalog</x:v>
      </x:c>
      <x:c r="C63" s="36" t="str">
        <x:v>brand</x:v>
      </x:c>
      <x:c r="D63" s="36" t="str">
        <x:v>HOLDER P70C 460</x:v>
      </x:c>
      <x:c r="E63" s="36" t="str">
        <x:v>Holder</x:v>
      </x:c>
      <x:c r="F63" s="36" t="str">
        <x:v>Holder</x:v>
      </x:c>
      <x:c r="G63" s="36" t="str">
        <x:v>vehicle_manufacturer</x:v>
      </x:c>
      <x:c r="H63" s="36" t="str">
        <x:v>vehicle_manufacturer</x:v>
      </x:c>
      <x:c r="I63" s="36" t="str">
        <x:v>use_entity</x:v>
      </x:c>
      <x:c r="J63" s="36" t="str">
        <x:v>use_entity</x:v>
      </x:c>
      <x:c r="K63" s="36" t="str">
        <x:v>exact</x:v>
      </x:c>
      <x:c r="L63" s="36" t="n">
        <x:v>0</x:v>
      </x:c>
      <x:c r="M63" s="38" t="str">
        <x:v>[]</x:v>
      </x:c>
      <x:c r="N63" s="38" t="str">
        <x:v>[]</x:v>
      </x:c>
      <x:c r="O63" s="42" t="b">
        <x:v>0</x:v>
      </x:c>
      <x:c r="P63" s="42" t="b">
        <x:v>0</x:v>
      </x:c>
      <x:c r="Q63" s="36"/>
      <x:c r="R63" s="36"/>
      <x:c r="S63" s="36"/>
      <x:c r="T63" s="38" t="str">
        <x:v>{"entity_id":"MFE-341702E4FAB041","source_field":"brand","source_term":"HOLDER P70C 460","active_canonical_name":"Holder","effective_canonical_name":"Hold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4" ht="18" customHeight="1">
      <x:c r="A64" s="36" t="str">
        <x:v>MFE-529064462BB49E</x:v>
      </x:c>
      <x:c r="B64" s="36" t="str">
        <x:v>built_in_catalog</x:v>
      </x:c>
      <x:c r="C64" s="36" t="str">
        <x:v>manufacturer</x:v>
      </x:c>
      <x:c r="D64" s="36" t="str">
        <x:v>HONDA</x:v>
      </x:c>
      <x:c r="E64" s="36" t="str">
        <x:v>Honda</x:v>
      </x:c>
      <x:c r="F64" s="36" t="str">
        <x:v>Honda</x:v>
      </x:c>
      <x:c r="G64" s="36" t="str">
        <x:v>vehicle_manufacturer</x:v>
      </x:c>
      <x:c r="H64" s="36" t="str">
        <x:v>vehicle_manufacturer</x:v>
      </x:c>
      <x:c r="I64" s="36" t="str">
        <x:v>use_entity</x:v>
      </x:c>
      <x:c r="J64" s="36" t="str">
        <x:v>use_entity</x:v>
      </x:c>
      <x:c r="K64" s="36" t="str">
        <x:v>exact</x:v>
      </x:c>
      <x:c r="L64" s="36" t="n">
        <x:v>0</x:v>
      </x:c>
      <x:c r="M64" s="38" t="str">
        <x:v>[]</x:v>
      </x:c>
      <x:c r="N64" s="38" t="str">
        <x:v>[]</x:v>
      </x:c>
      <x:c r="O64" s="42" t="b">
        <x:v>0</x:v>
      </x:c>
      <x:c r="P64" s="42" t="b">
        <x:v>0</x:v>
      </x:c>
      <x:c r="Q64" s="36"/>
      <x:c r="R64" s="36"/>
      <x:c r="S64" s="36"/>
      <x:c r="T64" s="38" t="str">
        <x:v>{"entity_id":"MFE-529064462BB49E","source_field":"manufacturer","source_term":"HONDA","active_canonical_name":"Honda","effective_canonical_name":"Hon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5" ht="18" customHeight="1">
      <x:c r="A65" s="36" t="str">
        <x:v>MFE-62601065CC7303</x:v>
      </x:c>
      <x:c r="B65" s="36" t="str">
        <x:v>built_in_catalog</x:v>
      </x:c>
      <x:c r="C65" s="36" t="str">
        <x:v>manufacturer</x:v>
      </x:c>
      <x:c r="D65" s="36" t="str">
        <x:v>HONDA MOTOR CO LTD</x:v>
      </x:c>
      <x:c r="E65" s="36" t="str">
        <x:v>Honda</x:v>
      </x:c>
      <x:c r="F65" s="36" t="str">
        <x:v>Honda</x:v>
      </x:c>
      <x:c r="G65" s="36" t="str">
        <x:v>vehicle_manufacturer</x:v>
      </x:c>
      <x:c r="H65" s="36" t="str">
        <x:v>vehicle_manufacturer</x:v>
      </x:c>
      <x:c r="I65" s="36" t="str">
        <x:v>use_entity</x:v>
      </x:c>
      <x:c r="J65" s="36" t="str">
        <x:v>use_entity</x:v>
      </x:c>
      <x:c r="K65" s="36" t="str">
        <x:v>exact</x:v>
      </x:c>
      <x:c r="L65" s="36" t="n">
        <x:v>0</x:v>
      </x:c>
      <x:c r="M65" s="38" t="str">
        <x:v>[]</x:v>
      </x:c>
      <x:c r="N65" s="38" t="str">
        <x:v>[]</x:v>
      </x:c>
      <x:c r="O65" s="42" t="b">
        <x:v>0</x:v>
      </x:c>
      <x:c r="P65" s="42" t="b">
        <x:v>0</x:v>
      </x:c>
      <x:c r="Q65" s="36"/>
      <x:c r="R65" s="36"/>
      <x:c r="S65" s="36"/>
      <x:c r="T65" s="38" t="str">
        <x:v>{"entity_id":"MFE-62601065CC7303","source_field":"manufacturer","source_term":"HONDA MOTOR CO LTD","active_canonical_name":"Honda","effective_canonical_name":"Hon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6" ht="18" customHeight="1">
      <x:c r="A66" s="36" t="str">
        <x:v>MFE-2228AA33B77DCD</x:v>
      </x:c>
      <x:c r="B66" s="36" t="str">
        <x:v>built_in_catalog</x:v>
      </x:c>
      <x:c r="C66" s="36" t="str">
        <x:v>brand</x:v>
      </x:c>
      <x:c r="D66" s="36" t="str">
        <x:v>HUSQVARNA MOD KAF 256A</x:v>
      </x:c>
      <x:c r="E66" s="36" t="str">
        <x:v>Husqvarna</x:v>
      </x:c>
      <x:c r="F66" s="36" t="str">
        <x:v>Husqvarna</x:v>
      </x:c>
      <x:c r="G66" s="36" t="str">
        <x:v>vehicle_manufacturer</x:v>
      </x:c>
      <x:c r="H66" s="36" t="str">
        <x:v>vehicle_manufacturer</x:v>
      </x:c>
      <x:c r="I66" s="36" t="str">
        <x:v>use_entity</x:v>
      </x:c>
      <x:c r="J66" s="36" t="str">
        <x:v>use_entity</x:v>
      </x:c>
      <x:c r="K66" s="36" t="str">
        <x:v>exact</x:v>
      </x:c>
      <x:c r="L66" s="36" t="n">
        <x:v>0</x:v>
      </x:c>
      <x:c r="M66" s="38" t="str">
        <x:v>[]</x:v>
      </x:c>
      <x:c r="N66" s="38" t="str">
        <x:v>[]</x:v>
      </x:c>
      <x:c r="O66" s="42" t="b">
        <x:v>0</x:v>
      </x:c>
      <x:c r="P66" s="42" t="b">
        <x:v>0</x:v>
      </x:c>
      <x:c r="Q66" s="36"/>
      <x:c r="R66" s="36"/>
      <x:c r="S66" s="36"/>
      <x:c r="T66" s="38" t="str">
        <x:v>{"entity_id":"MFE-2228AA33B77DCD","source_field":"brand","source_term":"HUSQVARNA MOD KAF 256A","active_canonical_name":"Husqvarna","effective_canonical_name":"Husqvarn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7" ht="18" customHeight="1">
      <x:c r="A67" s="36" t="str">
        <x:v>MFE-CBB5BE6C1F6B38</x:v>
      </x:c>
      <x:c r="B67" s="36" t="str">
        <x:v>built_in_catalog</x:v>
      </x:c>
      <x:c r="C67" s="36" t="str">
        <x:v>brand</x:v>
      </x:c>
      <x:c r="D67" s="36" t="str">
        <x:v>HYDRO MEKANO</x:v>
      </x:c>
      <x:c r="E67" s="36" t="str">
        <x:v>Hydro Mekano</x:v>
      </x:c>
      <x:c r="F67" s="36" t="str">
        <x:v>Hydro Mekano</x:v>
      </x:c>
      <x:c r="G67" s="36" t="str">
        <x:v>vehicle_manufacturer</x:v>
      </x:c>
      <x:c r="H67" s="36" t="str">
        <x:v>vehicle_manufacturer</x:v>
      </x:c>
      <x:c r="I67" s="36" t="str">
        <x:v>use_entity</x:v>
      </x:c>
      <x:c r="J67" s="36" t="str">
        <x:v>use_entity</x:v>
      </x:c>
      <x:c r="K67" s="36" t="str">
        <x:v>exact</x:v>
      </x:c>
      <x:c r="L67" s="36" t="n">
        <x:v>0</x:v>
      </x:c>
      <x:c r="M67" s="38" t="str">
        <x:v>[]</x:v>
      </x:c>
      <x:c r="N67" s="38" t="str">
        <x:v>[]</x:v>
      </x:c>
      <x:c r="O67" s="42" t="b">
        <x:v>0</x:v>
      </x:c>
      <x:c r="P67" s="42" t="b">
        <x:v>0</x:v>
      </x:c>
      <x:c r="Q67" s="36"/>
      <x:c r="R67" s="36"/>
      <x:c r="S67" s="36"/>
      <x:c r="T67" s="38" t="str">
        <x:v>{"entity_id":"MFE-CBB5BE6C1F6B38","source_field":"brand","source_term":"HYDRO MEKANO","active_canonical_name":"Hydro Mekano","effective_canonical_name":"Hydro Mekan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8" ht="18" customHeight="1">
      <x:c r="A68" s="36" t="str">
        <x:v>MFE-1C68BDE8EB84F7</x:v>
      </x:c>
      <x:c r="B68" s="36" t="str">
        <x:v>built_in_catalog</x:v>
      </x:c>
      <x:c r="C68" s="36" t="str">
        <x:v>manufacturer</x:v>
      </x:c>
      <x:c r="D68" s="36" t="str">
        <x:v>HYUNDAI</x:v>
      </x:c>
      <x:c r="E68" s="36" t="str">
        <x:v>Hyundai</x:v>
      </x:c>
      <x:c r="F68" s="36" t="str">
        <x:v>Hyundai</x:v>
      </x:c>
      <x:c r="G68" s="36" t="str">
        <x:v>vehicle_manufacturer</x:v>
      </x:c>
      <x:c r="H68" s="36" t="str">
        <x:v>vehicle_manufacturer</x:v>
      </x:c>
      <x:c r="I68" s="36" t="str">
        <x:v>use_entity</x:v>
      </x:c>
      <x:c r="J68" s="36" t="str">
        <x:v>use_entity</x:v>
      </x:c>
      <x:c r="K68" s="36" t="str">
        <x:v>exact</x:v>
      </x:c>
      <x:c r="L68" s="36" t="n">
        <x:v>0</x:v>
      </x:c>
      <x:c r="M68" s="38" t="str">
        <x:v>[]</x:v>
      </x:c>
      <x:c r="N68" s="38" t="str">
        <x:v>[]</x:v>
      </x:c>
      <x:c r="O68" s="42" t="b">
        <x:v>0</x:v>
      </x:c>
      <x:c r="P68" s="42" t="b">
        <x:v>0</x:v>
      </x:c>
      <x:c r="Q68" s="36"/>
      <x:c r="R68" s="36"/>
      <x:c r="S68" s="36"/>
      <x:c r="T68" s="38" t="str">
        <x:v>{"entity_id":"MFE-1C68BDE8EB84F7","source_field":"manufacturer","source_term":"HYUNDAI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9" ht="18" customHeight="1">
      <x:c r="A69" s="36" t="str">
        <x:v>MFE-7A70394AA12D4D</x:v>
      </x:c>
      <x:c r="B69" s="36" t="str">
        <x:v>built_in_catalog</x:v>
      </x:c>
      <x:c r="C69" s="36" t="str">
        <x:v>manufacturer</x:v>
      </x:c>
      <x:c r="D69" s="36" t="str">
        <x:v>HYUNDAI MOTOR COMPANY</x:v>
      </x:c>
      <x:c r="E69" s="36" t="str">
        <x:v>Hyundai</x:v>
      </x:c>
      <x:c r="F69" s="36" t="str">
        <x:v>Hyundai</x:v>
      </x:c>
      <x:c r="G69" s="36" t="str">
        <x:v>vehicle_manufacturer</x:v>
      </x:c>
      <x:c r="H69" s="36" t="str">
        <x:v>vehicle_manufacturer</x:v>
      </x:c>
      <x:c r="I69" s="36" t="str">
        <x:v>use_entity</x:v>
      </x:c>
      <x:c r="J69" s="36" t="str">
        <x:v>use_entity</x:v>
      </x:c>
      <x:c r="K69" s="36" t="str">
        <x:v>exact</x:v>
      </x:c>
      <x:c r="L69" s="36" t="n">
        <x:v>0</x:v>
      </x:c>
      <x:c r="M69" s="38" t="str">
        <x:v>[]</x:v>
      </x:c>
      <x:c r="N69" s="38" t="str">
        <x:v>[]</x:v>
      </x:c>
      <x:c r="O69" s="42" t="b">
        <x:v>0</x:v>
      </x:c>
      <x:c r="P69" s="42" t="b">
        <x:v>0</x:v>
      </x:c>
      <x:c r="Q69" s="36"/>
      <x:c r="R69" s="36"/>
      <x:c r="S69" s="36"/>
      <x:c r="T69" s="38" t="str">
        <x:v>{"entity_id":"MFE-7A70394AA12D4D","source_field":"manufacturer","source_term":"HYUNDAI MOTOR COMPANY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0" ht="18" customHeight="1">
      <x:c r="A70" s="36" t="str">
        <x:v>MFE-C7D97EBF226F19</x:v>
      </x:c>
      <x:c r="B70" s="36" t="str">
        <x:v>built_in_catalog</x:v>
      </x:c>
      <x:c r="C70" s="36" t="str">
        <x:v>manufacturer</x:v>
      </x:c>
      <x:c r="D70" s="36" t="str">
        <x:v>HYUNDAI MOTOR MANUFACTURING CZECH</x:v>
      </x:c>
      <x:c r="E70" s="36" t="str">
        <x:v>Hyundai</x:v>
      </x:c>
      <x:c r="F70" s="36" t="str">
        <x:v>Hyundai</x:v>
      </x:c>
      <x:c r="G70" s="36" t="str">
        <x:v>vehicle_manufacturer</x:v>
      </x:c>
      <x:c r="H70" s="36" t="str">
        <x:v>vehicle_manufacturer</x:v>
      </x:c>
      <x:c r="I70" s="36" t="str">
        <x:v>use_entity</x:v>
      </x:c>
      <x:c r="J70" s="36" t="str">
        <x:v>use_entity</x:v>
      </x:c>
      <x:c r="K70" s="36" t="str">
        <x:v>exact</x:v>
      </x:c>
      <x:c r="L70" s="36" t="n">
        <x:v>0</x:v>
      </x:c>
      <x:c r="M70" s="38" t="str">
        <x:v>[]</x:v>
      </x:c>
      <x:c r="N70" s="38" t="str">
        <x:v>[]</x:v>
      </x:c>
      <x:c r="O70" s="42" t="b">
        <x:v>0</x:v>
      </x:c>
      <x:c r="P70" s="42" t="b">
        <x:v>0</x:v>
      </x:c>
      <x:c r="Q70" s="36"/>
      <x:c r="R70" s="36"/>
      <x:c r="S70" s="36"/>
      <x:c r="T70" s="38" t="str">
        <x:v>{"entity_id":"MFE-C7D97EBF226F19","source_field":"manufacturer","source_term":"HYUNDAI MOTOR MANUFACTURING CZECH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1" ht="18" customHeight="1">
      <x:c r="A71" s="36" t="str">
        <x:v>MFE-E2D0DC3CAE84C9</x:v>
      </x:c>
      <x:c r="B71" s="36" t="str">
        <x:v>built_in_catalog</x:v>
      </x:c>
      <x:c r="C71" s="36" t="str">
        <x:v>brand</x:v>
      </x:c>
      <x:c r="D71" s="36" t="str">
        <x:v>IGASS 750</x:v>
      </x:c>
      <x:c r="E71" s="36" t="str">
        <x:v>IGASS</x:v>
      </x:c>
      <x:c r="F71" s="36" t="str">
        <x:v>IGASS</x:v>
      </x:c>
      <x:c r="G71" s="36" t="str">
        <x:v>vehicle_manufacturer</x:v>
      </x:c>
      <x:c r="H71" s="36" t="str">
        <x:v>vehicle_manufacturer</x:v>
      </x:c>
      <x:c r="I71" s="36" t="str">
        <x:v>use_entity</x:v>
      </x:c>
      <x:c r="J71" s="36" t="str">
        <x:v>use_entity</x:v>
      </x:c>
      <x:c r="K71" s="36" t="str">
        <x:v>exact</x:v>
      </x:c>
      <x:c r="L71" s="36" t="n">
        <x:v>0</x:v>
      </x:c>
      <x:c r="M71" s="38" t="str">
        <x:v>[]</x:v>
      </x:c>
      <x:c r="N71" s="38" t="str">
        <x:v>[]</x:v>
      </x:c>
      <x:c r="O71" s="42" t="b">
        <x:v>0</x:v>
      </x:c>
      <x:c r="P71" s="42" t="b">
        <x:v>0</x:v>
      </x:c>
      <x:c r="Q71" s="36"/>
      <x:c r="R71" s="36"/>
      <x:c r="S71" s="36"/>
      <x:c r="T71" s="38" t="str">
        <x:v>{"entity_id":"MFE-E2D0DC3CAE84C9","source_field":"brand","source_term":"IGASS 750","active_canonical_name":"IGASS","effective_canonical_name":"IGAS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2" ht="18" customHeight="1">
      <x:c r="A72" s="36" t="str">
        <x:v>MFE-E75573BBB8395F</x:v>
      </x:c>
      <x:c r="B72" s="36" t="str">
        <x:v>built_in_catalog</x:v>
      </x:c>
      <x:c r="C72" s="36" t="str">
        <x:v>brand</x:v>
      </x:c>
      <x:c r="D72" s="36" t="str">
        <x:v>INDIAN</x:v>
      </x:c>
      <x:c r="E72" s="36" t="str">
        <x:v>Indian</x:v>
      </x:c>
      <x:c r="F72" s="36" t="str">
        <x:v>Indian</x:v>
      </x:c>
      <x:c r="G72" s="36" t="str">
        <x:v>vehicle_manufacturer</x:v>
      </x:c>
      <x:c r="H72" s="36" t="str">
        <x:v>vehicle_manufacturer</x:v>
      </x:c>
      <x:c r="I72" s="36" t="str">
        <x:v>use_entity</x:v>
      </x:c>
      <x:c r="J72" s="36" t="str">
        <x:v>use_entity</x:v>
      </x:c>
      <x:c r="K72" s="36" t="str">
        <x:v>exact</x:v>
      </x:c>
      <x:c r="L72" s="36" t="n">
        <x:v>0</x:v>
      </x:c>
      <x:c r="M72" s="38" t="str">
        <x:v>[]</x:v>
      </x:c>
      <x:c r="N72" s="38" t="str">
        <x:v>[]</x:v>
      </x:c>
      <x:c r="O72" s="42" t="b">
        <x:v>0</x:v>
      </x:c>
      <x:c r="P72" s="42" t="b">
        <x:v>0</x:v>
      </x:c>
      <x:c r="Q72" s="36"/>
      <x:c r="R72" s="36"/>
      <x:c r="S72" s="36"/>
      <x:c r="T72" s="38" t="str">
        <x:v>{"entity_id":"MFE-E75573BBB8395F","source_field":"brand","source_term":"INDIAN","active_canonical_name":"Indian","effective_canonical_name":"Indi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3" ht="18" customHeight="1">
      <x:c r="A73" s="36" t="str">
        <x:v>MFE-757812ECEF7A57</x:v>
      </x:c>
      <x:c r="B73" s="36" t="str">
        <x:v>built_in_catalog</x:v>
      </x:c>
      <x:c r="C73" s="36" t="str">
        <x:v>brand</x:v>
      </x:c>
      <x:c r="D73" s="36" t="str">
        <x:v>INTERNATIONAL 584</x:v>
      </x:c>
      <x:c r="E73" s="36" t="str">
        <x:v>International</x:v>
      </x:c>
      <x:c r="F73" s="36" t="str">
        <x:v>International</x:v>
      </x:c>
      <x:c r="G73" s="36" t="str">
        <x:v>vehicle_manufacturer</x:v>
      </x:c>
      <x:c r="H73" s="36" t="str">
        <x:v>vehicle_manufacturer</x:v>
      </x:c>
      <x:c r="I73" s="36" t="str">
        <x:v>use_entity</x:v>
      </x:c>
      <x:c r="J73" s="36" t="str">
        <x:v>use_entity</x:v>
      </x:c>
      <x:c r="K73" s="36" t="str">
        <x:v>exact</x:v>
      </x:c>
      <x:c r="L73" s="36" t="n">
        <x:v>0</x:v>
      </x:c>
      <x:c r="M73" s="38" t="str">
        <x:v>[]</x:v>
      </x:c>
      <x:c r="N73" s="38" t="str">
        <x:v>[]</x:v>
      </x:c>
      <x:c r="O73" s="42" t="b">
        <x:v>0</x:v>
      </x:c>
      <x:c r="P73" s="42" t="b">
        <x:v>0</x:v>
      </x:c>
      <x:c r="Q73" s="36"/>
      <x:c r="R73" s="36"/>
      <x:c r="S73" s="36"/>
      <x:c r="T73" s="38" t="str">
        <x:v>{"entity_id":"MFE-757812ECEF7A57","source_field":"brand","source_term":"INTERNATIONAL 584","active_canonical_name":"International","effective_canonical_name":"Internationa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4" ht="18" customHeight="1">
      <x:c r="A74" s="36" t="str">
        <x:v>MFE-CC9BBCE6743E3D</x:v>
      </x:c>
      <x:c r="B74" s="36" t="str">
        <x:v>built_in_catalog</x:v>
      </x:c>
      <x:c r="C74" s="36" t="str">
        <x:v>manufacturer</x:v>
      </x:c>
      <x:c r="D74" s="36" t="str">
        <x:v>ISUZU</x:v>
      </x:c>
      <x:c r="E74" s="36" t="str">
        <x:v>Isuzu</x:v>
      </x:c>
      <x:c r="F74" s="36" t="str">
        <x:v>Isuzu</x:v>
      </x:c>
      <x:c r="G74" s="36" t="str">
        <x:v>vehicle_manufacturer</x:v>
      </x:c>
      <x:c r="H74" s="36" t="str">
        <x:v>vehicle_manufacturer</x:v>
      </x:c>
      <x:c r="I74" s="36" t="str">
        <x:v>use_entity</x:v>
      </x:c>
      <x:c r="J74" s="36" t="str">
        <x:v>use_entity</x:v>
      </x:c>
      <x:c r="K74" s="36" t="str">
        <x:v>exact</x:v>
      </x:c>
      <x:c r="L74" s="36" t="n">
        <x:v>0</x:v>
      </x:c>
      <x:c r="M74" s="38" t="str">
        <x:v>[]</x:v>
      </x:c>
      <x:c r="N74" s="38" t="str">
        <x:v>[]</x:v>
      </x:c>
      <x:c r="O74" s="42" t="b">
        <x:v>0</x:v>
      </x:c>
      <x:c r="P74" s="42" t="b">
        <x:v>0</x:v>
      </x:c>
      <x:c r="Q74" s="36"/>
      <x:c r="R74" s="36"/>
      <x:c r="S74" s="36"/>
      <x:c r="T74" s="38" t="str">
        <x:v>{"entity_id":"MFE-CC9BBCE6743E3D","source_field":"manufacturer","source_term":"ISUZU","active_canonical_name":"Isuzu","effective_canonical_name":"Isuz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5" ht="18" customHeight="1">
      <x:c r="A75" s="36" t="str">
        <x:v>MFE-1EA4F59DA41180</x:v>
      </x:c>
      <x:c r="B75" s="36" t="str">
        <x:v>built_in_catalog</x:v>
      </x:c>
      <x:c r="C75" s="36" t="str">
        <x:v>manufacturer</x:v>
      </x:c>
      <x:c r="D75" s="36" t="str">
        <x:v>IVECO</x:v>
      </x:c>
      <x:c r="E75" s="36" t="str">
        <x:v>Iveco</x:v>
      </x:c>
      <x:c r="F75" s="36" t="str">
        <x:v>Iveco</x:v>
      </x:c>
      <x:c r="G75" s="36" t="str">
        <x:v>vehicle_manufacturer</x:v>
      </x:c>
      <x:c r="H75" s="36" t="str">
        <x:v>vehicle_manufacturer</x:v>
      </x:c>
      <x:c r="I75" s="36" t="str">
        <x:v>use_entity</x:v>
      </x:c>
      <x:c r="J75" s="36" t="str">
        <x:v>use_entity</x:v>
      </x:c>
      <x:c r="K75" s="36" t="str">
        <x:v>exact</x:v>
      </x:c>
      <x:c r="L75" s="36" t="n">
        <x:v>0</x:v>
      </x:c>
      <x:c r="M75" s="38" t="str">
        <x:v>[]</x:v>
      </x:c>
      <x:c r="N75" s="38" t="str">
        <x:v>[]</x:v>
      </x:c>
      <x:c r="O75" s="42" t="b">
        <x:v>0</x:v>
      </x:c>
      <x:c r="P75" s="42" t="b">
        <x:v>0</x:v>
      </x:c>
      <x:c r="Q75" s="36"/>
      <x:c r="R75" s="36"/>
      <x:c r="S75" s="36"/>
      <x:c r="T75" s="38" t="str">
        <x:v>{"entity_id":"MFE-1EA4F59DA41180","source_field":"manufacturer","source_term":"IVECO","active_canonical_name":"Iveco","effective_canonical_name":"Ivec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6" ht="18" customHeight="1">
      <x:c r="A76" s="36" t="str">
        <x:v>MFE-2367257214C64E</x:v>
      </x:c>
      <x:c r="B76" s="36" t="str">
        <x:v>built_in_catalog</x:v>
      </x:c>
      <x:c r="C76" s="36" t="str">
        <x:v>manufacturer</x:v>
      </x:c>
      <x:c r="D76" s="36" t="str">
        <x:v>IVECO SPA</x:v>
      </x:c>
      <x:c r="E76" s="36" t="str">
        <x:v>Iveco</x:v>
      </x:c>
      <x:c r="F76" s="36" t="str">
        <x:v>Iveco</x:v>
      </x:c>
      <x:c r="G76" s="36" t="str">
        <x:v>vehicle_manufacturer</x:v>
      </x:c>
      <x:c r="H76" s="36" t="str">
        <x:v>vehicle_manufacturer</x:v>
      </x:c>
      <x:c r="I76" s="36" t="str">
        <x:v>use_entity</x:v>
      </x:c>
      <x:c r="J76" s="36" t="str">
        <x:v>use_entity</x:v>
      </x:c>
      <x:c r="K76" s="36" t="str">
        <x:v>exact</x:v>
      </x:c>
      <x:c r="L76" s="36" t="n">
        <x:v>0</x:v>
      </x:c>
      <x:c r="M76" s="38" t="str">
        <x:v>[]</x:v>
      </x:c>
      <x:c r="N76" s="38" t="str">
        <x:v>[]</x:v>
      </x:c>
      <x:c r="O76" s="42" t="b">
        <x:v>0</x:v>
      </x:c>
      <x:c r="P76" s="42" t="b">
        <x:v>0</x:v>
      </x:c>
      <x:c r="Q76" s="36"/>
      <x:c r="R76" s="36"/>
      <x:c r="S76" s="36"/>
      <x:c r="T76" s="38" t="str">
        <x:v>{"entity_id":"MFE-2367257214C64E","source_field":"manufacturer","source_term":"IVECO SPA","active_canonical_name":"Iveco","effective_canonical_name":"Ivec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7" ht="18" customHeight="1">
      <x:c r="A77" s="36" t="str">
        <x:v>MFE-9F5071E074CFA1</x:v>
      </x:c>
      <x:c r="B77" s="36" t="str">
        <x:v>built_in_catalog</x:v>
      </x:c>
      <x:c r="C77" s="36" t="str">
        <x:v>brand</x:v>
      </x:c>
      <x:c r="D77" s="36" t="str">
        <x:v>J DEERE 2250 4WD MC1</x:v>
      </x:c>
      <x:c r="E77" s="36" t="str">
        <x:v>John Deere</x:v>
      </x:c>
      <x:c r="F77" s="36" t="str">
        <x:v>John Deere</x:v>
      </x:c>
      <x:c r="G77" s="36" t="str">
        <x:v>vehicle_manufacturer</x:v>
      </x:c>
      <x:c r="H77" s="36" t="str">
        <x:v>vehicle_manufacturer</x:v>
      </x:c>
      <x:c r="I77" s="36" t="str">
        <x:v>use_entity</x:v>
      </x:c>
      <x:c r="J77" s="36" t="str">
        <x:v>use_entity</x:v>
      </x:c>
      <x:c r="K77" s="36" t="str">
        <x:v>exact</x:v>
      </x:c>
      <x:c r="L77" s="36" t="n">
        <x:v>0</x:v>
      </x:c>
      <x:c r="M77" s="38" t="str">
        <x:v>[]</x:v>
      </x:c>
      <x:c r="N77" s="38" t="str">
        <x:v>[]</x:v>
      </x:c>
      <x:c r="O77" s="42" t="b">
        <x:v>0</x:v>
      </x:c>
      <x:c r="P77" s="42" t="b">
        <x:v>0</x:v>
      </x:c>
      <x:c r="Q77" s="36"/>
      <x:c r="R77" s="36"/>
      <x:c r="S77" s="36"/>
      <x:c r="T77" s="38" t="str">
        <x:v>{"entity_id":"MFE-9F5071E074CFA1","source_field":"brand","source_term":"J DEERE 2250 4WD MC1","active_canonical_name":"John Deere","effective_canonical_name":"John Deer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8" ht="18" customHeight="1">
      <x:c r="A78" s="36" t="str">
        <x:v>MFE-4D882BD3D59195</x:v>
      </x:c>
      <x:c r="B78" s="36" t="str">
        <x:v>active_database_override</x:v>
      </x:c>
      <x:c r="C78" s="36" t="str">
        <x:v>brand</x:v>
      </x:c>
      <x:c r="D78" s="36" t="str">
        <x:v>JAGUAR</x:v>
      </x:c>
      <x:c r="E78" s="36" t="str">
        <x:v>Jaguar</x:v>
      </x:c>
      <x:c r="F78" s="36" t="str">
        <x:v>Jaguar</x:v>
      </x:c>
      <x:c r="G78" s="36" t="str">
        <x:v>vehicle_manufacturer</x:v>
      </x:c>
      <x:c r="H78" s="36" t="str">
        <x:v>vehicle_manufacturer</x:v>
      </x:c>
      <x:c r="I78" s="36" t="str">
        <x:v>use_entity</x:v>
      </x:c>
      <x:c r="J78" s="36" t="str">
        <x:v>use_entity</x:v>
      </x:c>
      <x:c r="K78" s="36" t="str">
        <x:v>whole_token_prefix</x:v>
      </x:c>
      <x:c r="L78" s="36" t="n">
        <x:v>0</x:v>
      </x:c>
      <x:c r="M78" s="38" t="str">
        <x:v>[]</x:v>
      </x:c>
      <x:c r="N78" s="38" t="str">
        <x:v>[]</x:v>
      </x:c>
      <x:c r="O78" s="42" t="b">
        <x:v>0</x:v>
      </x:c>
      <x:c r="P78" s="42" t="b">
        <x:v>0</x:v>
      </x:c>
      <x:c r="Q78" s="36"/>
      <x:c r="R78" s="36" t="n">
        <x:v>46239.752050324074</x:v>
      </x:c>
      <x:c r="S78" s="36" t="n">
        <x:v>46239.752050324074</x:v>
      </x:c>
      <x:c r="T78" s="38" t="str">
        <x:v>{"entity_id":"MFE-4D882BD3D59195","source_field":"brand","source_term":"JAGUAR","active_canonical_name":"Jaguar","effective_canonical_name":"Jagu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79" ht="18" customHeight="1">
      <x:c r="A79" s="36" t="str">
        <x:v>MFE-9F0672AFD23203</x:v>
      </x:c>
      <x:c r="B79" s="36" t="str">
        <x:v>built_in_catalog</x:v>
      </x:c>
      <x:c r="C79" s="36" t="str">
        <x:v>manufacturer</x:v>
      </x:c>
      <x:c r="D79" s="36" t="str">
        <x:v>JEEP</x:v>
      </x:c>
      <x:c r="E79" s="36" t="str">
        <x:v>Jeep</x:v>
      </x:c>
      <x:c r="F79" s="36" t="str">
        <x:v>Jeep</x:v>
      </x:c>
      <x:c r="G79" s="36" t="str">
        <x:v>vehicle_manufacturer</x:v>
      </x:c>
      <x:c r="H79" s="36" t="str">
        <x:v>vehicle_manufacturer</x:v>
      </x:c>
      <x:c r="I79" s="36" t="str">
        <x:v>use_entity</x:v>
      </x:c>
      <x:c r="J79" s="36" t="str">
        <x:v>use_entity</x:v>
      </x:c>
      <x:c r="K79" s="36" t="str">
        <x:v>exact</x:v>
      </x:c>
      <x:c r="L79" s="36" t="n">
        <x:v>0</x:v>
      </x:c>
      <x:c r="M79" s="38" t="str">
        <x:v>[]</x:v>
      </x:c>
      <x:c r="N79" s="38" t="str">
        <x:v>[]</x:v>
      </x:c>
      <x:c r="O79" s="42" t="b">
        <x:v>0</x:v>
      </x:c>
      <x:c r="P79" s="42" t="b">
        <x:v>0</x:v>
      </x:c>
      <x:c r="Q79" s="36"/>
      <x:c r="R79" s="36"/>
      <x:c r="S79" s="36"/>
      <x:c r="T79" s="38" t="str">
        <x:v>{"entity_id":"MFE-9F0672AFD23203","source_field":"manufacturer","source_term":"JEEP","active_canonical_name":"Jeep","effective_canonical_name":"Jee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0" ht="18" customHeight="1">
      <x:c r="A80" s="36" t="str">
        <x:v>MFE-548D800E70EBDF</x:v>
      </x:c>
      <x:c r="B80" s="36" t="str">
        <x:v>built_in_catalog</x:v>
      </x:c>
      <x:c r="C80" s="36" t="str">
        <x:v>manufacturer</x:v>
      </x:c>
      <x:c r="D80" s="36" t="str">
        <x:v>JUNGE</x:v>
      </x:c>
      <x:c r="E80" s="36" t="str">
        <x:v>Junge</x:v>
      </x:c>
      <x:c r="F80" s="36" t="str">
        <x:v>Junge</x:v>
      </x:c>
      <x:c r="G80" s="36" t="str">
        <x:v>bodybuilder_converter</x:v>
      </x:c>
      <x:c r="H80" s="36" t="str">
        <x:v>bodybuilder_converter</x:v>
      </x:c>
      <x:c r="I80" s="36" t="str">
        <x:v>use_base_manufacturer</x:v>
      </x:c>
      <x:c r="J80" s="36" t="str">
        <x:v>use_base_manufacturer</x:v>
      </x:c>
      <x:c r="K80" s="36" t="str">
        <x:v>exact</x:v>
      </x:c>
      <x:c r="L80" s="36" t="n">
        <x:v>0</x:v>
      </x:c>
      <x:c r="M80" s="38" t="str">
        <x:v>[]</x:v>
      </x:c>
      <x:c r="N80" s="38" t="str">
        <x:v>[]</x:v>
      </x:c>
      <x:c r="O80" s="42" t="b">
        <x:v>0</x:v>
      </x:c>
      <x:c r="P80" s="42" t="b">
        <x:v>0</x:v>
      </x:c>
      <x:c r="Q80" s="36"/>
      <x:c r="R80" s="36"/>
      <x:c r="S80" s="36"/>
      <x:c r="T80" s="38" t="str">
        <x:v>{"entity_id":"MFE-548D800E70EBDF","source_field":"manufacturer","source_term":"JUNGE","active_canonical_name":"Junge","effective_canonical_name":"Jung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81" ht="18" customHeight="1">
      <x:c r="A81" s="36" t="str">
        <x:v>MFE-F3E63338137484</x:v>
      </x:c>
      <x:c r="B81" s="36" t="str">
        <x:v>built_in_catalog</x:v>
      </x:c>
      <x:c r="C81" s="36" t="str">
        <x:v>manufacturer</x:v>
      </x:c>
      <x:c r="D81" s="36" t="str">
        <x:v>K BUS</x:v>
      </x:c>
      <x:c r="E81" s="36" t="str">
        <x:v>K-Bus</x:v>
      </x:c>
      <x:c r="F81" s="36" t="str">
        <x:v>K-Bus</x:v>
      </x:c>
      <x:c r="G81" s="36" t="str">
        <x:v>bodybuilder_converter</x:v>
      </x:c>
      <x:c r="H81" s="36" t="str">
        <x:v>bodybuilder_converter</x:v>
      </x:c>
      <x:c r="I81" s="36" t="str">
        <x:v>use_base_manufacturer</x:v>
      </x:c>
      <x:c r="J81" s="36" t="str">
        <x:v>use_base_manufacturer</x:v>
      </x:c>
      <x:c r="K81" s="36" t="str">
        <x:v>exact</x:v>
      </x:c>
      <x:c r="L81" s="36" t="n">
        <x:v>0</x:v>
      </x:c>
      <x:c r="M81" s="38" t="str">
        <x:v>[]</x:v>
      </x:c>
      <x:c r="N81" s="38" t="str">
        <x:v>[]</x:v>
      </x:c>
      <x:c r="O81" s="42" t="b">
        <x:v>0</x:v>
      </x:c>
      <x:c r="P81" s="42" t="b">
        <x:v>0</x:v>
      </x:c>
      <x:c r="Q81" s="36"/>
      <x:c r="R81" s="36"/>
      <x:c r="S81" s="36"/>
      <x:c r="T81" s="38" t="str">
        <x:v>{"entity_id":"MFE-F3E63338137484","source_field":"manufacturer","source_term":"K BUS","active_canonical_name":"K-Bus","effective_canonical_name":"K-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82" ht="18" customHeight="1">
      <x:c r="A82" s="36" t="str">
        <x:v>MFE-EB6CE34F329ED1</x:v>
      </x:c>
      <x:c r="B82" s="36" t="str">
        <x:v>built_in_catalog</x:v>
      </x:c>
      <x:c r="C82" s="36" t="str">
        <x:v>manufacturer</x:v>
      </x:c>
      <x:c r="D82" s="36" t="str">
        <x:v>KABE AB</x:v>
      </x:c>
      <x:c r="E82" s="36" t="str">
        <x:v>KABE</x:v>
      </x:c>
      <x:c r="F82" s="36" t="str">
        <x:v>KABE</x:v>
      </x:c>
      <x:c r="G82" s="36" t="str">
        <x:v>bodybuilder_converter</x:v>
      </x:c>
      <x:c r="H82" s="36" t="str">
        <x:v>bodybuilder_converter</x:v>
      </x:c>
      <x:c r="I82" s="36" t="str">
        <x:v>use_base_manufacturer</x:v>
      </x:c>
      <x:c r="J82" s="36" t="str">
        <x:v>use_base_manufacturer</x:v>
      </x:c>
      <x:c r="K82" s="36" t="str">
        <x:v>exact</x:v>
      </x:c>
      <x:c r="L82" s="36" t="n">
        <x:v>0</x:v>
      </x:c>
      <x:c r="M82" s="38" t="str">
        <x:v>[]</x:v>
      </x:c>
      <x:c r="N82" s="38" t="str">
        <x:v>[]</x:v>
      </x:c>
      <x:c r="O82" s="42" t="b">
        <x:v>0</x:v>
      </x:c>
      <x:c r="P82" s="42" t="b">
        <x:v>0</x:v>
      </x:c>
      <x:c r="Q82" s="36"/>
      <x:c r="R82" s="36"/>
      <x:c r="S82" s="36"/>
      <x:c r="T82" s="38" t="str">
        <x:v>{"entity_id":"MFE-EB6CE34F329ED1","source_field":"manufacturer","source_term":"KABE AB","active_canonical_name":"KABE","effective_canonical_name":"KAB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83" ht="18" customHeight="1">
      <x:c r="A83" s="36" t="str">
        <x:v>MFE-6C073C7F1885C5</x:v>
      </x:c>
      <x:c r="B83" s="36" t="str">
        <x:v>built_in_catalog</x:v>
      </x:c>
      <x:c r="C83" s="36" t="str">
        <x:v>brand</x:v>
      </x:c>
      <x:c r="D83" s="36" t="str">
        <x:v>KAWASAKI ZR 550B</x:v>
      </x:c>
      <x:c r="E83" s="36" t="str">
        <x:v>Kawasaki</x:v>
      </x:c>
      <x:c r="F83" s="36" t="str">
        <x:v>Kawasaki</x:v>
      </x:c>
      <x:c r="G83" s="36" t="str">
        <x:v>vehicle_manufacturer</x:v>
      </x:c>
      <x:c r="H83" s="36" t="str">
        <x:v>vehicle_manufacturer</x:v>
      </x:c>
      <x:c r="I83" s="36" t="str">
        <x:v>use_entity</x:v>
      </x:c>
      <x:c r="J83" s="36" t="str">
        <x:v>use_entity</x:v>
      </x:c>
      <x:c r="K83" s="36" t="str">
        <x:v>exact</x:v>
      </x:c>
      <x:c r="L83" s="36" t="n">
        <x:v>0</x:v>
      </x:c>
      <x:c r="M83" s="38" t="str">
        <x:v>[]</x:v>
      </x:c>
      <x:c r="N83" s="38" t="str">
        <x:v>[]</x:v>
      </x:c>
      <x:c r="O83" s="42" t="b">
        <x:v>0</x:v>
      </x:c>
      <x:c r="P83" s="42" t="b">
        <x:v>0</x:v>
      </x:c>
      <x:c r="Q83" s="36"/>
      <x:c r="R83" s="36"/>
      <x:c r="S83" s="36"/>
      <x:c r="T83" s="38" t="str">
        <x:v>{"entity_id":"MFE-6C073C7F1885C5","source_field":"brand","source_term":"KAWASAKI ZR 550B","active_canonical_name":"Kawasaki","effective_canonical_name":"Kawasa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4" ht="18" customHeight="1">
      <x:c r="A84" s="36" t="str">
        <x:v>MFE-A4B20BD6DCCCCA</x:v>
      </x:c>
      <x:c r="B84" s="36" t="str">
        <x:v>built_in_catalog</x:v>
      </x:c>
      <x:c r="C84" s="36" t="str">
        <x:v>brand</x:v>
      </x:c>
      <x:c r="D84" s="36" t="str">
        <x:v>KAWASAKI ZX900 C</x:v>
      </x:c>
      <x:c r="E84" s="36" t="str">
        <x:v>Kawasaki</x:v>
      </x:c>
      <x:c r="F84" s="36" t="str">
        <x:v>Kawasaki</x:v>
      </x:c>
      <x:c r="G84" s="36" t="str">
        <x:v>vehicle_manufacturer</x:v>
      </x:c>
      <x:c r="H84" s="36" t="str">
        <x:v>vehicle_manufacturer</x:v>
      </x:c>
      <x:c r="I84" s="36" t="str">
        <x:v>use_entity</x:v>
      </x:c>
      <x:c r="J84" s="36" t="str">
        <x:v>use_entity</x:v>
      </x:c>
      <x:c r="K84" s="36" t="str">
        <x:v>exact</x:v>
      </x:c>
      <x:c r="L84" s="36" t="n">
        <x:v>0</x:v>
      </x:c>
      <x:c r="M84" s="38" t="str">
        <x:v>[]</x:v>
      </x:c>
      <x:c r="N84" s="38" t="str">
        <x:v>[]</x:v>
      </x:c>
      <x:c r="O84" s="42" t="b">
        <x:v>0</x:v>
      </x:c>
      <x:c r="P84" s="42" t="b">
        <x:v>0</x:v>
      </x:c>
      <x:c r="Q84" s="36"/>
      <x:c r="R84" s="36"/>
      <x:c r="S84" s="36"/>
      <x:c r="T84" s="38" t="str">
        <x:v>{"entity_id":"MFE-A4B20BD6DCCCCA","source_field":"brand","source_term":"KAWASAKI ZX900 C","active_canonical_name":"Kawasaki","effective_canonical_name":"Kawasa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5" ht="18" customHeight="1">
      <x:c r="A85" s="36" t="str">
        <x:v>MFE-949071D4FE65B5</x:v>
      </x:c>
      <x:c r="B85" s="36" t="str">
        <x:v>built_in_catalog</x:v>
      </x:c>
      <x:c r="C85" s="36" t="str">
        <x:v>manufacturer</x:v>
      </x:c>
      <x:c r="D85" s="36" t="str">
        <x:v>KIA</x:v>
      </x:c>
      <x:c r="E85" s="36" t="str">
        <x:v>Kia</x:v>
      </x:c>
      <x:c r="F85" s="36" t="str">
        <x:v>Kia</x:v>
      </x:c>
      <x:c r="G85" s="36" t="str">
        <x:v>vehicle_manufacturer</x:v>
      </x:c>
      <x:c r="H85" s="36" t="str">
        <x:v>vehicle_manufacturer</x:v>
      </x:c>
      <x:c r="I85" s="36" t="str">
        <x:v>use_entity</x:v>
      </x:c>
      <x:c r="J85" s="36" t="str">
        <x:v>use_entity</x:v>
      </x:c>
      <x:c r="K85" s="36" t="str">
        <x:v>exact</x:v>
      </x:c>
      <x:c r="L85" s="36" t="n">
        <x:v>0</x:v>
      </x:c>
      <x:c r="M85" s="38" t="str">
        <x:v>[]</x:v>
      </x:c>
      <x:c r="N85" s="38" t="str">
        <x:v>[]</x:v>
      </x:c>
      <x:c r="O85" s="42" t="b">
        <x:v>0</x:v>
      </x:c>
      <x:c r="P85" s="42" t="b">
        <x:v>0</x:v>
      </x:c>
      <x:c r="Q85" s="36"/>
      <x:c r="R85" s="36"/>
      <x:c r="S85" s="36"/>
      <x:c r="T85" s="38" t="str">
        <x:v>{"entity_id":"MFE-949071D4FE65B5","source_field":"manufacturer","source_term":"KIA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6" ht="18" customHeight="1">
      <x:c r="A86" s="36" t="str">
        <x:v>MFE-AE8540710DA4B4</x:v>
      </x:c>
      <x:c r="B86" s="36" t="str">
        <x:v>built_in_catalog</x:v>
      </x:c>
      <x:c r="C86" s="36" t="str">
        <x:v>manufacturer</x:v>
      </x:c>
      <x:c r="D86" s="36" t="str">
        <x:v>KIA MOTORS</x:v>
      </x:c>
      <x:c r="E86" s="36" t="str">
        <x:v>Kia</x:v>
      </x:c>
      <x:c r="F86" s="36" t="str">
        <x:v>Kia</x:v>
      </x:c>
      <x:c r="G86" s="36" t="str">
        <x:v>vehicle_manufacturer</x:v>
      </x:c>
      <x:c r="H86" s="36" t="str">
        <x:v>vehicle_manufacturer</x:v>
      </x:c>
      <x:c r="I86" s="36" t="str">
        <x:v>use_entity</x:v>
      </x:c>
      <x:c r="J86" s="36" t="str">
        <x:v>use_entity</x:v>
      </x:c>
      <x:c r="K86" s="36" t="str">
        <x:v>exact</x:v>
      </x:c>
      <x:c r="L86" s="36" t="n">
        <x:v>0</x:v>
      </x:c>
      <x:c r="M86" s="38" t="str">
        <x:v>[]</x:v>
      </x:c>
      <x:c r="N86" s="38" t="str">
        <x:v>[]</x:v>
      </x:c>
      <x:c r="O86" s="42" t="b">
        <x:v>0</x:v>
      </x:c>
      <x:c r="P86" s="42" t="b">
        <x:v>0</x:v>
      </x:c>
      <x:c r="Q86" s="36"/>
      <x:c r="R86" s="36"/>
      <x:c r="S86" s="36"/>
      <x:c r="T86" s="38" t="str">
        <x:v>{"entity_id":"MFE-AE8540710DA4B4","source_field":"manufacturer","source_term":"KIA MOTORS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7" ht="18" customHeight="1">
      <x:c r="A87" s="36" t="str">
        <x:v>MFE-097347E85A3EDD</x:v>
      </x:c>
      <x:c r="B87" s="36" t="str">
        <x:v>built_in_catalog</x:v>
      </x:c>
      <x:c r="C87" s="36" t="str">
        <x:v>manufacturer</x:v>
      </x:c>
      <x:c r="D87" s="36" t="str">
        <x:v>KIACORPORATION</x:v>
      </x:c>
      <x:c r="E87" s="36" t="str">
        <x:v>Kia</x:v>
      </x:c>
      <x:c r="F87" s="36" t="str">
        <x:v>Kia</x:v>
      </x:c>
      <x:c r="G87" s="36" t="str">
        <x:v>vehicle_manufacturer</x:v>
      </x:c>
      <x:c r="H87" s="36" t="str">
        <x:v>vehicle_manufacturer</x:v>
      </x:c>
      <x:c r="I87" s="36" t="str">
        <x:v>use_entity</x:v>
      </x:c>
      <x:c r="J87" s="36" t="str">
        <x:v>use_entity</x:v>
      </x:c>
      <x:c r="K87" s="36" t="str">
        <x:v>exact</x:v>
      </x:c>
      <x:c r="L87" s="36" t="n">
        <x:v>0</x:v>
      </x:c>
      <x:c r="M87" s="38" t="str">
        <x:v>[]</x:v>
      </x:c>
      <x:c r="N87" s="38" t="str">
        <x:v>[]</x:v>
      </x:c>
      <x:c r="O87" s="42" t="b">
        <x:v>0</x:v>
      </x:c>
      <x:c r="P87" s="42" t="b">
        <x:v>0</x:v>
      </x:c>
      <x:c r="Q87" s="36"/>
      <x:c r="R87" s="36"/>
      <x:c r="S87" s="36"/>
      <x:c r="T87" s="38" t="str">
        <x:v>{"entity_id":"MFE-097347E85A3EDD","source_field":"manufacturer","source_term":"KIACORPORATION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8" ht="18" customHeight="1">
      <x:c r="A88" s="36" t="str">
        <x:v>MFE-36E301A56D63E6</x:v>
      </x:c>
      <x:c r="B88" s="36" t="str">
        <x:v>built_in_catalog</x:v>
      </x:c>
      <x:c r="C88" s="36" t="str">
        <x:v>manufacturer</x:v>
      </x:c>
      <x:c r="D88" s="36" t="str">
        <x:v>KIAMOTORSCORPORATION</x:v>
      </x:c>
      <x:c r="E88" s="36" t="str">
        <x:v>Kia</x:v>
      </x:c>
      <x:c r="F88" s="36" t="str">
        <x:v>Kia</x:v>
      </x:c>
      <x:c r="G88" s="36" t="str">
        <x:v>vehicle_manufacturer</x:v>
      </x:c>
      <x:c r="H88" s="36" t="str">
        <x:v>vehicle_manufacturer</x:v>
      </x:c>
      <x:c r="I88" s="36" t="str">
        <x:v>use_entity</x:v>
      </x:c>
      <x:c r="J88" s="36" t="str">
        <x:v>use_entity</x:v>
      </x:c>
      <x:c r="K88" s="36" t="str">
        <x:v>exact</x:v>
      </x:c>
      <x:c r="L88" s="36" t="n">
        <x:v>0</x:v>
      </x:c>
      <x:c r="M88" s="38" t="str">
        <x:v>[]</x:v>
      </x:c>
      <x:c r="N88" s="38" t="str">
        <x:v>[]</x:v>
      </x:c>
      <x:c r="O88" s="42" t="b">
        <x:v>0</x:v>
      </x:c>
      <x:c r="P88" s="42" t="b">
        <x:v>0</x:v>
      </x:c>
      <x:c r="Q88" s="36"/>
      <x:c r="R88" s="36"/>
      <x:c r="S88" s="36"/>
      <x:c r="T88" s="38" t="str">
        <x:v>{"entity_id":"MFE-36E301A56D63E6","source_field":"manufacturer","source_term":"KIAMOTORSCORPORATION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9" ht="18" customHeight="1">
      <x:c r="A89" s="36" t="str">
        <x:v>MFE-EAD33F31080133</x:v>
      </x:c>
      <x:c r="B89" s="36" t="str">
        <x:v>active_database_override</x:v>
      </x:c>
      <x:c r="C89" s="36" t="str">
        <x:v>manufacturer</x:v>
      </x:c>
      <x:c r="D89" s="36" t="str">
        <x:v>KNAUS TABBERT</x:v>
      </x:c>
      <x:c r="E89" s="36" t="str">
        <x:v>Knaus</x:v>
      </x:c>
      <x:c r="F89" s="36" t="str">
        <x:v>Knaus</x:v>
      </x:c>
      <x:c r="G89" s="36" t="str">
        <x:v>bodybuilder_converter</x:v>
      </x:c>
      <x:c r="H89" s="36" t="str">
        <x:v>bodybuilder_converter</x:v>
      </x:c>
      <x:c r="I89" s="36" t="str">
        <x:v>use_base_manufacturer</x:v>
      </x:c>
      <x:c r="J89" s="36" t="str">
        <x:v>use_base_manufacturer</x:v>
      </x:c>
      <x:c r="K89" s="36" t="str">
        <x:v>diacritic_insensitive_prefix</x:v>
      </x:c>
      <x:c r="L89" s="36" t="n">
        <x:v>0</x:v>
      </x:c>
      <x:c r="M89" s="38" t="str">
        <x:v>[]</x:v>
      </x:c>
      <x:c r="N89" s="38" t="str">
        <x:v>["KNAUS TABBERT GMBH"]</x:v>
      </x:c>
      <x:c r="O89" s="42" t="b">
        <x:v>0</x:v>
      </x:c>
      <x:c r="P89" s="42" t="b">
        <x:v>0</x:v>
      </x:c>
      <x:c r="Q89" s="36"/>
      <x:c r="R89" s="36" t="n">
        <x:v>46239.77979774305</x:v>
      </x:c>
      <x:c r="S89" s="36" t="n">
        <x:v>46239.77979774305</x:v>
      </x:c>
      <x:c r="T89" s="38" t="str">
        <x:v>{"entity_id":"MFE-EAD33F31080133","source_field":"manufacturer","source_term":"KNAUS TABBERT","active_canonical_name":"Knaus","effective_canonical_name":"Kna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KNAUS TABBERT GMBH"]}</x:v>
      </x:c>
    </x:row>
    <x:row r="90" ht="18" customHeight="1">
      <x:c r="A90" s="36" t="str">
        <x:v>MFE-C50D3FF6E23578</x:v>
      </x:c>
      <x:c r="B90" s="36" t="str">
        <x:v>built_in_catalog</x:v>
      </x:c>
      <x:c r="C90" s="36" t="str">
        <x:v>brand</x:v>
      </x:c>
      <x:c r="D90" s="36" t="str">
        <x:v>KYLINGEKÄRRAN 1500 HT 18</x:v>
      </x:c>
      <x:c r="E90" s="36" t="str">
        <x:v>Kylingekärran</x:v>
      </x:c>
      <x:c r="F90" s="36" t="str">
        <x:v>Kylingekärran</x:v>
      </x:c>
      <x:c r="G90" s="36" t="str">
        <x:v>vehicle_manufacturer</x:v>
      </x:c>
      <x:c r="H90" s="36" t="str">
        <x:v>vehicle_manufacturer</x:v>
      </x:c>
      <x:c r="I90" s="36" t="str">
        <x:v>use_entity</x:v>
      </x:c>
      <x:c r="J90" s="36" t="str">
        <x:v>use_entity</x:v>
      </x:c>
      <x:c r="K90" s="36" t="str">
        <x:v>exact</x:v>
      </x:c>
      <x:c r="L90" s="36" t="n">
        <x:v>0</x:v>
      </x:c>
      <x:c r="M90" s="38" t="str">
        <x:v>[]</x:v>
      </x:c>
      <x:c r="N90" s="38" t="str">
        <x:v>[]</x:v>
      </x:c>
      <x:c r="O90" s="42" t="b">
        <x:v>0</x:v>
      </x:c>
      <x:c r="P90" s="42" t="b">
        <x:v>0</x:v>
      </x:c>
      <x:c r="Q90" s="36"/>
      <x:c r="R90" s="36"/>
      <x:c r="S90" s="36"/>
      <x:c r="T90" s="38" t="str">
        <x:v>{"entity_id":"MFE-C50D3FF6E23578","source_field":"brand","source_term":"KYLINGEKÄRRAN 1500 HT 18","active_canonical_name":"Kylingekärran","effective_canonical_name":"Kylingekärr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1" ht="18" customHeight="1">
      <x:c r="A91" s="36" t="str">
        <x:v>MFE-CC4B84B85F6535</x:v>
      </x:c>
      <x:c r="B91" s="36" t="str">
        <x:v>built_in_catalog</x:v>
      </x:c>
      <x:c r="C91" s="36" t="str">
        <x:v>brand</x:v>
      </x:c>
      <x:c r="D91" s="36" t="str">
        <x:v>LAND ROVER 109S W PETROL</x:v>
      </x:c>
      <x:c r="E91" s="36" t="str">
        <x:v>Land Rover</x:v>
      </x:c>
      <x:c r="F91" s="36" t="str">
        <x:v>Land Rover</x:v>
      </x:c>
      <x:c r="G91" s="36" t="str">
        <x:v>vehicle_manufacturer</x:v>
      </x:c>
      <x:c r="H91" s="36" t="str">
        <x:v>vehicle_manufacturer</x:v>
      </x:c>
      <x:c r="I91" s="36" t="str">
        <x:v>use_entity</x:v>
      </x:c>
      <x:c r="J91" s="36" t="str">
        <x:v>use_entity</x:v>
      </x:c>
      <x:c r="K91" s="36" t="str">
        <x:v>exact</x:v>
      </x:c>
      <x:c r="L91" s="36" t="n">
        <x:v>0</x:v>
      </x:c>
      <x:c r="M91" s="38" t="str">
        <x:v>[]</x:v>
      </x:c>
      <x:c r="N91" s="38" t="str">
        <x:v>[]</x:v>
      </x:c>
      <x:c r="O91" s="42" t="b">
        <x:v>0</x:v>
      </x:c>
      <x:c r="P91" s="42" t="b">
        <x:v>0</x:v>
      </x:c>
      <x:c r="Q91" s="36"/>
      <x:c r="R91" s="36"/>
      <x:c r="S91" s="36"/>
      <x:c r="T91" s="38" t="str">
        <x:v>{"entity_id":"MFE-CC4B84B85F6535","source_field":"brand","source_term":"LAND ROVER 109S W PETROL","active_canonical_name":"Land Rover","effective_canonical_name":"Land Rov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2" ht="18" customHeight="1">
      <x:c r="A92" s="36" t="str">
        <x:v>MFE-F50057C156C9E4</x:v>
      </x:c>
      <x:c r="B92" s="36" t="str">
        <x:v>active_database_override</x:v>
      </x:c>
      <x:c r="C92" s="36" t="str">
        <x:v>brand</x:v>
      </x:c>
      <x:c r="D92" s="36" t="str">
        <x:v>LAND ROVERLW</x:v>
      </x:c>
      <x:c r="E92" s="36" t="str">
        <x:v>Land Rover</x:v>
      </x:c>
      <x:c r="F92" s="36" t="str">
        <x:v>Land Rover</x:v>
      </x:c>
      <x:c r="G92" s="36" t="str">
        <x:v>vehicle_manufacturer</x:v>
      </x:c>
      <x:c r="H92" s="36" t="str">
        <x:v>vehicle_manufacturer</x:v>
      </x:c>
      <x:c r="I92" s="36" t="str">
        <x:v>use_entity</x:v>
      </x:c>
      <x:c r="J92" s="36" t="str">
        <x:v>use_entity</x:v>
      </x:c>
      <x:c r="K92" s="36" t="str">
        <x:v>whole_token_prefix</x:v>
      </x:c>
      <x:c r="L92" s="36" t="n">
        <x:v>0</x:v>
      </x:c>
      <x:c r="M92" s="38" t="str">
        <x:v>[]</x:v>
      </x:c>
      <x:c r="N92" s="38" t="str">
        <x:v>[]</x:v>
      </x:c>
      <x:c r="O92" s="42" t="b">
        <x:v>0</x:v>
      </x:c>
      <x:c r="P92" s="42" t="b">
        <x:v>0</x:v>
      </x:c>
      <x:c r="Q92" s="36"/>
      <x:c r="R92" s="36" t="n">
        <x:v>46239.752050324074</x:v>
      </x:c>
      <x:c r="S92" s="36" t="n">
        <x:v>46239.752050324074</x:v>
      </x:c>
      <x:c r="T92" s="38" t="str">
        <x:v>{"entity_id":"MFE-F50057C156C9E4","source_field":"brand","source_term":"LAND ROVERLW","active_canonical_name":"Land Rover","effective_canonical_name":"Land Rov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93" ht="18" customHeight="1">
      <x:c r="A93" s="36" t="str">
        <x:v>MFE-F84205583368B6</x:v>
      </x:c>
      <x:c r="B93" s="36" t="str">
        <x:v>built_in_catalog</x:v>
      </x:c>
      <x:c r="C93" s="36" t="str">
        <x:v>manufacturer</x:v>
      </x:c>
      <x:c r="D93" s="36" t="str">
        <x:v>LEXUS</x:v>
      </x:c>
      <x:c r="E93" s="36" t="str">
        <x:v>Lexus</x:v>
      </x:c>
      <x:c r="F93" s="36" t="str">
        <x:v>Lexus</x:v>
      </x:c>
      <x:c r="G93" s="36" t="str">
        <x:v>vehicle_manufacturer</x:v>
      </x:c>
      <x:c r="H93" s="36" t="str">
        <x:v>vehicle_manufacturer</x:v>
      </x:c>
      <x:c r="I93" s="36" t="str">
        <x:v>use_entity</x:v>
      </x:c>
      <x:c r="J93" s="36" t="str">
        <x:v>use_entity</x:v>
      </x:c>
      <x:c r="K93" s="36" t="str">
        <x:v>exact</x:v>
      </x:c>
      <x:c r="L93" s="36" t="n">
        <x:v>0</x:v>
      </x:c>
      <x:c r="M93" s="38" t="str">
        <x:v>[]</x:v>
      </x:c>
      <x:c r="N93" s="38" t="str">
        <x:v>[]</x:v>
      </x:c>
      <x:c r="O93" s="42" t="b">
        <x:v>0</x:v>
      </x:c>
      <x:c r="P93" s="42" t="b">
        <x:v>0</x:v>
      </x:c>
      <x:c r="Q93" s="36"/>
      <x:c r="R93" s="36"/>
      <x:c r="S93" s="36"/>
      <x:c r="T93" s="38" t="str">
        <x:v>{"entity_id":"MFE-F84205583368B6","source_field":"manufacturer","source_term":"LEXUS","active_canonical_name":"Lexus","effective_canonical_name":"Lex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4" ht="18" customHeight="1">
      <x:c r="A94" s="36" t="str">
        <x:v>MFE-19866C9BDD9673</x:v>
      </x:c>
      <x:c r="B94" s="36" t="str">
        <x:v>built_in_catalog</x:v>
      </x:c>
      <x:c r="C94" s="36" t="str">
        <x:v>brand</x:v>
      </x:c>
      <x:c r="D94" s="36" t="str">
        <x:v>LINCOLN CONTINENTAL</x:v>
      </x:c>
      <x:c r="E94" s="36" t="str">
        <x:v>Lincoln</x:v>
      </x:c>
      <x:c r="F94" s="36" t="str">
        <x:v>Lincoln</x:v>
      </x:c>
      <x:c r="G94" s="36" t="str">
        <x:v>vehicle_manufacturer</x:v>
      </x:c>
      <x:c r="H94" s="36" t="str">
        <x:v>vehicle_manufacturer</x:v>
      </x:c>
      <x:c r="I94" s="36" t="str">
        <x:v>use_entity</x:v>
      </x:c>
      <x:c r="J94" s="36" t="str">
        <x:v>use_entity</x:v>
      </x:c>
      <x:c r="K94" s="36" t="str">
        <x:v>exact</x:v>
      </x:c>
      <x:c r="L94" s="36" t="n">
        <x:v>0</x:v>
      </x:c>
      <x:c r="M94" s="38" t="str">
        <x:v>[]</x:v>
      </x:c>
      <x:c r="N94" s="38" t="str">
        <x:v>[]</x:v>
      </x:c>
      <x:c r="O94" s="42" t="b">
        <x:v>0</x:v>
      </x:c>
      <x:c r="P94" s="42" t="b">
        <x:v>0</x:v>
      </x:c>
      <x:c r="Q94" s="36"/>
      <x:c r="R94" s="36"/>
      <x:c r="S94" s="36"/>
      <x:c r="T94" s="38" t="str">
        <x:v>{"entity_id":"MFE-19866C9BDD9673","source_field":"brand","source_term":"LINCOLN CONTINENTAL","active_canonical_name":"Lincoln","effective_canonical_name":"Lincol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5" ht="18" customHeight="1">
      <x:c r="A95" s="36" t="str">
        <x:v>MFE-BADFAB90EFEBBB</x:v>
      </x:c>
      <x:c r="B95" s="36" t="str">
        <x:v>built_in_catalog</x:v>
      </x:c>
      <x:c r="C95" s="36" t="str">
        <x:v>manufacturer</x:v>
      </x:c>
      <x:c r="D95" s="36" t="str">
        <x:v>LUANO CAMP</x:v>
      </x:c>
      <x:c r="E95" s="36" t="str">
        <x:v>Luno Camp</x:v>
      </x:c>
      <x:c r="F95" s="36" t="str">
        <x:v>Luno Camp</x:v>
      </x:c>
      <x:c r="G95" s="36" t="str">
        <x:v>bodybuilder_converter</x:v>
      </x:c>
      <x:c r="H95" s="36" t="str">
        <x:v>bodybuilder_converter</x:v>
      </x:c>
      <x:c r="I95" s="36" t="str">
        <x:v>use_base_manufacturer</x:v>
      </x:c>
      <x:c r="J95" s="36" t="str">
        <x:v>use_base_manufacturer</x:v>
      </x:c>
      <x:c r="K95" s="36" t="str">
        <x:v>exact</x:v>
      </x:c>
      <x:c r="L95" s="36" t="n">
        <x:v>0</x:v>
      </x:c>
      <x:c r="M95" s="38" t="str">
        <x:v>[]</x:v>
      </x:c>
      <x:c r="N95" s="38" t="str">
        <x:v>[]</x:v>
      </x:c>
      <x:c r="O95" s="42" t="b">
        <x:v>0</x:v>
      </x:c>
      <x:c r="P95" s="42" t="b">
        <x:v>0</x:v>
      </x:c>
      <x:c r="Q95" s="36"/>
      <x:c r="R95" s="36"/>
      <x:c r="S95" s="36"/>
      <x:c r="T95" s="38" t="str">
        <x:v>{"entity_id":"MFE-BADFAB90EFEBBB","source_field":"manufacturer","source_term":"LUANO CAMP","active_canonical_name":"Luno Camp","effective_canonical_name":"Luno Camp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96" ht="18" customHeight="1">
      <x:c r="A96" s="36" t="str">
        <x:v>MFE-B870021A465342</x:v>
      </x:c>
      <x:c r="B96" s="36" t="str">
        <x:v>built_in_catalog</x:v>
      </x:c>
      <x:c r="C96" s="36" t="str">
        <x:v>manufacturer</x:v>
      </x:c>
      <x:c r="D96" s="36" t="str">
        <x:v>LUNO CAMP</x:v>
      </x:c>
      <x:c r="E96" s="36" t="str">
        <x:v>Luno Camp</x:v>
      </x:c>
      <x:c r="F96" s="36" t="str">
        <x:v>Luno Camp</x:v>
      </x:c>
      <x:c r="G96" s="36" t="str">
        <x:v>bodybuilder_converter</x:v>
      </x:c>
      <x:c r="H96" s="36" t="str">
        <x:v>bodybuilder_converter</x:v>
      </x:c>
      <x:c r="I96" s="36" t="str">
        <x:v>use_base_manufacturer</x:v>
      </x:c>
      <x:c r="J96" s="36" t="str">
        <x:v>use_base_manufacturer</x:v>
      </x:c>
      <x:c r="K96" s="36" t="str">
        <x:v>exact</x:v>
      </x:c>
      <x:c r="L96" s="36" t="n">
        <x:v>0</x:v>
      </x:c>
      <x:c r="M96" s="38" t="str">
        <x:v>[]</x:v>
      </x:c>
      <x:c r="N96" s="38" t="str">
        <x:v>[]</x:v>
      </x:c>
      <x:c r="O96" s="42" t="b">
        <x:v>0</x:v>
      </x:c>
      <x:c r="P96" s="42" t="b">
        <x:v>0</x:v>
      </x:c>
      <x:c r="Q96" s="36"/>
      <x:c r="R96" s="36"/>
      <x:c r="S96" s="36"/>
      <x:c r="T96" s="38" t="str">
        <x:v>{"entity_id":"MFE-B870021A465342","source_field":"manufacturer","source_term":"LUNO CAMP","active_canonical_name":"Luno Camp","effective_canonical_name":"Luno Camp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97" ht="18" customHeight="1">
      <x:c r="A97" s="36" t="str">
        <x:v>MFE-75B2600A028211</x:v>
      </x:c>
      <x:c r="B97" s="36" t="str">
        <x:v>built_in_catalog</x:v>
      </x:c>
      <x:c r="C97" s="36" t="str">
        <x:v>brand</x:v>
      </x:c>
      <x:c r="D97" s="36" t="str">
        <x:v>LÖÖVESLÄPET LS 1300</x:v>
      </x:c>
      <x:c r="E97" s="36" t="str">
        <x:v>Löövesläpet</x:v>
      </x:c>
      <x:c r="F97" s="36" t="str">
        <x:v>Löövesläpet</x:v>
      </x:c>
      <x:c r="G97" s="36" t="str">
        <x:v>vehicle_manufacturer</x:v>
      </x:c>
      <x:c r="H97" s="36" t="str">
        <x:v>vehicle_manufacturer</x:v>
      </x:c>
      <x:c r="I97" s="36" t="str">
        <x:v>use_entity</x:v>
      </x:c>
      <x:c r="J97" s="36" t="str">
        <x:v>use_entity</x:v>
      </x:c>
      <x:c r="K97" s="36" t="str">
        <x:v>exact</x:v>
      </x:c>
      <x:c r="L97" s="36" t="n">
        <x:v>0</x:v>
      </x:c>
      <x:c r="M97" s="38" t="str">
        <x:v>[]</x:v>
      </x:c>
      <x:c r="N97" s="38" t="str">
        <x:v>[]</x:v>
      </x:c>
      <x:c r="O97" s="42" t="b">
        <x:v>0</x:v>
      </x:c>
      <x:c r="P97" s="42" t="b">
        <x:v>0</x:v>
      </x:c>
      <x:c r="Q97" s="36"/>
      <x:c r="R97" s="36"/>
      <x:c r="S97" s="36"/>
      <x:c r="T97" s="38" t="str">
        <x:v>{"entity_id":"MFE-75B2600A028211","source_field":"brand","source_term":"LÖÖVESLÄPET LS 1300","active_canonical_name":"Löövesläpet","effective_canonical_name":"Lööve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8" ht="18" customHeight="1">
      <x:c r="A98" s="36" t="str">
        <x:v>MFE-65D2D2F5380269</x:v>
      </x:c>
      <x:c r="B98" s="36" t="str">
        <x:v>built_in_catalog</x:v>
      </x:c>
      <x:c r="C98" s="36" t="str">
        <x:v>brand</x:v>
      </x:c>
      <x:c r="D98" s="36" t="str">
        <x:v>LÖÖVESLÄPET LS 1300 CAR</x:v>
      </x:c>
      <x:c r="E98" s="36" t="str">
        <x:v>Löövesläpet</x:v>
      </x:c>
      <x:c r="F98" s="36" t="str">
        <x:v>Löövesläpet</x:v>
      </x:c>
      <x:c r="G98" s="36" t="str">
        <x:v>vehicle_manufacturer</x:v>
      </x:c>
      <x:c r="H98" s="36" t="str">
        <x:v>vehicle_manufacturer</x:v>
      </x:c>
      <x:c r="I98" s="36" t="str">
        <x:v>use_entity</x:v>
      </x:c>
      <x:c r="J98" s="36" t="str">
        <x:v>use_entity</x:v>
      </x:c>
      <x:c r="K98" s="36" t="str">
        <x:v>exact</x:v>
      </x:c>
      <x:c r="L98" s="36" t="n">
        <x:v>0</x:v>
      </x:c>
      <x:c r="M98" s="38" t="str">
        <x:v>[]</x:v>
      </x:c>
      <x:c r="N98" s="38" t="str">
        <x:v>[]</x:v>
      </x:c>
      <x:c r="O98" s="42" t="b">
        <x:v>0</x:v>
      </x:c>
      <x:c r="P98" s="42" t="b">
        <x:v>0</x:v>
      </x:c>
      <x:c r="Q98" s="36"/>
      <x:c r="R98" s="36"/>
      <x:c r="S98" s="36"/>
      <x:c r="T98" s="38" t="str">
        <x:v>{"entity_id":"MFE-65D2D2F5380269","source_field":"brand","source_term":"LÖÖVESLÄPET LS 1300 CAR","active_canonical_name":"Löövesläpet","effective_canonical_name":"Lööve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9" ht="18" customHeight="1">
      <x:c r="A99" s="36" t="str">
        <x:v>MFE-97EB197FEB219F</x:v>
      </x:c>
      <x:c r="B99" s="36" t="str">
        <x:v>built_in_catalog</x:v>
      </x:c>
      <x:c r="C99" s="36" t="str">
        <x:v>manufacturer</x:v>
      </x:c>
      <x:c r="D99" s="36" t="str">
        <x:v>MAN</x:v>
      </x:c>
      <x:c r="E99" s="36" t="str">
        <x:v>MAN</x:v>
      </x:c>
      <x:c r="F99" s="36" t="str">
        <x:v>MAN</x:v>
      </x:c>
      <x:c r="G99" s="36" t="str">
        <x:v>vehicle_manufacturer</x:v>
      </x:c>
      <x:c r="H99" s="36" t="str">
        <x:v>vehicle_manufacturer</x:v>
      </x:c>
      <x:c r="I99" s="36" t="str">
        <x:v>use_entity</x:v>
      </x:c>
      <x:c r="J99" s="36" t="str">
        <x:v>use_entity</x:v>
      </x:c>
      <x:c r="K99" s="36" t="str">
        <x:v>exact</x:v>
      </x:c>
      <x:c r="L99" s="36" t="n">
        <x:v>0</x:v>
      </x:c>
      <x:c r="M99" s="38" t="str">
        <x:v>[]</x:v>
      </x:c>
      <x:c r="N99" s="38" t="str">
        <x:v>[]</x:v>
      </x:c>
      <x:c r="O99" s="42" t="b">
        <x:v>0</x:v>
      </x:c>
      <x:c r="P99" s="42" t="b">
        <x:v>0</x:v>
      </x:c>
      <x:c r="Q99" s="36"/>
      <x:c r="R99" s="36"/>
      <x:c r="S99" s="36"/>
      <x:c r="T99" s="38" t="str">
        <x:v>{"entity_id":"MFE-97EB197FEB219F","source_field":"manufacturer","source_term":"MAN","active_canonical_name":"MAN","effective_canonical_name":"M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0" ht="18" customHeight="1">
      <x:c r="A100" s="36" t="str">
        <x:v>MFE-43E1275F967C6B</x:v>
      </x:c>
      <x:c r="B100" s="36" t="str">
        <x:v>built_in_catalog</x:v>
      </x:c>
      <x:c r="C100" s="36" t="str">
        <x:v>manufacturer</x:v>
      </x:c>
      <x:c r="D100" s="36" t="str">
        <x:v>MAN TRUCK BUS</x:v>
      </x:c>
      <x:c r="E100" s="36" t="str">
        <x:v>MAN</x:v>
      </x:c>
      <x:c r="F100" s="36" t="str">
        <x:v>MAN</x:v>
      </x:c>
      <x:c r="G100" s="36" t="str">
        <x:v>vehicle_manufacturer</x:v>
      </x:c>
      <x:c r="H100" s="36" t="str">
        <x:v>vehicle_manufacturer</x:v>
      </x:c>
      <x:c r="I100" s="36" t="str">
        <x:v>use_entity</x:v>
      </x:c>
      <x:c r="J100" s="36" t="str">
        <x:v>use_entity</x:v>
      </x:c>
      <x:c r="K100" s="36" t="str">
        <x:v>exact</x:v>
      </x:c>
      <x:c r="L100" s="36" t="n">
        <x:v>0</x:v>
      </x:c>
      <x:c r="M100" s="38" t="str">
        <x:v>[]</x:v>
      </x:c>
      <x:c r="N100" s="38" t="str">
        <x:v>[]</x:v>
      </x:c>
      <x:c r="O100" s="42" t="b">
        <x:v>0</x:v>
      </x:c>
      <x:c r="P100" s="42" t="b">
        <x:v>0</x:v>
      </x:c>
      <x:c r="Q100" s="36"/>
      <x:c r="R100" s="36"/>
      <x:c r="S100" s="36"/>
      <x:c r="T100" s="38" t="str">
        <x:v>{"entity_id":"MFE-43E1275F967C6B","source_field":"manufacturer","source_term":"MAN TRUCK BUS","active_canonical_name":"MAN","effective_canonical_name":"M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1" ht="18" customHeight="1">
      <x:c r="A101" s="36" t="str">
        <x:v>MFE-81021CC7C83B15</x:v>
      </x:c>
      <x:c r="B101" s="36" t="str">
        <x:v>built_in_catalog</x:v>
      </x:c>
      <x:c r="C101" s="36" t="str">
        <x:v>brand</x:v>
      </x:c>
      <x:c r="D101" s="36" t="str">
        <x:v>MARKLUNDS BIL SMIDE MB</x:v>
      </x:c>
      <x:c r="E101" s="36" t="str">
        <x:v>Marklunds Bil &amp; Smide</x:v>
      </x:c>
      <x:c r="F101" s="36" t="str">
        <x:v>Marklunds Bil &amp; Smide</x:v>
      </x:c>
      <x:c r="G101" s="36" t="str">
        <x:v>vehicle_manufacturer</x:v>
      </x:c>
      <x:c r="H101" s="36" t="str">
        <x:v>vehicle_manufacturer</x:v>
      </x:c>
      <x:c r="I101" s="36" t="str">
        <x:v>use_entity</x:v>
      </x:c>
      <x:c r="J101" s="36" t="str">
        <x:v>use_entity</x:v>
      </x:c>
      <x:c r="K101" s="36" t="str">
        <x:v>exact</x:v>
      </x:c>
      <x:c r="L101" s="36" t="n">
        <x:v>0</x:v>
      </x:c>
      <x:c r="M101" s="38" t="str">
        <x:v>[]</x:v>
      </x:c>
      <x:c r="N101" s="38" t="str">
        <x:v>[]</x:v>
      </x:c>
      <x:c r="O101" s="42" t="b">
        <x:v>0</x:v>
      </x:c>
      <x:c r="P101" s="42" t="b">
        <x:v>0</x:v>
      </x:c>
      <x:c r="Q101" s="36"/>
      <x:c r="R101" s="36"/>
      <x:c r="S101" s="36"/>
      <x:c r="T101" s="38" t="str">
        <x:v>{"entity_id":"MFE-81021CC7C83B15","source_field":"brand","source_term":"MARKLUNDS BIL SMIDE MB","active_canonical_name":"Marklunds Bil &amp; Smide","effective_canonical_name":"Marklunds Bil &amp; Smid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2" ht="18" customHeight="1">
      <x:c r="A102" s="36" t="str">
        <x:v>MFE-371EBCDAB5CEB9</x:v>
      </x:c>
      <x:c r="B102" s="36" t="str">
        <x:v>built_in_catalog</x:v>
      </x:c>
      <x:c r="C102" s="36" t="str">
        <x:v>brand</x:v>
      </x:c>
      <x:c r="D102" s="36" t="str">
        <x:v>MASSEY FERGUSON 135</x:v>
      </x:c>
      <x:c r="E102" s="36" t="str">
        <x:v>Massey Ferguson</x:v>
      </x:c>
      <x:c r="F102" s="36" t="str">
        <x:v>Massey Ferguson</x:v>
      </x:c>
      <x:c r="G102" s="36" t="str">
        <x:v>vehicle_manufacturer</x:v>
      </x:c>
      <x:c r="H102" s="36" t="str">
        <x:v>vehicle_manufacturer</x:v>
      </x:c>
      <x:c r="I102" s="36" t="str">
        <x:v>use_entity</x:v>
      </x:c>
      <x:c r="J102" s="36" t="str">
        <x:v>use_entity</x:v>
      </x:c>
      <x:c r="K102" s="36" t="str">
        <x:v>exact</x:v>
      </x:c>
      <x:c r="L102" s="36" t="n">
        <x:v>0</x:v>
      </x:c>
      <x:c r="M102" s="38" t="str">
        <x:v>[]</x:v>
      </x:c>
      <x:c r="N102" s="38" t="str">
        <x:v>[]</x:v>
      </x:c>
      <x:c r="O102" s="42" t="b">
        <x:v>0</x:v>
      </x:c>
      <x:c r="P102" s="42" t="b">
        <x:v>0</x:v>
      </x:c>
      <x:c r="Q102" s="36"/>
      <x:c r="R102" s="36"/>
      <x:c r="S102" s="36"/>
      <x:c r="T102" s="38" t="str">
        <x:v>{"entity_id":"MFE-371EBCDAB5CEB9","source_field":"brand","source_term":"MASSEY FERGUSON 135","active_canonical_name":"Massey Ferguson","effective_canonical_name":"Massey Fergu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3" ht="18" customHeight="1">
      <x:c r="A103" s="36" t="str">
        <x:v>MFE-23B7CC09F0985E</x:v>
      </x:c>
      <x:c r="B103" s="36" t="str">
        <x:v>built_in_catalog</x:v>
      </x:c>
      <x:c r="C103" s="36" t="str">
        <x:v>brand</x:v>
      </x:c>
      <x:c r="D103" s="36" t="str">
        <x:v>MASSEY FERGUSON 135 S</x:v>
      </x:c>
      <x:c r="E103" s="36" t="str">
        <x:v>Massey Ferguson</x:v>
      </x:c>
      <x:c r="F103" s="36" t="str">
        <x:v>Massey Ferguson</x:v>
      </x:c>
      <x:c r="G103" s="36" t="str">
        <x:v>vehicle_manufacturer</x:v>
      </x:c>
      <x:c r="H103" s="36" t="str">
        <x:v>vehicle_manufacturer</x:v>
      </x:c>
      <x:c r="I103" s="36" t="str">
        <x:v>use_entity</x:v>
      </x:c>
      <x:c r="J103" s="36" t="str">
        <x:v>use_entity</x:v>
      </x:c>
      <x:c r="K103" s="36" t="str">
        <x:v>exact</x:v>
      </x:c>
      <x:c r="L103" s="36" t="n">
        <x:v>0</x:v>
      </x:c>
      <x:c r="M103" s="38" t="str">
        <x:v>[]</x:v>
      </x:c>
      <x:c r="N103" s="38" t="str">
        <x:v>[]</x:v>
      </x:c>
      <x:c r="O103" s="42" t="b">
        <x:v>0</x:v>
      </x:c>
      <x:c r="P103" s="42" t="b">
        <x:v>0</x:v>
      </x:c>
      <x:c r="Q103" s="36"/>
      <x:c r="R103" s="36"/>
      <x:c r="S103" s="36"/>
      <x:c r="T103" s="38" t="str">
        <x:v>{"entity_id":"MFE-23B7CC09F0985E","source_field":"brand","source_term":"MASSEY FERGUSON 135 S","active_canonical_name":"Massey Ferguson","effective_canonical_name":"Massey Fergu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4" ht="18" customHeight="1">
      <x:c r="A104" s="36" t="str">
        <x:v>MFE-1599B91CDA0C81</x:v>
      </x:c>
      <x:c r="B104" s="36" t="str">
        <x:v>built_in_catalog</x:v>
      </x:c>
      <x:c r="C104" s="36" t="str">
        <x:v>manufacturer</x:v>
      </x:c>
      <x:c r="D104" s="36" t="str">
        <x:v>MAXUS</x:v>
      </x:c>
      <x:c r="E104" s="36" t="str">
        <x:v>Maxus</x:v>
      </x:c>
      <x:c r="F104" s="36" t="str">
        <x:v>Maxus</x:v>
      </x:c>
      <x:c r="G104" s="36" t="str">
        <x:v>vehicle_manufacturer</x:v>
      </x:c>
      <x:c r="H104" s="36" t="str">
        <x:v>vehicle_manufacturer</x:v>
      </x:c>
      <x:c r="I104" s="36" t="str">
        <x:v>use_entity</x:v>
      </x:c>
      <x:c r="J104" s="36" t="str">
        <x:v>use_entity</x:v>
      </x:c>
      <x:c r="K104" s="36" t="str">
        <x:v>exact</x:v>
      </x:c>
      <x:c r="L104" s="36" t="n">
        <x:v>0</x:v>
      </x:c>
      <x:c r="M104" s="38" t="str">
        <x:v>[]</x:v>
      </x:c>
      <x:c r="N104" s="38" t="str">
        <x:v>[]</x:v>
      </x:c>
      <x:c r="O104" s="42" t="b">
        <x:v>0</x:v>
      </x:c>
      <x:c r="P104" s="42" t="b">
        <x:v>0</x:v>
      </x:c>
      <x:c r="Q104" s="36"/>
      <x:c r="R104" s="36"/>
      <x:c r="S104" s="36"/>
      <x:c r="T104" s="38" t="str">
        <x:v>{"entity_id":"MFE-1599B91CDA0C81","source_field":"manufacturer","source_term":"MAXUS","active_canonical_name":"Maxus","effective_canonical_name":"Max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5" ht="18" customHeight="1">
      <x:c r="A105" s="36" t="str">
        <x:v>MFE-93F566BF966539</x:v>
      </x:c>
      <x:c r="B105" s="36" t="str">
        <x:v>active_database_override</x:v>
      </x:c>
      <x:c r="C105" s="36" t="str">
        <x:v>brand</x:v>
      </x:c>
      <x:c r="D105" s="36" t="str">
        <x:v>MAZDA</x:v>
      </x:c>
      <x:c r="E105" s="36" t="str">
        <x:v>Mazda</x:v>
      </x:c>
      <x:c r="F105" s="36" t="str">
        <x:v>Mazda</x:v>
      </x:c>
      <x:c r="G105" s="36" t="str">
        <x:v>vehicle_manufacturer</x:v>
      </x:c>
      <x:c r="H105" s="36" t="str">
        <x:v>vehicle_manufacturer</x:v>
      </x:c>
      <x:c r="I105" s="36" t="str">
        <x:v>use_entity</x:v>
      </x:c>
      <x:c r="J105" s="36" t="str">
        <x:v>use_entity</x:v>
      </x:c>
      <x:c r="K105" s="36" t="str">
        <x:v>whole_token_prefix</x:v>
      </x:c>
      <x:c r="L105" s="36" t="n">
        <x:v>0</x:v>
      </x:c>
      <x:c r="M105" s="38" t="str">
        <x:v>[]</x:v>
      </x:c>
      <x:c r="N105" s="38" t="str">
        <x:v>["MAZDA 626 KOMBI 2 0D GLX"]</x:v>
      </x:c>
      <x:c r="O105" s="42" t="b">
        <x:v>0</x:v>
      </x:c>
      <x:c r="P105" s="42" t="b">
        <x:v>0</x:v>
      </x:c>
      <x:c r="Q105" s="36"/>
      <x:c r="R105" s="36" t="n">
        <x:v>46239.752050324074</x:v>
      </x:c>
      <x:c r="S105" s="36" t="n">
        <x:v>46239.7710441088</x:v>
      </x:c>
      <x:c r="T105" s="38" t="str">
        <x:v>{"entity_id":"MFE-93F566BF966539","source_field":"brand","source_term":"MAZDA","active_canonical_name":"Mazda","effective_canonical_name":"Maz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MAZDA 626 KOMBI 2 0D GLX"]}</x:v>
      </x:c>
    </x:row>
    <x:row r="106" ht="18" customHeight="1">
      <x:c r="A106" s="36" t="str">
        <x:v>MFE-1282B54E23BB4C</x:v>
      </x:c>
      <x:c r="B106" s="36" t="str">
        <x:v>built_in_catalog</x:v>
      </x:c>
      <x:c r="C106" s="36" t="str">
        <x:v>manufacturer</x:v>
      </x:c>
      <x:c r="D106" s="36" t="str">
        <x:v>MERCEDES</x:v>
      </x:c>
      <x:c r="E106" s="36" t="str">
        <x:v>Mercedes-Benz</x:v>
      </x:c>
      <x:c r="F106" s="36" t="str">
        <x:v>Mercedes-Benz</x:v>
      </x:c>
      <x:c r="G106" s="36" t="str">
        <x:v>vehicle_manufacturer</x:v>
      </x:c>
      <x:c r="H106" s="36" t="str">
        <x:v>vehicle_manufacturer</x:v>
      </x:c>
      <x:c r="I106" s="36" t="str">
        <x:v>use_entity</x:v>
      </x:c>
      <x:c r="J106" s="36" t="str">
        <x:v>use_entity</x:v>
      </x:c>
      <x:c r="K106" s="36" t="str">
        <x:v>exact</x:v>
      </x:c>
      <x:c r="L106" s="36" t="n">
        <x:v>0</x:v>
      </x:c>
      <x:c r="M106" s="38" t="str">
        <x:v>[]</x:v>
      </x:c>
      <x:c r="N106" s="38" t="str">
        <x:v>[]</x:v>
      </x:c>
      <x:c r="O106" s="42" t="b">
        <x:v>0</x:v>
      </x:c>
      <x:c r="P106" s="42" t="b">
        <x:v>0</x:v>
      </x:c>
      <x:c r="Q106" s="36"/>
      <x:c r="R106" s="36"/>
      <x:c r="S106" s="36"/>
      <x:c r="T106" s="38" t="str">
        <x:v>{"entity_id":"MFE-1282B54E23BB4C","source_field":"manufacturer","source_term":"MERCEDES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7" ht="18" customHeight="1">
      <x:c r="A107" s="36" t="str">
        <x:v>MFE-561A61EF72F9D2</x:v>
      </x:c>
      <x:c r="B107" s="36" t="str">
        <x:v>built_in_catalog</x:v>
      </x:c>
      <x:c r="C107" s="36" t="str">
        <x:v>manufacturer</x:v>
      </x:c>
      <x:c r="D107" s="36" t="str">
        <x:v>MERCEDES BENZ</x:v>
      </x:c>
      <x:c r="E107" s="36" t="str">
        <x:v>Mercedes-Benz</x:v>
      </x:c>
      <x:c r="F107" s="36" t="str">
        <x:v>Mercedes-Benz</x:v>
      </x:c>
      <x:c r="G107" s="36" t="str">
        <x:v>vehicle_manufacturer</x:v>
      </x:c>
      <x:c r="H107" s="36" t="str">
        <x:v>vehicle_manufacturer</x:v>
      </x:c>
      <x:c r="I107" s="36" t="str">
        <x:v>use_entity</x:v>
      </x:c>
      <x:c r="J107" s="36" t="str">
        <x:v>use_entity</x:v>
      </x:c>
      <x:c r="K107" s="36" t="str">
        <x:v>exact</x:v>
      </x:c>
      <x:c r="L107" s="36" t="n">
        <x:v>0</x:v>
      </x:c>
      <x:c r="M107" s="38" t="str">
        <x:v>[]</x:v>
      </x:c>
      <x:c r="N107" s="38" t="str">
        <x:v>[]</x:v>
      </x:c>
      <x:c r="O107" s="42" t="b">
        <x:v>0</x:v>
      </x:c>
      <x:c r="P107" s="42" t="b">
        <x:v>0</x:v>
      </x:c>
      <x:c r="Q107" s="36"/>
      <x:c r="R107" s="36"/>
      <x:c r="S107" s="36"/>
      <x:c r="T107" s="38" t="str">
        <x:v>{"entity_id":"MFE-561A61EF72F9D2","source_field":"manufacturer","source_term":"MERCEDES BENZ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8" ht="18" customHeight="1">
      <x:c r="A108" s="36" t="str">
        <x:v>MFE-7604D1076B1104</x:v>
      </x:c>
      <x:c r="B108" s="36" t="str">
        <x:v>built_in_catalog</x:v>
      </x:c>
      <x:c r="C108" s="36" t="str">
        <x:v>manufacturer</x:v>
      </x:c>
      <x:c r="D108" s="36" t="str">
        <x:v>MERCEDES BENZ AG</x:v>
      </x:c>
      <x:c r="E108" s="36" t="str">
        <x:v>Mercedes-Benz</x:v>
      </x:c>
      <x:c r="F108" s="36" t="str">
        <x:v>Mercedes-Benz</x:v>
      </x:c>
      <x:c r="G108" s="36" t="str">
        <x:v>vehicle_manufacturer</x:v>
      </x:c>
      <x:c r="H108" s="36" t="str">
        <x:v>vehicle_manufacturer</x:v>
      </x:c>
      <x:c r="I108" s="36" t="str">
        <x:v>use_entity</x:v>
      </x:c>
      <x:c r="J108" s="36" t="str">
        <x:v>use_entity</x:v>
      </x:c>
      <x:c r="K108" s="36" t="str">
        <x:v>exact</x:v>
      </x:c>
      <x:c r="L108" s="36" t="n">
        <x:v>0</x:v>
      </x:c>
      <x:c r="M108" s="38" t="str">
        <x:v>[]</x:v>
      </x:c>
      <x:c r="N108" s="38" t="str">
        <x:v>[]</x:v>
      </x:c>
      <x:c r="O108" s="42" t="b">
        <x:v>0</x:v>
      </x:c>
      <x:c r="P108" s="42" t="b">
        <x:v>0</x:v>
      </x:c>
      <x:c r="Q108" s="36"/>
      <x:c r="R108" s="36"/>
      <x:c r="S108" s="36"/>
      <x:c r="T108" s="38" t="str">
        <x:v>{"entity_id":"MFE-7604D1076B1104","source_field":"manufacturer","source_term":"MERCEDES BENZ AG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9" ht="18" customHeight="1">
      <x:c r="A109" s="36" t="str">
        <x:v>MFE-230D97D4D05058</x:v>
      </x:c>
      <x:c r="B109" s="36" t="str">
        <x:v>built_in_catalog</x:v>
      </x:c>
      <x:c r="C109" s="36" t="str">
        <x:v>manufacturer</x:v>
      </x:c>
      <x:c r="D109" s="36" t="str">
        <x:v>MINI</x:v>
      </x:c>
      <x:c r="E109" s="36" t="str">
        <x:v>MINI</x:v>
      </x:c>
      <x:c r="F109" s="36" t="str">
        <x:v>MINI</x:v>
      </x:c>
      <x:c r="G109" s="36" t="str">
        <x:v>vehicle_manufacturer</x:v>
      </x:c>
      <x:c r="H109" s="36" t="str">
        <x:v>vehicle_manufacturer</x:v>
      </x:c>
      <x:c r="I109" s="36" t="str">
        <x:v>use_entity</x:v>
      </x:c>
      <x:c r="J109" s="36" t="str">
        <x:v>use_entity</x:v>
      </x:c>
      <x:c r="K109" s="36" t="str">
        <x:v>exact</x:v>
      </x:c>
      <x:c r="L109" s="36" t="n">
        <x:v>0</x:v>
      </x:c>
      <x:c r="M109" s="38" t="str">
        <x:v>[]</x:v>
      </x:c>
      <x:c r="N109" s="38" t="str">
        <x:v>[]</x:v>
      </x:c>
      <x:c r="O109" s="42" t="b">
        <x:v>0</x:v>
      </x:c>
      <x:c r="P109" s="42" t="b">
        <x:v>0</x:v>
      </x:c>
      <x:c r="Q109" s="36"/>
      <x:c r="R109" s="36"/>
      <x:c r="S109" s="36"/>
      <x:c r="T109" s="38" t="str">
        <x:v>{"entity_id":"MFE-230D97D4D05058","source_field":"manufacturer","source_term":"MINI","active_canonical_name":"MINI","effective_canonical_name":"MIN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0" ht="18" customHeight="1">
      <x:c r="A110" s="36" t="str">
        <x:v>MFE-329EF04E45F8EF</x:v>
      </x:c>
      <x:c r="B110" s="36" t="str">
        <x:v>active_database_override</x:v>
      </x:c>
      <x:c r="C110" s="36" t="str">
        <x:v>brand</x:v>
      </x:c>
      <x:c r="D110" s="36" t="str">
        <x:v>MITSUBISHI</x:v>
      </x:c>
      <x:c r="E110" s="36" t="str">
        <x:v>Mitsubishi</x:v>
      </x:c>
      <x:c r="F110" s="36" t="str">
        <x:v>Mitsubishi</x:v>
      </x:c>
      <x:c r="G110" s="36" t="str">
        <x:v>vehicle_manufacturer</x:v>
      </x:c>
      <x:c r="H110" s="36" t="str">
        <x:v>vehicle_manufacturer</x:v>
      </x:c>
      <x:c r="I110" s="36" t="str">
        <x:v>use_entity</x:v>
      </x:c>
      <x:c r="J110" s="36" t="str">
        <x:v>use_entity</x:v>
      </x:c>
      <x:c r="K110" s="36" t="str">
        <x:v>whole_token_prefix</x:v>
      </x:c>
      <x:c r="L110" s="36" t="n">
        <x:v>0</x:v>
      </x:c>
      <x:c r="M110" s="38" t="str">
        <x:v>[]</x:v>
      </x:c>
      <x:c r="N110" s="38" t="str">
        <x:v>[]</x:v>
      </x:c>
      <x:c r="O110" s="42" t="b">
        <x:v>0</x:v>
      </x:c>
      <x:c r="P110" s="42" t="b">
        <x:v>0</x:v>
      </x:c>
      <x:c r="Q110" s="36"/>
      <x:c r="R110" s="36" t="n">
        <x:v>46239.752050324074</x:v>
      </x:c>
      <x:c r="S110" s="36" t="n">
        <x:v>46239.752050324074</x:v>
      </x:c>
      <x:c r="T110" s="38" t="str">
        <x:v>{"entity_id":"MFE-329EF04E45F8EF","source_field":"brand","source_term":"MITSUBISHI","active_canonical_name":"Mitsubishi","effective_canonical_name":"Mitsubish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11" ht="18" customHeight="1">
      <x:c r="A111" s="36" t="str">
        <x:v>MFE-974388BBB91500</x:v>
      </x:c>
      <x:c r="B111" s="36" t="str">
        <x:v>built_in_catalog</x:v>
      </x:c>
      <x:c r="C111" s="36" t="str">
        <x:v>brand</x:v>
      </x:c>
      <x:c r="D111" s="36" t="str">
        <x:v>NEPTUN</x:v>
      </x:c>
      <x:c r="E111" s="36" t="str">
        <x:v>Neptun</x:v>
      </x:c>
      <x:c r="F111" s="36" t="str">
        <x:v>Neptun</x:v>
      </x:c>
      <x:c r="G111" s="36" t="str">
        <x:v>vehicle_manufacturer</x:v>
      </x:c>
      <x:c r="H111" s="36" t="str">
        <x:v>vehicle_manufacturer</x:v>
      </x:c>
      <x:c r="I111" s="36" t="str">
        <x:v>use_entity</x:v>
      </x:c>
      <x:c r="J111" s="36" t="str">
        <x:v>use_entity</x:v>
      </x:c>
      <x:c r="K111" s="36" t="str">
        <x:v>exact</x:v>
      </x:c>
      <x:c r="L111" s="36" t="n">
        <x:v>0</x:v>
      </x:c>
      <x:c r="M111" s="38" t="str">
        <x:v>[]</x:v>
      </x:c>
      <x:c r="N111" s="38" t="str">
        <x:v>[]</x:v>
      </x:c>
      <x:c r="O111" s="42" t="b">
        <x:v>0</x:v>
      </x:c>
      <x:c r="P111" s="42" t="b">
        <x:v>0</x:v>
      </x:c>
      <x:c r="Q111" s="36"/>
      <x:c r="R111" s="36"/>
      <x:c r="S111" s="36"/>
      <x:c r="T111" s="38" t="str">
        <x:v>{"entity_id":"MFE-974388BBB91500","source_field":"brand","source_term":"NEPTUN","active_canonical_name":"Neptun","effective_canonical_name":"Neptu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2" ht="18" customHeight="1">
      <x:c r="A112" s="36" t="str">
        <x:v>MFE-29FA3F4B35E557</x:v>
      </x:c>
      <x:c r="B112" s="36" t="str">
        <x:v>built_in_catalog</x:v>
      </x:c>
      <x:c r="C112" s="36" t="str">
        <x:v>manufacturer</x:v>
      </x:c>
      <x:c r="D112" s="36" t="str">
        <x:v>NILSSON</x:v>
      </x:c>
      <x:c r="E112" s="36" t="str">
        <x:v>Nilsson</x:v>
      </x:c>
      <x:c r="F112" s="36" t="str">
        <x:v>Nilsson</x:v>
      </x:c>
      <x:c r="G112" s="36" t="str">
        <x:v>bodybuilder_converter</x:v>
      </x:c>
      <x:c r="H112" s="36" t="str">
        <x:v>bodybuilder_converter</x:v>
      </x:c>
      <x:c r="I112" s="36" t="str">
        <x:v>use_base_manufacturer</x:v>
      </x:c>
      <x:c r="J112" s="36" t="str">
        <x:v>use_base_manufacturer</x:v>
      </x:c>
      <x:c r="K112" s="36" t="str">
        <x:v>exact</x:v>
      </x:c>
      <x:c r="L112" s="36" t="n">
        <x:v>0</x:v>
      </x:c>
      <x:c r="M112" s="38" t="str">
        <x:v>[]</x:v>
      </x:c>
      <x:c r="N112" s="38" t="str">
        <x:v>[]</x:v>
      </x:c>
      <x:c r="O112" s="42" t="b">
        <x:v>0</x:v>
      </x:c>
      <x:c r="P112" s="42" t="b">
        <x:v>0</x:v>
      </x:c>
      <x:c r="Q112" s="36"/>
      <x:c r="R112" s="36"/>
      <x:c r="S112" s="36"/>
      <x:c r="T112" s="38" t="str">
        <x:v>{"entity_id":"MFE-29FA3F4B35E557","source_field":"manufacturer","source_term":"NILSSON","active_canonical_name":"Nilsson","effective_canonical_name":"Nilsson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13" ht="18" customHeight="1">
      <x:c r="A113" s="36" t="str">
        <x:v>MFE-FAC7575C4A307A</x:v>
      </x:c>
      <x:c r="B113" s="36" t="str">
        <x:v>built_in_catalog</x:v>
      </x:c>
      <x:c r="C113" s="36" t="str">
        <x:v>manufacturer</x:v>
      </x:c>
      <x:c r="D113" s="36" t="str">
        <x:v>NILSSON SPECIAL VEHICLES</x:v>
      </x:c>
      <x:c r="E113" s="36" t="str">
        <x:v>Nilsson</x:v>
      </x:c>
      <x:c r="F113" s="36" t="str">
        <x:v>Nilsson</x:v>
      </x:c>
      <x:c r="G113" s="36" t="str">
        <x:v>bodybuilder_converter</x:v>
      </x:c>
      <x:c r="H113" s="36" t="str">
        <x:v>bodybuilder_converter</x:v>
      </x:c>
      <x:c r="I113" s="36" t="str">
        <x:v>use_base_manufacturer</x:v>
      </x:c>
      <x:c r="J113" s="36" t="str">
        <x:v>use_base_manufacturer</x:v>
      </x:c>
      <x:c r="K113" s="36" t="str">
        <x:v>exact</x:v>
      </x:c>
      <x:c r="L113" s="36" t="n">
        <x:v>0</x:v>
      </x:c>
      <x:c r="M113" s="38" t="str">
        <x:v>[]</x:v>
      </x:c>
      <x:c r="N113" s="38" t="str">
        <x:v>[]</x:v>
      </x:c>
      <x:c r="O113" s="42" t="b">
        <x:v>0</x:v>
      </x:c>
      <x:c r="P113" s="42" t="b">
        <x:v>0</x:v>
      </x:c>
      <x:c r="Q113" s="36"/>
      <x:c r="R113" s="36"/>
      <x:c r="S113" s="36"/>
      <x:c r="T113" s="38" t="str">
        <x:v>{"entity_id":"MFE-FAC7575C4A307A","source_field":"manufacturer","source_term":"NILSSON SPECIAL VEHICLES","active_canonical_name":"Nilsson","effective_canonical_name":"Nilsson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14" ht="18" customHeight="1">
      <x:c r="A114" s="36" t="str">
        <x:v>MFE-C52A1D7A5025CD</x:v>
      </x:c>
      <x:c r="B114" s="36" t="str">
        <x:v>built_in_catalog</x:v>
      </x:c>
      <x:c r="C114" s="36" t="str">
        <x:v>manufacturer</x:v>
      </x:c>
      <x:c r="D114" s="36" t="str">
        <x:v>NISSAN</x:v>
      </x:c>
      <x:c r="E114" s="36" t="str">
        <x:v>Nissan</x:v>
      </x:c>
      <x:c r="F114" s="36" t="str">
        <x:v>Nissan</x:v>
      </x:c>
      <x:c r="G114" s="36" t="str">
        <x:v>vehicle_manufacturer</x:v>
      </x:c>
      <x:c r="H114" s="36" t="str">
        <x:v>vehicle_manufacturer</x:v>
      </x:c>
      <x:c r="I114" s="36" t="str">
        <x:v>use_entity</x:v>
      </x:c>
      <x:c r="J114" s="36" t="str">
        <x:v>use_entity</x:v>
      </x:c>
      <x:c r="K114" s="36" t="str">
        <x:v>exact</x:v>
      </x:c>
      <x:c r="L114" s="36" t="n">
        <x:v>0</x:v>
      </x:c>
      <x:c r="M114" s="38" t="str">
        <x:v>[]</x:v>
      </x:c>
      <x:c r="N114" s="38" t="str">
        <x:v>[]</x:v>
      </x:c>
      <x:c r="O114" s="42" t="b">
        <x:v>0</x:v>
      </x:c>
      <x:c r="P114" s="42" t="b">
        <x:v>0</x:v>
      </x:c>
      <x:c r="Q114" s="36"/>
      <x:c r="R114" s="36"/>
      <x:c r="S114" s="36"/>
      <x:c r="T114" s="38" t="str">
        <x:v>{"entity_id":"MFE-C52A1D7A5025CD","source_field":"manufacturer","source_term":"NISSAN","active_canonical_name":"Nissan","effective_canonical_name":"Niss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5" ht="18" customHeight="1">
      <x:c r="A115" s="36" t="str">
        <x:v>MFE-D5C344923E60C0</x:v>
      </x:c>
      <x:c r="B115" s="36" t="str">
        <x:v>built_in_catalog</x:v>
      </x:c>
      <x:c r="C115" s="36" t="str">
        <x:v>manufacturer</x:v>
      </x:c>
      <x:c r="D115" s="36" t="str">
        <x:v>NISSAN MOTOR CO LTD</x:v>
      </x:c>
      <x:c r="E115" s="36" t="str">
        <x:v>Nissan</x:v>
      </x:c>
      <x:c r="F115" s="36" t="str">
        <x:v>Nissan</x:v>
      </x:c>
      <x:c r="G115" s="36" t="str">
        <x:v>vehicle_manufacturer</x:v>
      </x:c>
      <x:c r="H115" s="36" t="str">
        <x:v>vehicle_manufacturer</x:v>
      </x:c>
      <x:c r="I115" s="36" t="str">
        <x:v>use_entity</x:v>
      </x:c>
      <x:c r="J115" s="36" t="str">
        <x:v>use_entity</x:v>
      </x:c>
      <x:c r="K115" s="36" t="str">
        <x:v>exact</x:v>
      </x:c>
      <x:c r="L115" s="36" t="n">
        <x:v>0</x:v>
      </x:c>
      <x:c r="M115" s="38" t="str">
        <x:v>[]</x:v>
      </x:c>
      <x:c r="N115" s="38" t="str">
        <x:v>[]</x:v>
      </x:c>
      <x:c r="O115" s="42" t="b">
        <x:v>0</x:v>
      </x:c>
      <x:c r="P115" s="42" t="b">
        <x:v>0</x:v>
      </x:c>
      <x:c r="Q115" s="36"/>
      <x:c r="R115" s="36"/>
      <x:c r="S115" s="36"/>
      <x:c r="T115" s="38" t="str">
        <x:v>{"entity_id":"MFE-D5C344923E60C0","source_field":"manufacturer","source_term":"NISSAN MOTOR CO LTD","active_canonical_name":"Nissan","effective_canonical_name":"Niss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6" ht="18" customHeight="1">
      <x:c r="A116" s="36" t="str">
        <x:v>MFE-4DFEC79DB1B1A5</x:v>
      </x:c>
      <x:c r="B116" s="36" t="str">
        <x:v>built_in_catalog</x:v>
      </x:c>
      <x:c r="C116" s="36" t="str">
        <x:v>brand</x:v>
      </x:c>
      <x:c r="D116" s="36" t="str">
        <x:v>NUFFIELD 4 DM</x:v>
      </x:c>
      <x:c r="E116" s="36" t="str">
        <x:v>Nuffield</x:v>
      </x:c>
      <x:c r="F116" s="36" t="str">
        <x:v>Nuffield</x:v>
      </x:c>
      <x:c r="G116" s="36" t="str">
        <x:v>vehicle_manufacturer</x:v>
      </x:c>
      <x:c r="H116" s="36" t="str">
        <x:v>vehicle_manufacturer</x:v>
      </x:c>
      <x:c r="I116" s="36" t="str">
        <x:v>use_entity</x:v>
      </x:c>
      <x:c r="J116" s="36" t="str">
        <x:v>use_entity</x:v>
      </x:c>
      <x:c r="K116" s="36" t="str">
        <x:v>exact</x:v>
      </x:c>
      <x:c r="L116" s="36" t="n">
        <x:v>0</x:v>
      </x:c>
      <x:c r="M116" s="38" t="str">
        <x:v>[]</x:v>
      </x:c>
      <x:c r="N116" s="38" t="str">
        <x:v>[]</x:v>
      </x:c>
      <x:c r="O116" s="42" t="b">
        <x:v>0</x:v>
      </x:c>
      <x:c r="P116" s="42" t="b">
        <x:v>0</x:v>
      </x:c>
      <x:c r="Q116" s="36"/>
      <x:c r="R116" s="36"/>
      <x:c r="S116" s="36"/>
      <x:c r="T116" s="38" t="str">
        <x:v>{"entity_id":"MFE-4DFEC79DB1B1A5","source_field":"brand","source_term":"NUFFIELD 4 DM","active_canonical_name":"Nuffield","effective_canonical_name":"Nuffiel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7" ht="18" customHeight="1">
      <x:c r="A117" s="36" t="str">
        <x:v>MFE-CEE8172B91599C</x:v>
      </x:c>
      <x:c r="B117" s="36" t="str">
        <x:v>built_in_catalog</x:v>
      </x:c>
      <x:c r="C117" s="36" t="str">
        <x:v>brand</x:v>
      </x:c>
      <x:c r="D117" s="36" t="str">
        <x:v>OLDSMOBILE DYNAMIC88 4DR</x:v>
      </x:c>
      <x:c r="E117" s="36" t="str">
        <x:v>Oldsmobile</x:v>
      </x:c>
      <x:c r="F117" s="36" t="str">
        <x:v>Oldsmobile</x:v>
      </x:c>
      <x:c r="G117" s="36" t="str">
        <x:v>vehicle_manufacturer</x:v>
      </x:c>
      <x:c r="H117" s="36" t="str">
        <x:v>vehicle_manufacturer</x:v>
      </x:c>
      <x:c r="I117" s="36" t="str">
        <x:v>use_entity</x:v>
      </x:c>
      <x:c r="J117" s="36" t="str">
        <x:v>use_entity</x:v>
      </x:c>
      <x:c r="K117" s="36" t="str">
        <x:v>exact</x:v>
      </x:c>
      <x:c r="L117" s="36" t="n">
        <x:v>0</x:v>
      </x:c>
      <x:c r="M117" s="38" t="str">
        <x:v>[]</x:v>
      </x:c>
      <x:c r="N117" s="38" t="str">
        <x:v>[]</x:v>
      </x:c>
      <x:c r="O117" s="42" t="b">
        <x:v>0</x:v>
      </x:c>
      <x:c r="P117" s="42" t="b">
        <x:v>0</x:v>
      </x:c>
      <x:c r="Q117" s="36"/>
      <x:c r="R117" s="36"/>
      <x:c r="S117" s="36"/>
      <x:c r="T117" s="38" t="str">
        <x:v>{"entity_id":"MFE-CEE8172B91599C","source_field":"brand","source_term":"OLDSMOBILE DYNAMIC88 4DR","active_canonical_name":"Oldsmobile","effective_canonical_name":"Oldsmobi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8" ht="18" customHeight="1">
      <x:c r="A118" s="36" t="str">
        <x:v>MFE-EEA01B80A7514D</x:v>
      </x:c>
      <x:c r="B118" s="36" t="str">
        <x:v>built_in_catalog</x:v>
      </x:c>
      <x:c r="C118" s="36" t="str">
        <x:v>brand</x:v>
      </x:c>
      <x:c r="D118" s="36" t="str">
        <x:v>OLDSMOBILE SUPER 88</x:v>
      </x:c>
      <x:c r="E118" s="36" t="str">
        <x:v>Oldsmobile</x:v>
      </x:c>
      <x:c r="F118" s="36" t="str">
        <x:v>Oldsmobile</x:v>
      </x:c>
      <x:c r="G118" s="36" t="str">
        <x:v>vehicle_manufacturer</x:v>
      </x:c>
      <x:c r="H118" s="36" t="str">
        <x:v>vehicle_manufacturer</x:v>
      </x:c>
      <x:c r="I118" s="36" t="str">
        <x:v>use_entity</x:v>
      </x:c>
      <x:c r="J118" s="36" t="str">
        <x:v>use_entity</x:v>
      </x:c>
      <x:c r="K118" s="36" t="str">
        <x:v>exact</x:v>
      </x:c>
      <x:c r="L118" s="36" t="n">
        <x:v>0</x:v>
      </x:c>
      <x:c r="M118" s="38" t="str">
        <x:v>[]</x:v>
      </x:c>
      <x:c r="N118" s="38" t="str">
        <x:v>[]</x:v>
      </x:c>
      <x:c r="O118" s="42" t="b">
        <x:v>0</x:v>
      </x:c>
      <x:c r="P118" s="42" t="b">
        <x:v>0</x:v>
      </x:c>
      <x:c r="Q118" s="36"/>
      <x:c r="R118" s="36"/>
      <x:c r="S118" s="36"/>
      <x:c r="T118" s="38" t="str">
        <x:v>{"entity_id":"MFE-EEA01B80A7514D","source_field":"brand","source_term":"OLDSMOBILE SUPER 88","active_canonical_name":"Oldsmobile","effective_canonical_name":"Oldsmobi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9" ht="18" customHeight="1">
      <x:c r="A119" s="36" t="str">
        <x:v>MFE-936279280E38AB</x:v>
      </x:c>
      <x:c r="B119" s="36" t="str">
        <x:v>built_in_catalog</x:v>
      </x:c>
      <x:c r="C119" s="36" t="str">
        <x:v>manufacturer</x:v>
      </x:c>
      <x:c r="D119" s="36" t="str">
        <x:v>OPEL</x:v>
      </x:c>
      <x:c r="E119" s="36" t="str">
        <x:v>Opel</x:v>
      </x:c>
      <x:c r="F119" s="36" t="str">
        <x:v>Opel</x:v>
      </x:c>
      <x:c r="G119" s="36" t="str">
        <x:v>vehicle_manufacturer</x:v>
      </x:c>
      <x:c r="H119" s="36" t="str">
        <x:v>vehicle_manufacturer</x:v>
      </x:c>
      <x:c r="I119" s="36" t="str">
        <x:v>use_entity</x:v>
      </x:c>
      <x:c r="J119" s="36" t="str">
        <x:v>use_entity</x:v>
      </x:c>
      <x:c r="K119" s="36" t="str">
        <x:v>exact</x:v>
      </x:c>
      <x:c r="L119" s="36" t="n">
        <x:v>0</x:v>
      </x:c>
      <x:c r="M119" s="38" t="str">
        <x:v>[]</x:v>
      </x:c>
      <x:c r="N119" s="38" t="str">
        <x:v>[]</x:v>
      </x:c>
      <x:c r="O119" s="42" t="b">
        <x:v>0</x:v>
      </x:c>
      <x:c r="P119" s="42" t="b">
        <x:v>0</x:v>
      </x:c>
      <x:c r="Q119" s="36"/>
      <x:c r="R119" s="36"/>
      <x:c r="S119" s="36"/>
      <x:c r="T119" s="38" t="str">
        <x:v>{"entity_id":"MFE-936279280E38AB","source_field":"manufacturer","source_term":"OPEL","active_canonical_name":"Opel","effective_canonical_name":"Ope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0" ht="18" customHeight="1">
      <x:c r="A120" s="36" t="str">
        <x:v>MFE-038E1B81C33E0F</x:v>
      </x:c>
      <x:c r="B120" s="36" t="str">
        <x:v>built_in_catalog</x:v>
      </x:c>
      <x:c r="C120" s="36" t="str">
        <x:v>manufacturer</x:v>
      </x:c>
      <x:c r="D120" s="36" t="str">
        <x:v>OPEL AUTOMOBILE GMBH</x:v>
      </x:c>
      <x:c r="E120" s="36" t="str">
        <x:v>Opel</x:v>
      </x:c>
      <x:c r="F120" s="36" t="str">
        <x:v>Opel</x:v>
      </x:c>
      <x:c r="G120" s="36" t="str">
        <x:v>vehicle_manufacturer</x:v>
      </x:c>
      <x:c r="H120" s="36" t="str">
        <x:v>vehicle_manufacturer</x:v>
      </x:c>
      <x:c r="I120" s="36" t="str">
        <x:v>use_entity</x:v>
      </x:c>
      <x:c r="J120" s="36" t="str">
        <x:v>use_entity</x:v>
      </x:c>
      <x:c r="K120" s="36" t="str">
        <x:v>exact</x:v>
      </x:c>
      <x:c r="L120" s="36" t="n">
        <x:v>0</x:v>
      </x:c>
      <x:c r="M120" s="38" t="str">
        <x:v>[]</x:v>
      </x:c>
      <x:c r="N120" s="38" t="str">
        <x:v>[]</x:v>
      </x:c>
      <x:c r="O120" s="42" t="b">
        <x:v>0</x:v>
      </x:c>
      <x:c r="P120" s="42" t="b">
        <x:v>0</x:v>
      </x:c>
      <x:c r="Q120" s="36"/>
      <x:c r="R120" s="36"/>
      <x:c r="S120" s="36"/>
      <x:c r="T120" s="38" t="str">
        <x:v>{"entity_id":"MFE-038E1B81C33E0F","source_field":"manufacturer","source_term":"OPEL AUTOMOBILE GMBH","active_canonical_name":"Opel","effective_canonical_name":"Ope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1" ht="18" customHeight="1">
      <x:c r="A121" s="36" t="str">
        <x:v>MFE-CF114F4EFABA7D</x:v>
      </x:c>
      <x:c r="B121" s="36" t="str">
        <x:v>built_in_catalog</x:v>
      </x:c>
      <x:c r="C121" s="36" t="str">
        <x:v>manufacturer</x:v>
      </x:c>
      <x:c r="D121" s="36" t="str">
        <x:v>PEUGEOT</x:v>
      </x:c>
      <x:c r="E121" s="36" t="str">
        <x:v>Peugeot</x:v>
      </x:c>
      <x:c r="F121" s="36" t="str">
        <x:v>Peugeot</x:v>
      </x:c>
      <x:c r="G121" s="36" t="str">
        <x:v>vehicle_manufacturer</x:v>
      </x:c>
      <x:c r="H121" s="36" t="str">
        <x:v>vehicle_manufacturer</x:v>
      </x:c>
      <x:c r="I121" s="36" t="str">
        <x:v>use_entity</x:v>
      </x:c>
      <x:c r="J121" s="36" t="str">
        <x:v>use_entity</x:v>
      </x:c>
      <x:c r="K121" s="36" t="str">
        <x:v>exact</x:v>
      </x:c>
      <x:c r="L121" s="36" t="n">
        <x:v>0</x:v>
      </x:c>
      <x:c r="M121" s="38" t="str">
        <x:v>[]</x:v>
      </x:c>
      <x:c r="N121" s="38" t="str">
        <x:v>[]</x:v>
      </x:c>
      <x:c r="O121" s="42" t="b">
        <x:v>0</x:v>
      </x:c>
      <x:c r="P121" s="42" t="b">
        <x:v>0</x:v>
      </x:c>
      <x:c r="Q121" s="36"/>
      <x:c r="R121" s="36"/>
      <x:c r="S121" s="36"/>
      <x:c r="T121" s="38" t="str">
        <x:v>{"entity_id":"MFE-CF114F4EFABA7D","source_field":"manufacturer","source_term":"PEUGEOT","active_canonical_name":"Peugeot","effective_canonical_name":"Peugeo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2" ht="18" customHeight="1">
      <x:c r="A122" s="36" t="str">
        <x:v>MFE-2BB0E7AEAB3C6C</x:v>
      </x:c>
      <x:c r="B122" s="36" t="str">
        <x:v>built_in_catalog</x:v>
      </x:c>
      <x:c r="C122" s="36" t="str">
        <x:v>brand</x:v>
      </x:c>
      <x:c r="D122" s="36" t="str">
        <x:v>PLYMOUTH SPECIAL DE LUXE</x:v>
      </x:c>
      <x:c r="E122" s="36" t="str">
        <x:v>Plymouth</x:v>
      </x:c>
      <x:c r="F122" s="36" t="str">
        <x:v>Plymouth</x:v>
      </x:c>
      <x:c r="G122" s="36" t="str">
        <x:v>vehicle_manufacturer</x:v>
      </x:c>
      <x:c r="H122" s="36" t="str">
        <x:v>vehicle_manufacturer</x:v>
      </x:c>
      <x:c r="I122" s="36" t="str">
        <x:v>use_entity</x:v>
      </x:c>
      <x:c r="J122" s="36" t="str">
        <x:v>use_entity</x:v>
      </x:c>
      <x:c r="K122" s="36" t="str">
        <x:v>exact</x:v>
      </x:c>
      <x:c r="L122" s="36" t="n">
        <x:v>0</x:v>
      </x:c>
      <x:c r="M122" s="38" t="str">
        <x:v>[]</x:v>
      </x:c>
      <x:c r="N122" s="38" t="str">
        <x:v>[]</x:v>
      </x:c>
      <x:c r="O122" s="42" t="b">
        <x:v>0</x:v>
      </x:c>
      <x:c r="P122" s="42" t="b">
        <x:v>0</x:v>
      </x:c>
      <x:c r="Q122" s="36"/>
      <x:c r="R122" s="36"/>
      <x:c r="S122" s="36"/>
      <x:c r="T122" s="38" t="str">
        <x:v>{"entity_id":"MFE-2BB0E7AEAB3C6C","source_field":"brand","source_term":"PLYMOUTH SPECIAL DE LUXE","active_canonical_name":"Plymouth","effective_canonical_name":"Plymouth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3" ht="18" customHeight="1">
      <x:c r="A123" s="36" t="str">
        <x:v>MFE-674B69FC771B5D</x:v>
      </x:c>
      <x:c r="B123" s="36" t="str">
        <x:v>built_in_catalog</x:v>
      </x:c>
      <x:c r="C123" s="36" t="str">
        <x:v>brand</x:v>
      </x:c>
      <x:c r="D123" s="36" t="str">
        <x:v>POLARIS XP 850 E</x:v>
      </x:c>
      <x:c r="E123" s="36" t="str">
        <x:v>Polaris</x:v>
      </x:c>
      <x:c r="F123" s="36" t="str">
        <x:v>Polaris</x:v>
      </x:c>
      <x:c r="G123" s="36" t="str">
        <x:v>vehicle_manufacturer</x:v>
      </x:c>
      <x:c r="H123" s="36" t="str">
        <x:v>vehicle_manufacturer</x:v>
      </x:c>
      <x:c r="I123" s="36" t="str">
        <x:v>use_entity</x:v>
      </x:c>
      <x:c r="J123" s="36" t="str">
        <x:v>use_entity</x:v>
      </x:c>
      <x:c r="K123" s="36" t="str">
        <x:v>exact</x:v>
      </x:c>
      <x:c r="L123" s="36" t="n">
        <x:v>0</x:v>
      </x:c>
      <x:c r="M123" s="38" t="str">
        <x:v>[]</x:v>
      </x:c>
      <x:c r="N123" s="38" t="str">
        <x:v>[]</x:v>
      </x:c>
      <x:c r="O123" s="42" t="b">
        <x:v>0</x:v>
      </x:c>
      <x:c r="P123" s="42" t="b">
        <x:v>0</x:v>
      </x:c>
      <x:c r="Q123" s="36"/>
      <x:c r="R123" s="36"/>
      <x:c r="S123" s="36"/>
      <x:c r="T123" s="38" t="str">
        <x:v>{"entity_id":"MFE-674B69FC771B5D","source_field":"brand","source_term":"POLARIS XP 850 E","active_canonical_name":"Polaris","effective_canonical_name":"Polar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4" ht="18" customHeight="1">
      <x:c r="A124" s="36" t="str">
        <x:v>MFE-BD340714224C5D</x:v>
      </x:c>
      <x:c r="B124" s="36" t="str">
        <x:v>built_in_catalog</x:v>
      </x:c>
      <x:c r="C124" s="36" t="str">
        <x:v>brand</x:v>
      </x:c>
      <x:c r="D124" s="36" t="str">
        <x:v>POLARVAGNEN POLAR 425</x:v>
      </x:c>
      <x:c r="E124" s="36" t="str">
        <x:v>Polar</x:v>
      </x:c>
      <x:c r="F124" s="36" t="str">
        <x:v>Polar</x:v>
      </x:c>
      <x:c r="G124" s="36" t="str">
        <x:v>vehicle_manufacturer</x:v>
      </x:c>
      <x:c r="H124" s="36" t="str">
        <x:v>vehicle_manufacturer</x:v>
      </x:c>
      <x:c r="I124" s="36" t="str">
        <x:v>use_entity</x:v>
      </x:c>
      <x:c r="J124" s="36" t="str">
        <x:v>use_entity</x:v>
      </x:c>
      <x:c r="K124" s="36" t="str">
        <x:v>exact</x:v>
      </x:c>
      <x:c r="L124" s="36" t="n">
        <x:v>0</x:v>
      </x:c>
      <x:c r="M124" s="38" t="str">
        <x:v>[]</x:v>
      </x:c>
      <x:c r="N124" s="38" t="str">
        <x:v>[]</x:v>
      </x:c>
      <x:c r="O124" s="42" t="b">
        <x:v>0</x:v>
      </x:c>
      <x:c r="P124" s="42" t="b">
        <x:v>0</x:v>
      </x:c>
      <x:c r="Q124" s="36"/>
      <x:c r="R124" s="36"/>
      <x:c r="S124" s="36"/>
      <x:c r="T124" s="38" t="str">
        <x:v>{"entity_id":"MFE-BD340714224C5D","source_field":"brand","source_term":"POLARVAGNEN POLAR 425","active_canonical_name":"Polar","effective_canonical_name":"Pol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5" ht="18" customHeight="1">
      <x:c r="A125" s="36" t="str">
        <x:v>MFE-914EFA68EFC658</x:v>
      </x:c>
      <x:c r="B125" s="36" t="str">
        <x:v>built_in_catalog</x:v>
      </x:c>
      <x:c r="C125" s="36" t="str">
        <x:v>brand</x:v>
      </x:c>
      <x:c r="D125" s="36" t="str">
        <x:v>POLARVAGNEN POLAR P520</x:v>
      </x:c>
      <x:c r="E125" s="36" t="str">
        <x:v>Polar</x:v>
      </x:c>
      <x:c r="F125" s="36" t="str">
        <x:v>Polar</x:v>
      </x:c>
      <x:c r="G125" s="36" t="str">
        <x:v>vehicle_manufacturer</x:v>
      </x:c>
      <x:c r="H125" s="36" t="str">
        <x:v>vehicle_manufacturer</x:v>
      </x:c>
      <x:c r="I125" s="36" t="str">
        <x:v>use_entity</x:v>
      </x:c>
      <x:c r="J125" s="36" t="str">
        <x:v>use_entity</x:v>
      </x:c>
      <x:c r="K125" s="36" t="str">
        <x:v>exact</x:v>
      </x:c>
      <x:c r="L125" s="36" t="n">
        <x:v>0</x:v>
      </x:c>
      <x:c r="M125" s="38" t="str">
        <x:v>[]</x:v>
      </x:c>
      <x:c r="N125" s="38" t="str">
        <x:v>[]</x:v>
      </x:c>
      <x:c r="O125" s="42" t="b">
        <x:v>0</x:v>
      </x:c>
      <x:c r="P125" s="42" t="b">
        <x:v>0</x:v>
      </x:c>
      <x:c r="Q125" s="36"/>
      <x:c r="R125" s="36"/>
      <x:c r="S125" s="36"/>
      <x:c r="T125" s="38" t="str">
        <x:v>{"entity_id":"MFE-914EFA68EFC658","source_field":"brand","source_term":"POLARVAGNEN POLAR P520","active_canonical_name":"Polar","effective_canonical_name":"Pol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6" ht="18" customHeight="1">
      <x:c r="A126" s="36" t="str">
        <x:v>MFE-2138A984B1BA5F</x:v>
      </x:c>
      <x:c r="B126" s="36" t="str">
        <x:v>active_database_override</x:v>
      </x:c>
      <x:c r="C126" s="36" t="str">
        <x:v>brand</x:v>
      </x:c>
      <x:c r="D126" s="36" t="str">
        <x:v>PONTIAC</x:v>
      </x:c>
      <x:c r="E126" s="36" t="str">
        <x:v>Pontiac</x:v>
      </x:c>
      <x:c r="F126" s="36" t="str">
        <x:v>Pontiac</x:v>
      </x:c>
      <x:c r="G126" s="36" t="str">
        <x:v>vehicle_manufacturer</x:v>
      </x:c>
      <x:c r="H126" s="36" t="str">
        <x:v>vehicle_manufacturer</x:v>
      </x:c>
      <x:c r="I126" s="36" t="str">
        <x:v>use_entity</x:v>
      </x:c>
      <x:c r="J126" s="36" t="str">
        <x:v>use_entity</x:v>
      </x:c>
      <x:c r="K126" s="36" t="str">
        <x:v>whole_token_prefix</x:v>
      </x:c>
      <x:c r="L126" s="36" t="n">
        <x:v>0</x:v>
      </x:c>
      <x:c r="M126" s="38" t="str">
        <x:v>[]</x:v>
      </x:c>
      <x:c r="N126" s="38" t="str">
        <x:v>[]</x:v>
      </x:c>
      <x:c r="O126" s="42" t="b">
        <x:v>0</x:v>
      </x:c>
      <x:c r="P126" s="42" t="b">
        <x:v>0</x:v>
      </x:c>
      <x:c r="Q126" s="36"/>
      <x:c r="R126" s="36" t="n">
        <x:v>46239.752050324074</x:v>
      </x:c>
      <x:c r="S126" s="36" t="n">
        <x:v>46239.752050324074</x:v>
      </x:c>
      <x:c r="T126" s="38" t="str">
        <x:v>{"entity_id":"MFE-2138A984B1BA5F","source_field":"brand","source_term":"PONTIAC","active_canonical_name":"Pontiac","effective_canonical_name":"Pontiac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27" ht="18" customHeight="1">
      <x:c r="A127" s="36" t="str">
        <x:v>MFE-B7A30535AA7AAE</x:v>
      </x:c>
      <x:c r="B127" s="36" t="str">
        <x:v>built_in_catalog</x:v>
      </x:c>
      <x:c r="C127" s="36" t="str">
        <x:v>manufacturer</x:v>
      </x:c>
      <x:c r="D127" s="36" t="str">
        <x:v>PORSCHE</x:v>
      </x:c>
      <x:c r="E127" s="36" t="str">
        <x:v>Porsche</x:v>
      </x:c>
      <x:c r="F127" s="36" t="str">
        <x:v>Porsche</x:v>
      </x:c>
      <x:c r="G127" s="36" t="str">
        <x:v>vehicle_manufacturer</x:v>
      </x:c>
      <x:c r="H127" s="36" t="str">
        <x:v>vehicle_manufacturer</x:v>
      </x:c>
      <x:c r="I127" s="36" t="str">
        <x:v>use_entity</x:v>
      </x:c>
      <x:c r="J127" s="36" t="str">
        <x:v>use_entity</x:v>
      </x:c>
      <x:c r="K127" s="36" t="str">
        <x:v>exact</x:v>
      </x:c>
      <x:c r="L127" s="36" t="n">
        <x:v>0</x:v>
      </x:c>
      <x:c r="M127" s="38" t="str">
        <x:v>[]</x:v>
      </x:c>
      <x:c r="N127" s="38" t="str">
        <x:v>[]</x:v>
      </x:c>
      <x:c r="O127" s="42" t="b">
        <x:v>0</x:v>
      </x:c>
      <x:c r="P127" s="42" t="b">
        <x:v>0</x:v>
      </x:c>
      <x:c r="Q127" s="36"/>
      <x:c r="R127" s="36"/>
      <x:c r="S127" s="36"/>
      <x:c r="T127" s="38" t="str">
        <x:v>{"entity_id":"MFE-B7A30535AA7AAE","source_field":"manufacturer","source_term":"PORSCHE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8" ht="18" customHeight="1">
      <x:c r="A128" s="36" t="str">
        <x:v>MFE-1D2C3FF3D0EC53</x:v>
      </x:c>
      <x:c r="B128" s="36" t="str">
        <x:v>built_in_catalog</x:v>
      </x:c>
      <x:c r="C128" s="36" t="str">
        <x:v>manufacturer</x:v>
      </x:c>
      <x:c r="D128" s="36" t="str">
        <x:v>PORSCHE AG</x:v>
      </x:c>
      <x:c r="E128" s="36" t="str">
        <x:v>Porsche</x:v>
      </x:c>
      <x:c r="F128" s="36" t="str">
        <x:v>Porsche</x:v>
      </x:c>
      <x:c r="G128" s="36" t="str">
        <x:v>vehicle_manufacturer</x:v>
      </x:c>
      <x:c r="H128" s="36" t="str">
        <x:v>vehicle_manufacturer</x:v>
      </x:c>
      <x:c r="I128" s="36" t="str">
        <x:v>use_entity</x:v>
      </x:c>
      <x:c r="J128" s="36" t="str">
        <x:v>use_entity</x:v>
      </x:c>
      <x:c r="K128" s="36" t="str">
        <x:v>exact</x:v>
      </x:c>
      <x:c r="L128" s="36" t="n">
        <x:v>0</x:v>
      </x:c>
      <x:c r="M128" s="38" t="str">
        <x:v>[]</x:v>
      </x:c>
      <x:c r="N128" s="38" t="str">
        <x:v>[]</x:v>
      </x:c>
      <x:c r="O128" s="42" t="b">
        <x:v>0</x:v>
      </x:c>
      <x:c r="P128" s="42" t="b">
        <x:v>0</x:v>
      </x:c>
      <x:c r="Q128" s="36"/>
      <x:c r="R128" s="36"/>
      <x:c r="S128" s="36"/>
      <x:c r="T128" s="38" t="str">
        <x:v>{"entity_id":"MFE-1D2C3FF3D0EC53","source_field":"manufacturer","source_term":"PORSCHE AG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9" ht="18" customHeight="1">
      <x:c r="A129" s="36" t="str">
        <x:v>MFE-A9F4F4F6BB875F</x:v>
      </x:c>
      <x:c r="B129" s="36" t="str">
        <x:v>built_in_catalog</x:v>
      </x:c>
      <x:c r="C129" s="36" t="str">
        <x:v>manufacturer</x:v>
      </x:c>
      <x:c r="D129" s="36" t="str">
        <x:v>PSA</x:v>
      </x:c>
      <x:c r="E129" s="36" t="str">
        <x:v>PSA</x:v>
      </x:c>
      <x:c r="F129" s="36" t="str">
        <x:v>PSA</x:v>
      </x:c>
      <x:c r="G129" s="36" t="str">
        <x:v>corporate_group</x:v>
      </x:c>
      <x:c r="H129" s="36" t="str">
        <x:v>corporate_group</x:v>
      </x:c>
      <x:c r="I129" s="36" t="str">
        <x:v>require_evidence_review</x:v>
      </x:c>
      <x:c r="J129" s="36" t="str">
        <x:v>require_evidence_review</x:v>
      </x:c>
      <x:c r="K129" s="36" t="str">
        <x:v>exact</x:v>
      </x:c>
      <x:c r="L129" s="36" t="n">
        <x:v>0</x:v>
      </x:c>
      <x:c r="M129" s="38" t="str">
        <x:v>[]</x:v>
      </x:c>
      <x:c r="N129" s="38" t="str">
        <x:v>[]</x:v>
      </x:c>
      <x:c r="O129" s="42" t="b">
        <x:v>0</x:v>
      </x:c>
      <x:c r="P129" s="42" t="b">
        <x:v>0</x:v>
      </x:c>
      <x:c r="Q129" s="36"/>
      <x:c r="R129" s="36"/>
      <x:c r="S129" s="36"/>
      <x:c r="T129" s="38" t="str">
        <x:v>{"entity_id":"MFE-A9F4F4F6BB875F","source_field":"manufacturer","source_term":"PSA","active_canonical_name":"PSA","effective_canonical_name":"PSA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130" ht="18" customHeight="1">
      <x:c r="A130" s="36" t="str">
        <x:v>MFE-8DB3252A955C99</x:v>
      </x:c>
      <x:c r="B130" s="36" t="str">
        <x:v>active_database_override</x:v>
      </x:c>
      <x:c r="C130" s="36" t="str">
        <x:v>manufacturer</x:v>
      </x:c>
      <x:c r="D130" s="36" t="str">
        <x:v>PSA AUTOMOBILES</x:v>
      </x:c>
      <x:c r="E130" s="36" t="str">
        <x:v>PSA Automobiles</x:v>
      </x:c>
      <x:c r="F130" s="36" t="str">
        <x:v>PSA Automobiles</x:v>
      </x:c>
      <x:c r="G130" s="36" t="str">
        <x:v>corporate_group</x:v>
      </x:c>
      <x:c r="H130" s="36" t="str">
        <x:v>corporate_group</x:v>
      </x:c>
      <x:c r="I130" s="36" t="str">
        <x:v>require_evidence_review</x:v>
      </x:c>
      <x:c r="J130" s="36" t="str">
        <x:v>require_evidence_review</x:v>
      </x:c>
      <x:c r="K130" s="36" t="str">
        <x:v>diacritic_insensitive_prefix</x:v>
      </x:c>
      <x:c r="L130" s="36" t="n">
        <x:v>0</x:v>
      </x:c>
      <x:c r="M130" s="38" t="str">
        <x:v>[]</x:v>
      </x:c>
      <x:c r="N130" s="38" t="str">
        <x:v>["PSA AUTOMOBILES SA"]</x:v>
      </x:c>
      <x:c r="O130" s="42" t="b">
        <x:v>0</x:v>
      </x:c>
      <x:c r="P130" s="42" t="b">
        <x:v>0</x:v>
      </x:c>
      <x:c r="Q130" s="36"/>
      <x:c r="R130" s="36" t="n">
        <x:v>46239.77979774305</x:v>
      </x:c>
      <x:c r="S130" s="36" t="n">
        <x:v>46239.77979774305</x:v>
      </x:c>
      <x:c r="T130" s="38" t="str">
        <x:v>{"entity_id":"MFE-8DB3252A955C99","source_field":"manufacturer","source_term":"PSA AUTOMOBILES","active_canonical_name":"PSA Automobiles","effective_canonical_name":"PSA Automobiles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"2026-08-05T18:42:54.525968Z","updated_at":"2026-08-05T18:42:54.525968Z","match_type":"diacritic_insensitive_prefix","reviewed_examples":["PSA AUTOMOBILES SA"]}</x:v>
      </x:c>
    </x:row>
    <x:row r="131" ht="18" customHeight="1">
      <x:c r="A131" s="36" t="str">
        <x:v>MFE-FD6891E9F9BE22</x:v>
      </x:c>
      <x:c r="B131" s="36" t="str">
        <x:v>built_in_catalog</x:v>
      </x:c>
      <x:c r="C131" s="36" t="str">
        <x:v>brand</x:v>
      </x:c>
      <x:c r="D131" s="36" t="str">
        <x:v>REKOTRAILER</x:v>
      </x:c>
      <x:c r="E131" s="36" t="str">
        <x:v>Reko Trailer</x:v>
      </x:c>
      <x:c r="F131" s="36" t="str">
        <x:v>Reko Trailer</x:v>
      </x:c>
      <x:c r="G131" s="36" t="str">
        <x:v>vehicle_manufacturer</x:v>
      </x:c>
      <x:c r="H131" s="36" t="str">
        <x:v>vehicle_manufacturer</x:v>
      </x:c>
      <x:c r="I131" s="36" t="str">
        <x:v>use_entity</x:v>
      </x:c>
      <x:c r="J131" s="36" t="str">
        <x:v>use_entity</x:v>
      </x:c>
      <x:c r="K131" s="36" t="str">
        <x:v>exact</x:v>
      </x:c>
      <x:c r="L131" s="36" t="n">
        <x:v>0</x:v>
      </x:c>
      <x:c r="M131" s="38" t="str">
        <x:v>[]</x:v>
      </x:c>
      <x:c r="N131" s="38" t="str">
        <x:v>[]</x:v>
      </x:c>
      <x:c r="O131" s="42" t="b">
        <x:v>0</x:v>
      </x:c>
      <x:c r="P131" s="42" t="b">
        <x:v>0</x:v>
      </x:c>
      <x:c r="Q131" s="36"/>
      <x:c r="R131" s="36"/>
      <x:c r="S131" s="36"/>
      <x:c r="T131" s="38" t="str">
        <x:v>{"entity_id":"MFE-FD6891E9F9BE22","source_field":"brand","source_term":"REKOTRAILER","active_canonical_name":"Reko Trailer","effective_canonical_name":"Reko Tra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2" ht="18" customHeight="1">
      <x:c r="A132" s="36" t="str">
        <x:v>MFE-720DE13B0CA886</x:v>
      </x:c>
      <x:c r="B132" s="36" t="str">
        <x:v>built_in_catalog</x:v>
      </x:c>
      <x:c r="C132" s="36" t="str">
        <x:v>manufacturer</x:v>
      </x:c>
      <x:c r="D132" s="36" t="str">
        <x:v>RENAULT</x:v>
      </x:c>
      <x:c r="E132" s="36" t="str">
        <x:v>Renault</x:v>
      </x:c>
      <x:c r="F132" s="36" t="str">
        <x:v>Renault</x:v>
      </x:c>
      <x:c r="G132" s="36" t="str">
        <x:v>vehicle_manufacturer</x:v>
      </x:c>
      <x:c r="H132" s="36" t="str">
        <x:v>vehicle_manufacturer</x:v>
      </x:c>
      <x:c r="I132" s="36" t="str">
        <x:v>use_entity</x:v>
      </x:c>
      <x:c r="J132" s="36" t="str">
        <x:v>use_entity</x:v>
      </x:c>
      <x:c r="K132" s="36" t="str">
        <x:v>exact</x:v>
      </x:c>
      <x:c r="L132" s="36" t="n">
        <x:v>0</x:v>
      </x:c>
      <x:c r="M132" s="38" t="str">
        <x:v>[]</x:v>
      </x:c>
      <x:c r="N132" s="38" t="str">
        <x:v>[]</x:v>
      </x:c>
      <x:c r="O132" s="42" t="b">
        <x:v>0</x:v>
      </x:c>
      <x:c r="P132" s="42" t="b">
        <x:v>0</x:v>
      </x:c>
      <x:c r="Q132" s="36"/>
      <x:c r="R132" s="36"/>
      <x:c r="S132" s="36"/>
      <x:c r="T132" s="38" t="str">
        <x:v>{"entity_id":"MFE-720DE13B0CA886","source_field":"manufacturer","source_term":"RENAULT","active_canonical_name":"Renault","effective_canonical_name":"Renaul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3" ht="18" customHeight="1">
      <x:c r="A133" s="36" t="str">
        <x:v>MFE-D4FDC82F27CE72</x:v>
      </x:c>
      <x:c r="B133" s="36" t="str">
        <x:v>built_in_catalog</x:v>
      </x:c>
      <x:c r="C133" s="36" t="str">
        <x:v>manufacturer</x:v>
      </x:c>
      <x:c r="D133" s="36" t="str">
        <x:v>RENAULT SAS</x:v>
      </x:c>
      <x:c r="E133" s="36" t="str">
        <x:v>Renault</x:v>
      </x:c>
      <x:c r="F133" s="36" t="str">
        <x:v>Renault</x:v>
      </x:c>
      <x:c r="G133" s="36" t="str">
        <x:v>vehicle_manufacturer</x:v>
      </x:c>
      <x:c r="H133" s="36" t="str">
        <x:v>vehicle_manufacturer</x:v>
      </x:c>
      <x:c r="I133" s="36" t="str">
        <x:v>use_entity</x:v>
      </x:c>
      <x:c r="J133" s="36" t="str">
        <x:v>use_entity</x:v>
      </x:c>
      <x:c r="K133" s="36" t="str">
        <x:v>exact</x:v>
      </x:c>
      <x:c r="L133" s="36" t="n">
        <x:v>0</x:v>
      </x:c>
      <x:c r="M133" s="38" t="str">
        <x:v>[]</x:v>
      </x:c>
      <x:c r="N133" s="38" t="str">
        <x:v>[]</x:v>
      </x:c>
      <x:c r="O133" s="42" t="b">
        <x:v>0</x:v>
      </x:c>
      <x:c r="P133" s="42" t="b">
        <x:v>0</x:v>
      </x:c>
      <x:c r="Q133" s="36"/>
      <x:c r="R133" s="36"/>
      <x:c r="S133" s="36"/>
      <x:c r="T133" s="38" t="str">
        <x:v>{"entity_id":"MFE-D4FDC82F27CE72","source_field":"manufacturer","source_term":"RENAULT SAS","active_canonical_name":"Renault","effective_canonical_name":"Renaul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4" ht="18" customHeight="1">
      <x:c r="A134" s="36" t="str">
        <x:v>MFE-CC8089323A8D5F</x:v>
      </x:c>
      <x:c r="B134" s="36" t="str">
        <x:v>active_database_override</x:v>
      </x:c>
      <x:c r="C134" s="36" t="str">
        <x:v>brand</x:v>
      </x:c>
      <x:c r="D134" s="36" t="str">
        <x:v>SAAB</x:v>
      </x:c>
      <x:c r="E134" s="36" t="str">
        <x:v>Saab</x:v>
      </x:c>
      <x:c r="F134" s="36" t="str">
        <x:v>Saab</x:v>
      </x:c>
      <x:c r="G134" s="36" t="str">
        <x:v>vehicle_manufacturer</x:v>
      </x:c>
      <x:c r="H134" s="36" t="str">
        <x:v>vehicle_manufacturer</x:v>
      </x:c>
      <x:c r="I134" s="36" t="str">
        <x:v>use_entity</x:v>
      </x:c>
      <x:c r="J134" s="36" t="str">
        <x:v>use_entity</x:v>
      </x:c>
      <x:c r="K134" s="36" t="str">
        <x:v>whole_token_prefix</x:v>
      </x:c>
      <x:c r="L134" s="36" t="n">
        <x:v>0</x:v>
      </x:c>
      <x:c r="M134" s="38" t="str">
        <x:v>[]</x:v>
      </x:c>
      <x:c r="N134" s="38" t="str">
        <x:v>["SAAB 9 3 S 5D 2 0I","SAAB 900 2 0I DX55J","SAAB 900 I8 AB25J","SAAB 9000 CSE 2 3 TURBO","SAAB 96 V4 LHD","SAAB 99 2 0 CM 2","SAAB SPORT","SAAB V 4"]</x:v>
      </x:c>
      <x:c r="O134" s="42" t="b">
        <x:v>0</x:v>
      </x:c>
      <x:c r="P134" s="42" t="b">
        <x:v>0</x:v>
      </x:c>
      <x:c r="Q134" s="36"/>
      <x:c r="R134" s="36" t="n">
        <x:v>46239.752050324074</x:v>
      </x:c>
      <x:c r="S134" s="36" t="n">
        <x:v>46239.7710441088</x:v>
      </x:c>
      <x:c r="T134" s="38" t="str">
        <x:v>{"entity_id":"MFE-CC8089323A8D5F","source_field":"brand","source_term":"SAAB","active_canonical_name":"Saab","effective_canonical_name":"Saab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SAAB 9 3 S 5D 2 0I","SAAB 900 2 0I DX55J","SAAB 900 I8 AB25J","SAAB 9000 CSE 2 3 TURBO","SAAB 96 V4 LHD","SAAB 99 2 0 CM 2","SAAB SPORT","SAAB V 4"]}</x:v>
      </x:c>
    </x:row>
    <x:row r="135" ht="18" customHeight="1">
      <x:c r="A135" s="36" t="str">
        <x:v>MFE-66F73B4ACA1204</x:v>
      </x:c>
      <x:c r="B135" s="36" t="str">
        <x:v>built_in_catalog</x:v>
      </x:c>
      <x:c r="C135" s="36" t="str">
        <x:v>brand</x:v>
      </x:c>
      <x:c r="D135" s="36" t="str">
        <x:v>SC SÄVSJÖ 5 6 SC SR</x:v>
      </x:c>
      <x:c r="E135" s="36" t="str">
        <x:v>SC-Sävsjö</x:v>
      </x:c>
      <x:c r="F135" s="36" t="str">
        <x:v>SC-Sävsjö</x:v>
      </x:c>
      <x:c r="G135" s="36" t="str">
        <x:v>vehicle_manufacturer</x:v>
      </x:c>
      <x:c r="H135" s="36" t="str">
        <x:v>vehicle_manufacturer</x:v>
      </x:c>
      <x:c r="I135" s="36" t="str">
        <x:v>use_entity</x:v>
      </x:c>
      <x:c r="J135" s="36" t="str">
        <x:v>use_entity</x:v>
      </x:c>
      <x:c r="K135" s="36" t="str">
        <x:v>exact</x:v>
      </x:c>
      <x:c r="L135" s="36" t="n">
        <x:v>0</x:v>
      </x:c>
      <x:c r="M135" s="38" t="str">
        <x:v>[]</x:v>
      </x:c>
      <x:c r="N135" s="38" t="str">
        <x:v>[]</x:v>
      </x:c>
      <x:c r="O135" s="42" t="b">
        <x:v>0</x:v>
      </x:c>
      <x:c r="P135" s="42" t="b">
        <x:v>0</x:v>
      </x:c>
      <x:c r="Q135" s="36"/>
      <x:c r="R135" s="36"/>
      <x:c r="S135" s="36"/>
      <x:c r="T135" s="38" t="str">
        <x:v>{"entity_id":"MFE-66F73B4ACA1204","source_field":"brand","source_term":"SC SÄVSJÖ 5 6 SC SR","active_canonical_name":"SC-Sävsjö","effective_canonical_name":"SC-Sävsjö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6" ht="18" customHeight="1">
      <x:c r="A136" s="36" t="str">
        <x:v>MFE-3857EC7B576F1E</x:v>
      </x:c>
      <x:c r="B136" s="36" t="str">
        <x:v>built_in_catalog</x:v>
      </x:c>
      <x:c r="C136" s="36" t="str">
        <x:v>brand</x:v>
      </x:c>
      <x:c r="D136" s="36" t="str">
        <x:v>SCABIA 50 S</x:v>
      </x:c>
      <x:c r="E136" s="36" t="str">
        <x:v>Scania</x:v>
      </x:c>
      <x:c r="F136" s="36" t="str">
        <x:v>Scania</x:v>
      </x:c>
      <x:c r="G136" s="36" t="str">
        <x:v>vehicle_manufacturer</x:v>
      </x:c>
      <x:c r="H136" s="36" t="str">
        <x:v>vehicle_manufacturer</x:v>
      </x:c>
      <x:c r="I136" s="36" t="str">
        <x:v>use_entity</x:v>
      </x:c>
      <x:c r="J136" s="36" t="str">
        <x:v>use_entity</x:v>
      </x:c>
      <x:c r="K136" s="36" t="str">
        <x:v>exact</x:v>
      </x:c>
      <x:c r="L136" s="36" t="n">
        <x:v>0</x:v>
      </x:c>
      <x:c r="M136" s="38" t="str">
        <x:v>[]</x:v>
      </x:c>
      <x:c r="N136" s="38" t="str">
        <x:v>[]</x:v>
      </x:c>
      <x:c r="O136" s="42" t="b">
        <x:v>0</x:v>
      </x:c>
      <x:c r="P136" s="42" t="b">
        <x:v>0</x:v>
      </x:c>
      <x:c r="Q136" s="36"/>
      <x:c r="R136" s="36"/>
      <x:c r="S136" s="36"/>
      <x:c r="T136" s="38" t="str">
        <x:v>{"entity_id":"MFE-3857EC7B576F1E","source_field":"brand","source_term":"SCABIA 50 S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7" ht="18" customHeight="1">
      <x:c r="A137" s="36" t="str">
        <x:v>MFE-109BFA5070F0B8</x:v>
      </x:c>
      <x:c r="B137" s="36" t="str">
        <x:v>built_in_catalog</x:v>
      </x:c>
      <x:c r="C137" s="36" t="str">
        <x:v>manufacturer</x:v>
      </x:c>
      <x:c r="D137" s="36" t="str">
        <x:v>SCANIA</x:v>
      </x:c>
      <x:c r="E137" s="36" t="str">
        <x:v>Scania</x:v>
      </x:c>
      <x:c r="F137" s="36" t="str">
        <x:v>Scania</x:v>
      </x:c>
      <x:c r="G137" s="36" t="str">
        <x:v>vehicle_manufacturer</x:v>
      </x:c>
      <x:c r="H137" s="36" t="str">
        <x:v>vehicle_manufacturer</x:v>
      </x:c>
      <x:c r="I137" s="36" t="str">
        <x:v>use_entity</x:v>
      </x:c>
      <x:c r="J137" s="36" t="str">
        <x:v>use_entity</x:v>
      </x:c>
      <x:c r="K137" s="36" t="str">
        <x:v>exact</x:v>
      </x:c>
      <x:c r="L137" s="36" t="n">
        <x:v>0</x:v>
      </x:c>
      <x:c r="M137" s="38" t="str">
        <x:v>[]</x:v>
      </x:c>
      <x:c r="N137" s="38" t="str">
        <x:v>[]</x:v>
      </x:c>
      <x:c r="O137" s="42" t="b">
        <x:v>0</x:v>
      </x:c>
      <x:c r="P137" s="42" t="b">
        <x:v>0</x:v>
      </x:c>
      <x:c r="Q137" s="36"/>
      <x:c r="R137" s="36"/>
      <x:c r="S137" s="36"/>
      <x:c r="T137" s="38" t="str">
        <x:v>{"entity_id":"MFE-109BFA5070F0B8","source_field":"manufacturer","source_term":"SCANIA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8" ht="18" customHeight="1">
      <x:c r="A138" s="36" t="str">
        <x:v>MFE-EDAB5691010CC4</x:v>
      </x:c>
      <x:c r="B138" s="36" t="str">
        <x:v>built_in_catalog</x:v>
      </x:c>
      <x:c r="C138" s="36" t="str">
        <x:v>manufacturer</x:v>
      </x:c>
      <x:c r="D138" s="36" t="str">
        <x:v>SCANIA CV AB</x:v>
      </x:c>
      <x:c r="E138" s="36" t="str">
        <x:v>Scania</x:v>
      </x:c>
      <x:c r="F138" s="36" t="str">
        <x:v>Scania</x:v>
      </x:c>
      <x:c r="G138" s="36" t="str">
        <x:v>vehicle_manufacturer</x:v>
      </x:c>
      <x:c r="H138" s="36" t="str">
        <x:v>vehicle_manufacturer</x:v>
      </x:c>
      <x:c r="I138" s="36" t="str">
        <x:v>use_entity</x:v>
      </x:c>
      <x:c r="J138" s="36" t="str">
        <x:v>use_entity</x:v>
      </x:c>
      <x:c r="K138" s="36" t="str">
        <x:v>exact</x:v>
      </x:c>
      <x:c r="L138" s="36" t="n">
        <x:v>0</x:v>
      </x:c>
      <x:c r="M138" s="38" t="str">
        <x:v>[]</x:v>
      </x:c>
      <x:c r="N138" s="38" t="str">
        <x:v>[]</x:v>
      </x:c>
      <x:c r="O138" s="42" t="b">
        <x:v>0</x:v>
      </x:c>
      <x:c r="P138" s="42" t="b">
        <x:v>0</x:v>
      </x:c>
      <x:c r="Q138" s="36"/>
      <x:c r="R138" s="36"/>
      <x:c r="S138" s="36"/>
      <x:c r="T138" s="38" t="str">
        <x:v>{"entity_id":"MFE-EDAB5691010CC4","source_field":"manufacturer","source_term":"SCANIA CV AB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9" ht="18" customHeight="1">
      <x:c r="A139" s="36" t="str">
        <x:v>MFE-F8A9ED3FC8D36B</x:v>
      </x:c>
      <x:c r="B139" s="36" t="str">
        <x:v>built_in_catalog</x:v>
      </x:c>
      <x:c r="C139" s="36" t="str">
        <x:v>brand</x:v>
      </x:c>
      <x:c r="D139" s="36" t="str">
        <x:v>SCANIAVABIS B 5658</x:v>
      </x:c>
      <x:c r="E139" s="36" t="str">
        <x:v>Scania-Vabis</x:v>
      </x:c>
      <x:c r="F139" s="36" t="str">
        <x:v>Scania-Vabis</x:v>
      </x:c>
      <x:c r="G139" s="36" t="str">
        <x:v>vehicle_manufacturer</x:v>
      </x:c>
      <x:c r="H139" s="36" t="str">
        <x:v>vehicle_manufacturer</x:v>
      </x:c>
      <x:c r="I139" s="36" t="str">
        <x:v>use_entity</x:v>
      </x:c>
      <x:c r="J139" s="36" t="str">
        <x:v>use_entity</x:v>
      </x:c>
      <x:c r="K139" s="36" t="str">
        <x:v>exact</x:v>
      </x:c>
      <x:c r="L139" s="36" t="n">
        <x:v>0</x:v>
      </x:c>
      <x:c r="M139" s="38" t="str">
        <x:v>[]</x:v>
      </x:c>
      <x:c r="N139" s="38" t="str">
        <x:v>[]</x:v>
      </x:c>
      <x:c r="O139" s="42" t="b">
        <x:v>0</x:v>
      </x:c>
      <x:c r="P139" s="42" t="b">
        <x:v>0</x:v>
      </x:c>
      <x:c r="Q139" s="36"/>
      <x:c r="R139" s="36"/>
      <x:c r="S139" s="36"/>
      <x:c r="T139" s="38" t="str">
        <x:v>{"entity_id":"MFE-F8A9ED3FC8D36B","source_field":"brand","source_term":"SCANIAVABIS B 5658","active_canonical_name":"Scania-Vabis","effective_canonical_name":"Scania-Vab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0" ht="18" customHeight="1">
      <x:c r="A140" s="36" t="str">
        <x:v>MFE-444309294A1C94</x:v>
      </x:c>
      <x:c r="B140" s="36" t="str">
        <x:v>built_in_catalog</x:v>
      </x:c>
      <x:c r="C140" s="36" t="str">
        <x:v>manufacturer</x:v>
      </x:c>
      <x:c r="D140" s="36" t="str">
        <x:v>SEAT</x:v>
      </x:c>
      <x:c r="E140" s="36" t="str">
        <x:v>SEAT</x:v>
      </x:c>
      <x:c r="F140" s="36" t="str">
        <x:v>SEAT</x:v>
      </x:c>
      <x:c r="G140" s="36" t="str">
        <x:v>vehicle_manufacturer</x:v>
      </x:c>
      <x:c r="H140" s="36" t="str">
        <x:v>vehicle_manufacturer</x:v>
      </x:c>
      <x:c r="I140" s="36" t="str">
        <x:v>use_entity</x:v>
      </x:c>
      <x:c r="J140" s="36" t="str">
        <x:v>use_entity</x:v>
      </x:c>
      <x:c r="K140" s="36" t="str">
        <x:v>exact</x:v>
      </x:c>
      <x:c r="L140" s="36" t="n">
        <x:v>0</x:v>
      </x:c>
      <x:c r="M140" s="38" t="str">
        <x:v>[]</x:v>
      </x:c>
      <x:c r="N140" s="38" t="str">
        <x:v>[]</x:v>
      </x:c>
      <x:c r="O140" s="42" t="b">
        <x:v>0</x:v>
      </x:c>
      <x:c r="P140" s="42" t="b">
        <x:v>0</x:v>
      </x:c>
      <x:c r="Q140" s="36"/>
      <x:c r="R140" s="36"/>
      <x:c r="S140" s="36"/>
      <x:c r="T140" s="38" t="str">
        <x:v>{"entity_id":"MFE-444309294A1C94","source_field":"manufacturer","source_term":"SEAT","active_canonical_name":"SEAT","effective_canonical_name":"SE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1" ht="18" customHeight="1">
      <x:c r="A141" s="36" t="str">
        <x:v>MFE-91DE63F1DC8D1F</x:v>
      </x:c>
      <x:c r="B141" s="36" t="str">
        <x:v>built_in_catalog</x:v>
      </x:c>
      <x:c r="C141" s="36" t="str">
        <x:v>manufacturer</x:v>
      </x:c>
      <x:c r="D141" s="36" t="str">
        <x:v>SEAT S A</x:v>
      </x:c>
      <x:c r="E141" s="36" t="str">
        <x:v>SEAT</x:v>
      </x:c>
      <x:c r="F141" s="36" t="str">
        <x:v>SEAT</x:v>
      </x:c>
      <x:c r="G141" s="36" t="str">
        <x:v>vehicle_manufacturer</x:v>
      </x:c>
      <x:c r="H141" s="36" t="str">
        <x:v>vehicle_manufacturer</x:v>
      </x:c>
      <x:c r="I141" s="36" t="str">
        <x:v>use_entity</x:v>
      </x:c>
      <x:c r="J141" s="36" t="str">
        <x:v>use_entity</x:v>
      </x:c>
      <x:c r="K141" s="36" t="str">
        <x:v>exact</x:v>
      </x:c>
      <x:c r="L141" s="36" t="n">
        <x:v>0</x:v>
      </x:c>
      <x:c r="M141" s="38" t="str">
        <x:v>[]</x:v>
      </x:c>
      <x:c r="N141" s="38" t="str">
        <x:v>[]</x:v>
      </x:c>
      <x:c r="O141" s="42" t="b">
        <x:v>0</x:v>
      </x:c>
      <x:c r="P141" s="42" t="b">
        <x:v>0</x:v>
      </x:c>
      <x:c r="Q141" s="36"/>
      <x:c r="R141" s="36"/>
      <x:c r="S141" s="36"/>
      <x:c r="T141" s="38" t="str">
        <x:v>{"entity_id":"MFE-91DE63F1DC8D1F","source_field":"manufacturer","source_term":"SEAT S A","active_canonical_name":"SEAT","effective_canonical_name":"SE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2" ht="18" customHeight="1">
      <x:c r="A142" s="36" t="str">
        <x:v>MFE-241A4A6B11D7C9</x:v>
      </x:c>
      <x:c r="B142" s="36" t="str">
        <x:v>active_database_override</x:v>
      </x:c>
      <x:c r="C142" s="36" t="str">
        <x:v>brand</x:v>
      </x:c>
      <x:c r="D142" s="36" t="str">
        <x:v>SKODA</x:v>
      </x:c>
      <x:c r="E142" s="36" t="str">
        <x:v>Škoda</x:v>
      </x:c>
      <x:c r="F142" s="36" t="str">
        <x:v>Škoda</x:v>
      </x:c>
      <x:c r="G142" s="36" t="str">
        <x:v>vehicle_manufacturer</x:v>
      </x:c>
      <x:c r="H142" s="36" t="str">
        <x:v>vehicle_manufacturer</x:v>
      </x:c>
      <x:c r="I142" s="36" t="str">
        <x:v>use_entity</x:v>
      </x:c>
      <x:c r="J142" s="36" t="str">
        <x:v>use_entity</x:v>
      </x:c>
      <x:c r="K142" s="36" t="str">
        <x:v>whole_token_prefix</x:v>
      </x:c>
      <x:c r="L142" s="36" t="n">
        <x:v>0</x:v>
      </x:c>
      <x:c r="M142" s="38" t="str">
        <x:v>[]</x:v>
      </x:c>
      <x:c r="N142" s="38" t="str">
        <x:v>["SKODA FELICIA"]</x:v>
      </x:c>
      <x:c r="O142" s="42" t="b">
        <x:v>0</x:v>
      </x:c>
      <x:c r="P142" s="42" t="b">
        <x:v>0</x:v>
      </x:c>
      <x:c r="Q142" s="36"/>
      <x:c r="R142" s="36" t="n">
        <x:v>46239.752050324074</x:v>
      </x:c>
      <x:c r="S142" s="36" t="n">
        <x:v>46239.7710441088</x:v>
      </x:c>
      <x:c r="T142" s="38" t="str">
        <x:v>{"entity_id":"MFE-241A4A6B11D7C9","source_field":"brand","source_term":"SKODA","active_canonical_name":"Škoda","effective_canonical_name":"Ško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SKODA FELICIA"]}</x:v>
      </x:c>
    </x:row>
    <x:row r="143" ht="18" customHeight="1">
      <x:c r="A143" s="36" t="str">
        <x:v>MFE-6B860A1FB36454</x:v>
      </x:c>
      <x:c r="B143" s="36" t="str">
        <x:v>active_database_override</x:v>
      </x:c>
      <x:c r="C143" s="36" t="str">
        <x:v>manufacturer</x:v>
      </x:c>
      <x:c r="D143" s="36" t="str">
        <x:v>SKODA AUTO</x:v>
      </x:c>
      <x:c r="E143" s="36" t="str">
        <x:v>Škoda</x:v>
      </x:c>
      <x:c r="F143" s="36" t="str">
        <x:v>Škoda</x:v>
      </x:c>
      <x:c r="G143" s="36" t="str">
        <x:v>vehicle_manufacturer</x:v>
      </x:c>
      <x:c r="H143" s="36" t="str">
        <x:v>vehicle_manufacturer</x:v>
      </x:c>
      <x:c r="I143" s="36" t="str">
        <x:v>use_entity</x:v>
      </x:c>
      <x:c r="J143" s="36" t="str">
        <x:v>use_entity</x:v>
      </x:c>
      <x:c r="K143" s="36" t="str">
        <x:v>diacritic_insensitive_prefix</x:v>
      </x:c>
      <x:c r="L143" s="36" t="n">
        <x:v>0</x:v>
      </x:c>
      <x:c r="M143" s="38" t="str">
        <x:v>[]</x:v>
      </x:c>
      <x:c r="N143" s="38" t="str">
        <x:v>["SKODA AUTO TR. VACLAVA KLEMENTA 869, 293 01 MLADA BOLESLAV"]</x:v>
      </x:c>
      <x:c r="O143" s="42" t="b">
        <x:v>0</x:v>
      </x:c>
      <x:c r="P143" s="42" t="b">
        <x:v>0</x:v>
      </x:c>
      <x:c r="Q143" s="36"/>
      <x:c r="R143" s="36" t="n">
        <x:v>46239.77979774305</x:v>
      </x:c>
      <x:c r="S143" s="36" t="n">
        <x:v>46239.77979774305</x:v>
      </x:c>
      <x:c r="T143" s="38" t="str">
        <x:v>{"entity_id":"MFE-6B860A1FB36454","source_field":"manufacturer","source_term":"SKODA AUTO","active_canonical_name":"Škoda","effective_canonical_name":"Ško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42:54.525968Z","updated_at":"2026-08-05T18:42:54.525968Z","match_type":"diacritic_insensitive_prefix","reviewed_examples":["SKODA AUTO TR. VACLAVA KLEMENTA 869, 293 01 MLADA BOLESLAV"]}</x:v>
      </x:c>
    </x:row>
    <x:row r="144" ht="18" customHeight="1">
      <x:c r="A144" s="36" t="str">
        <x:v>MFE-0F424C397BDA85</x:v>
      </x:c>
      <x:c r="B144" s="36" t="str">
        <x:v>built_in_catalog</x:v>
      </x:c>
      <x:c r="C144" s="36" t="str">
        <x:v>brand</x:v>
      </x:c>
      <x:c r="D144" s="36" t="str">
        <x:v>SM SLÄPET 2565</x:v>
      </x:c>
      <x:c r="E144" s="36" t="str">
        <x:v>SM-Släpet</x:v>
      </x:c>
      <x:c r="F144" s="36" t="str">
        <x:v>SM-Släpet</x:v>
      </x:c>
      <x:c r="G144" s="36" t="str">
        <x:v>vehicle_manufacturer</x:v>
      </x:c>
      <x:c r="H144" s="36" t="str">
        <x:v>vehicle_manufacturer</x:v>
      </x:c>
      <x:c r="I144" s="36" t="str">
        <x:v>use_entity</x:v>
      </x:c>
      <x:c r="J144" s="36" t="str">
        <x:v>use_entity</x:v>
      </x:c>
      <x:c r="K144" s="36" t="str">
        <x:v>exact</x:v>
      </x:c>
      <x:c r="L144" s="36" t="n">
        <x:v>0</x:v>
      </x:c>
      <x:c r="M144" s="38" t="str">
        <x:v>[]</x:v>
      </x:c>
      <x:c r="N144" s="38" t="str">
        <x:v>[]</x:v>
      </x:c>
      <x:c r="O144" s="42" t="b">
        <x:v>0</x:v>
      </x:c>
      <x:c r="P144" s="42" t="b">
        <x:v>0</x:v>
      </x:c>
      <x:c r="Q144" s="36"/>
      <x:c r="R144" s="36"/>
      <x:c r="S144" s="36"/>
      <x:c r="T144" s="38" t="str">
        <x:v>{"entity_id":"MFE-0F424C397BDA85","source_field":"brand","source_term":"SM SLÄPET 2565","active_canonical_name":"SM-Släpet","effective_canonical_name":"SM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5" ht="18" customHeight="1">
      <x:c r="A145" s="36" t="str">
        <x:v>MFE-6B613B69BD0F2F</x:v>
      </x:c>
      <x:c r="B145" s="36" t="str">
        <x:v>built_in_catalog</x:v>
      </x:c>
      <x:c r="C145" s="36" t="str">
        <x:v>brand</x:v>
      </x:c>
      <x:c r="D145" s="36" t="str">
        <x:v>SOLARIS URBINO 12LE CNG</x:v>
      </x:c>
      <x:c r="E145" s="36" t="str">
        <x:v>Solaris</x:v>
      </x:c>
      <x:c r="F145" s="36" t="str">
        <x:v>Solaris</x:v>
      </x:c>
      <x:c r="G145" s="36" t="str">
        <x:v>vehicle_manufacturer</x:v>
      </x:c>
      <x:c r="H145" s="36" t="str">
        <x:v>vehicle_manufacturer</x:v>
      </x:c>
      <x:c r="I145" s="36" t="str">
        <x:v>use_entity</x:v>
      </x:c>
      <x:c r="J145" s="36" t="str">
        <x:v>use_entity</x:v>
      </x:c>
      <x:c r="K145" s="36" t="str">
        <x:v>exact</x:v>
      </x:c>
      <x:c r="L145" s="36" t="n">
        <x:v>0</x:v>
      </x:c>
      <x:c r="M145" s="38" t="str">
        <x:v>[]</x:v>
      </x:c>
      <x:c r="N145" s="38" t="str">
        <x:v>[]</x:v>
      </x:c>
      <x:c r="O145" s="42" t="b">
        <x:v>0</x:v>
      </x:c>
      <x:c r="P145" s="42" t="b">
        <x:v>0</x:v>
      </x:c>
      <x:c r="Q145" s="36"/>
      <x:c r="R145" s="36"/>
      <x:c r="S145" s="36"/>
      <x:c r="T145" s="38" t="str">
        <x:v>{"entity_id":"MFE-6B613B69BD0F2F","source_field":"brand","source_term":"SOLARIS URBINO 12LE CNG","active_canonical_name":"Solaris","effective_canonical_name":"Solar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6" ht="18" customHeight="1">
      <x:c r="A146" s="36" t="str">
        <x:v>MFE-6958CAA7383D08</x:v>
      </x:c>
      <x:c r="B146" s="36" t="str">
        <x:v>built_in_catalog</x:v>
      </x:c>
      <x:c r="C146" s="36" t="str">
        <x:v>brand</x:v>
      </x:c>
      <x:c r="D146" s="36" t="str">
        <x:v>SOLIFER ARTIC 450</x:v>
      </x:c>
      <x:c r="E146" s="36" t="str">
        <x:v>Solifer</x:v>
      </x:c>
      <x:c r="F146" s="36" t="str">
        <x:v>Solifer</x:v>
      </x:c>
      <x:c r="G146" s="36" t="str">
        <x:v>vehicle_manufacturer</x:v>
      </x:c>
      <x:c r="H146" s="36" t="str">
        <x:v>vehicle_manufacturer</x:v>
      </x:c>
      <x:c r="I146" s="36" t="str">
        <x:v>use_entity</x:v>
      </x:c>
      <x:c r="J146" s="36" t="str">
        <x:v>use_entity</x:v>
      </x:c>
      <x:c r="K146" s="36" t="str">
        <x:v>exact</x:v>
      </x:c>
      <x:c r="L146" s="36" t="n">
        <x:v>0</x:v>
      </x:c>
      <x:c r="M146" s="38" t="str">
        <x:v>[]</x:v>
      </x:c>
      <x:c r="N146" s="38" t="str">
        <x:v>[]</x:v>
      </x:c>
      <x:c r="O146" s="42" t="b">
        <x:v>0</x:v>
      </x:c>
      <x:c r="P146" s="42" t="b">
        <x:v>0</x:v>
      </x:c>
      <x:c r="Q146" s="36"/>
      <x:c r="R146" s="36"/>
      <x:c r="S146" s="36"/>
      <x:c r="T146" s="38" t="str">
        <x:v>{"entity_id":"MFE-6958CAA7383D08","source_field":"brand","source_term":"SOLIFER ARTIC 450","active_canonical_name":"Solifer","effective_canonical_name":"Solif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7" ht="18" customHeight="1">
      <x:c r="A147" s="36" t="str">
        <x:v>MFE-958CC333A46E04</x:v>
      </x:c>
      <x:c r="B147" s="36" t="str">
        <x:v>built_in_catalog</x:v>
      </x:c>
      <x:c r="C147" s="36" t="str">
        <x:v>manufacturer</x:v>
      </x:c>
      <x:c r="D147" s="36" t="str">
        <x:v>SORELPOL SP Z O O</x:v>
      </x:c>
      <x:c r="E147" s="36" t="str">
        <x:v>Sorelpol</x:v>
      </x:c>
      <x:c r="F147" s="36" t="str">
        <x:v>Sorelpol</x:v>
      </x:c>
      <x:c r="G147" s="36" t="str">
        <x:v>vehicle_manufacturer</x:v>
      </x:c>
      <x:c r="H147" s="36" t="str">
        <x:v>vehicle_manufacturer</x:v>
      </x:c>
      <x:c r="I147" s="36" t="str">
        <x:v>use_entity</x:v>
      </x:c>
      <x:c r="J147" s="36" t="str">
        <x:v>use_entity</x:v>
      </x:c>
      <x:c r="K147" s="36" t="str">
        <x:v>exact</x:v>
      </x:c>
      <x:c r="L147" s="36" t="n">
        <x:v>0</x:v>
      </x:c>
      <x:c r="M147" s="38" t="str">
        <x:v>[]</x:v>
      </x:c>
      <x:c r="N147" s="38" t="str">
        <x:v>[]</x:v>
      </x:c>
      <x:c r="O147" s="42" t="b">
        <x:v>0</x:v>
      </x:c>
      <x:c r="P147" s="42" t="b">
        <x:v>0</x:v>
      </x:c>
      <x:c r="Q147" s="36"/>
      <x:c r="R147" s="36"/>
      <x:c r="S147" s="36"/>
      <x:c r="T147" s="38" t="str">
        <x:v>{"entity_id":"MFE-958CC333A46E04","source_field":"manufacturer","source_term":"SORELPOL SP Z O O","active_canonical_name":"Sorelpol","effective_canonical_name":"Sorelpo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8" ht="18" customHeight="1">
      <x:c r="A148" s="36" t="str">
        <x:v>MFE-DF64F7A83B4890</x:v>
      </x:c>
      <x:c r="B148" s="36" t="str">
        <x:v>built_in_catalog</x:v>
      </x:c>
      <x:c r="C148" s="36" t="str">
        <x:v>manufacturer</x:v>
      </x:c>
      <x:c r="D148" s="36" t="str">
        <x:v>STELLANTIS</x:v>
      </x:c>
      <x:c r="E148" s="36" t="str">
        <x:v>STELLANTIS</x:v>
      </x:c>
      <x:c r="F148" s="36" t="str">
        <x:v>STELLANTIS</x:v>
      </x:c>
      <x:c r="G148" s="36" t="str">
        <x:v>corporate_group</x:v>
      </x:c>
      <x:c r="H148" s="36" t="str">
        <x:v>corporate_group</x:v>
      </x:c>
      <x:c r="I148" s="36" t="str">
        <x:v>require_evidence_review</x:v>
      </x:c>
      <x:c r="J148" s="36" t="str">
        <x:v>require_evidence_review</x:v>
      </x:c>
      <x:c r="K148" s="36" t="str">
        <x:v>exact</x:v>
      </x:c>
      <x:c r="L148" s="36" t="n">
        <x:v>0</x:v>
      </x:c>
      <x:c r="M148" s="38" t="str">
        <x:v>[]</x:v>
      </x:c>
      <x:c r="N148" s="38" t="str">
        <x:v>[]</x:v>
      </x:c>
      <x:c r="O148" s="42" t="b">
        <x:v>0</x:v>
      </x:c>
      <x:c r="P148" s="42" t="b">
        <x:v>0</x:v>
      </x:c>
      <x:c r="Q148" s="36"/>
      <x:c r="R148" s="36"/>
      <x:c r="S148" s="36"/>
      <x:c r="T148" s="38" t="str">
        <x:v>{"entity_id":"MFE-DF64F7A83B4890","source_field":"manufacturer","source_term":"STELLANTIS","active_canonical_name":"STELLANTIS","effective_canonical_name":"STELLANTIS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149" ht="18" customHeight="1">
      <x:c r="A149" s="36" t="str">
        <x:v>MFE-F90AC3D98FF4EE</x:v>
      </x:c>
      <x:c r="B149" s="36" t="str">
        <x:v>built_in_catalog</x:v>
      </x:c>
      <x:c r="C149" s="36" t="str">
        <x:v>brand</x:v>
      </x:c>
      <x:c r="D149" s="36" t="str">
        <x:v>STEYR</x:v>
      </x:c>
      <x:c r="E149" s="36" t="str">
        <x:v>Steyr</x:v>
      </x:c>
      <x:c r="F149" s="36" t="str">
        <x:v>Steyr</x:v>
      </x:c>
      <x:c r="G149" s="36" t="str">
        <x:v>vehicle_manufacturer</x:v>
      </x:c>
      <x:c r="H149" s="36" t="str">
        <x:v>vehicle_manufacturer</x:v>
      </x:c>
      <x:c r="I149" s="36" t="str">
        <x:v>use_entity</x:v>
      </x:c>
      <x:c r="J149" s="36" t="str">
        <x:v>use_entity</x:v>
      </x:c>
      <x:c r="K149" s="36" t="str">
        <x:v>exact</x:v>
      </x:c>
      <x:c r="L149" s="36" t="n">
        <x:v>0</x:v>
      </x:c>
      <x:c r="M149" s="38" t="str">
        <x:v>[]</x:v>
      </x:c>
      <x:c r="N149" s="38" t="str">
        <x:v>[]</x:v>
      </x:c>
      <x:c r="O149" s="42" t="b">
        <x:v>0</x:v>
      </x:c>
      <x:c r="P149" s="42" t="b">
        <x:v>0</x:v>
      </x:c>
      <x:c r="Q149" s="36"/>
      <x:c r="R149" s="36"/>
      <x:c r="S149" s="36"/>
      <x:c r="T149" s="38" t="str">
        <x:v>{"entity_id":"MFE-F90AC3D98FF4EE","source_field":"brand","source_term":"STEYR","active_canonical_name":"Steyr","effective_canonical_name":"Stey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0" ht="18" customHeight="1">
      <x:c r="A150" s="36" t="str">
        <x:v>MFE-9CD869868DF5A4</x:v>
      </x:c>
      <x:c r="B150" s="36" t="str">
        <x:v>built_in_catalog</x:v>
      </x:c>
      <x:c r="C150" s="36" t="str">
        <x:v>brand</x:v>
      </x:c>
      <x:c r="D150" s="36" t="str">
        <x:v>STUDEBAKER PRESIDENT</x:v>
      </x:c>
      <x:c r="E150" s="36" t="str">
        <x:v>Studebaker</x:v>
      </x:c>
      <x:c r="F150" s="36" t="str">
        <x:v>Studebaker</x:v>
      </x:c>
      <x:c r="G150" s="36" t="str">
        <x:v>vehicle_manufacturer</x:v>
      </x:c>
      <x:c r="H150" s="36" t="str">
        <x:v>vehicle_manufacturer</x:v>
      </x:c>
      <x:c r="I150" s="36" t="str">
        <x:v>use_entity</x:v>
      </x:c>
      <x:c r="J150" s="36" t="str">
        <x:v>use_entity</x:v>
      </x:c>
      <x:c r="K150" s="36" t="str">
        <x:v>exact</x:v>
      </x:c>
      <x:c r="L150" s="36" t="n">
        <x:v>0</x:v>
      </x:c>
      <x:c r="M150" s="38" t="str">
        <x:v>[]</x:v>
      </x:c>
      <x:c r="N150" s="38" t="str">
        <x:v>[]</x:v>
      </x:c>
      <x:c r="O150" s="42" t="b">
        <x:v>0</x:v>
      </x:c>
      <x:c r="P150" s="42" t="b">
        <x:v>0</x:v>
      </x:c>
      <x:c r="Q150" s="36"/>
      <x:c r="R150" s="36"/>
      <x:c r="S150" s="36"/>
      <x:c r="T150" s="38" t="str">
        <x:v>{"entity_id":"MFE-9CD869868DF5A4","source_field":"brand","source_term":"STUDEBAKER PRESIDENT","active_canonical_name":"Studebaker","effective_canonical_name":"Studebak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1" ht="18" customHeight="1">
      <x:c r="A151" s="36" t="str">
        <x:v>MFE-11531F2965809B</x:v>
      </x:c>
      <x:c r="B151" s="36" t="str">
        <x:v>built_in_catalog</x:v>
      </x:c>
      <x:c r="C151" s="36" t="str">
        <x:v>manufacturer</x:v>
      </x:c>
      <x:c r="D151" s="36" t="str">
        <x:v>SUBARU</x:v>
      </x:c>
      <x:c r="E151" s="36" t="str">
        <x:v>Subaru</x:v>
      </x:c>
      <x:c r="F151" s="36" t="str">
        <x:v>Subaru</x:v>
      </x:c>
      <x:c r="G151" s="36" t="str">
        <x:v>vehicle_manufacturer</x:v>
      </x:c>
      <x:c r="H151" s="36" t="str">
        <x:v>vehicle_manufacturer</x:v>
      </x:c>
      <x:c r="I151" s="36" t="str">
        <x:v>use_entity</x:v>
      </x:c>
      <x:c r="J151" s="36" t="str">
        <x:v>use_entity</x:v>
      </x:c>
      <x:c r="K151" s="36" t="str">
        <x:v>exact</x:v>
      </x:c>
      <x:c r="L151" s="36" t="n">
        <x:v>0</x:v>
      </x:c>
      <x:c r="M151" s="38" t="str">
        <x:v>[]</x:v>
      </x:c>
      <x:c r="N151" s="38" t="str">
        <x:v>[]</x:v>
      </x:c>
      <x:c r="O151" s="42" t="b">
        <x:v>0</x:v>
      </x:c>
      <x:c r="P151" s="42" t="b">
        <x:v>0</x:v>
      </x:c>
      <x:c r="Q151" s="36"/>
      <x:c r="R151" s="36"/>
      <x:c r="S151" s="36"/>
      <x:c r="T151" s="38" t="str">
        <x:v>{"entity_id":"MFE-11531F2965809B","source_field":"manufacturer","source_term":"SUBARU","active_canonical_name":"Subaru","effective_canonical_name":"Subar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2" ht="18" customHeight="1">
      <x:c r="A152" s="36" t="str">
        <x:v>MFE-4DF2B48472E46F</x:v>
      </x:c>
      <x:c r="B152" s="36" t="str">
        <x:v>built_in_catalog</x:v>
      </x:c>
      <x:c r="C152" s="36" t="str">
        <x:v>manufacturer</x:v>
      </x:c>
      <x:c r="D152" s="36" t="str">
        <x:v>SUBARU CORPORATION</x:v>
      </x:c>
      <x:c r="E152" s="36" t="str">
        <x:v>Subaru</x:v>
      </x:c>
      <x:c r="F152" s="36" t="str">
        <x:v>Subaru</x:v>
      </x:c>
      <x:c r="G152" s="36" t="str">
        <x:v>vehicle_manufacturer</x:v>
      </x:c>
      <x:c r="H152" s="36" t="str">
        <x:v>vehicle_manufacturer</x:v>
      </x:c>
      <x:c r="I152" s="36" t="str">
        <x:v>use_entity</x:v>
      </x:c>
      <x:c r="J152" s="36" t="str">
        <x:v>use_entity</x:v>
      </x:c>
      <x:c r="K152" s="36" t="str">
        <x:v>exact</x:v>
      </x:c>
      <x:c r="L152" s="36" t="n">
        <x:v>0</x:v>
      </x:c>
      <x:c r="M152" s="38" t="str">
        <x:v>[]</x:v>
      </x:c>
      <x:c r="N152" s="38" t="str">
        <x:v>[]</x:v>
      </x:c>
      <x:c r="O152" s="42" t="b">
        <x:v>0</x:v>
      </x:c>
      <x:c r="P152" s="42" t="b">
        <x:v>0</x:v>
      </x:c>
      <x:c r="Q152" s="36"/>
      <x:c r="R152" s="36"/>
      <x:c r="S152" s="36"/>
      <x:c r="T152" s="38" t="str">
        <x:v>{"entity_id":"MFE-4DF2B48472E46F","source_field":"manufacturer","source_term":"SUBARU CORPORATION","active_canonical_name":"Subaru","effective_canonical_name":"Subar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3" ht="18" customHeight="1">
      <x:c r="A153" s="36" t="str">
        <x:v>MFE-327756A1F94750</x:v>
      </x:c>
      <x:c r="B153" s="36" t="str">
        <x:v>built_in_catalog</x:v>
      </x:c>
      <x:c r="C153" s="36" t="str">
        <x:v>brand</x:v>
      </x:c>
      <x:c r="D153" s="36" t="str">
        <x:v>SUZUKI WVCG</x:v>
      </x:c>
      <x:c r="E153" s="36" t="str">
        <x:v>Suzuki</x:v>
      </x:c>
      <x:c r="F153" s="36" t="str">
        <x:v>Suzuki</x:v>
      </x:c>
      <x:c r="G153" s="36" t="str">
        <x:v>vehicle_manufacturer</x:v>
      </x:c>
      <x:c r="H153" s="36" t="str">
        <x:v>vehicle_manufacturer</x:v>
      </x:c>
      <x:c r="I153" s="36" t="str">
        <x:v>use_entity</x:v>
      </x:c>
      <x:c r="J153" s="36" t="str">
        <x:v>use_entity</x:v>
      </x:c>
      <x:c r="K153" s="36" t="str">
        <x:v>exact</x:v>
      </x:c>
      <x:c r="L153" s="36" t="n">
        <x:v>0</x:v>
      </x:c>
      <x:c r="M153" s="38" t="str">
        <x:v>[]</x:v>
      </x:c>
      <x:c r="N153" s="38" t="str">
        <x:v>[]</x:v>
      </x:c>
      <x:c r="O153" s="42" t="b">
        <x:v>0</x:v>
      </x:c>
      <x:c r="P153" s="42" t="b">
        <x:v>0</x:v>
      </x:c>
      <x:c r="Q153" s="36"/>
      <x:c r="R153" s="36"/>
      <x:c r="S153" s="36"/>
      <x:c r="T153" s="38" t="str">
        <x:v>{"entity_id":"MFE-327756A1F94750","source_field":"brand","source_term":"SUZUKI WVCG","active_canonical_name":"Suzuki","effective_canonical_name":"Suzu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4" ht="18" customHeight="1">
      <x:c r="A154" s="36" t="str">
        <x:v>MFE-5B3C215CC0B788</x:v>
      </x:c>
      <x:c r="B154" s="36" t="str">
        <x:v>built_in_catalog</x:v>
      </x:c>
      <x:c r="C154" s="36" t="str">
        <x:v>manufacturer</x:v>
      </x:c>
      <x:c r="D154" s="36" t="str">
        <x:v>TATRA</x:v>
      </x:c>
      <x:c r="E154" s="36" t="str">
        <x:v>Tatra</x:v>
      </x:c>
      <x:c r="F154" s="36" t="str">
        <x:v>Tatra</x:v>
      </x:c>
      <x:c r="G154" s="36" t="str">
        <x:v>vehicle_manufacturer</x:v>
      </x:c>
      <x:c r="H154" s="36" t="str">
        <x:v>vehicle_manufacturer</x:v>
      </x:c>
      <x:c r="I154" s="36" t="str">
        <x:v>use_entity</x:v>
      </x:c>
      <x:c r="J154" s="36" t="str">
        <x:v>use_entity</x:v>
      </x:c>
      <x:c r="K154" s="36" t="str">
        <x:v>exact</x:v>
      </x:c>
      <x:c r="L154" s="36" t="n">
        <x:v>0</x:v>
      </x:c>
      <x:c r="M154" s="38" t="str">
        <x:v>[]</x:v>
      </x:c>
      <x:c r="N154" s="38" t="str">
        <x:v>[]</x:v>
      </x:c>
      <x:c r="O154" s="42" t="b">
        <x:v>0</x:v>
      </x:c>
      <x:c r="P154" s="42" t="b">
        <x:v>0</x:v>
      </x:c>
      <x:c r="Q154" s="36"/>
      <x:c r="R154" s="36"/>
      <x:c r="S154" s="36"/>
      <x:c r="T154" s="38" t="str">
        <x:v>{"entity_id":"MFE-5B3C215CC0B788","source_field":"manufacturer","source_term":"TATRA","active_canonical_name":"Tatra","effective_canonical_name":"Tatr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5" ht="18" customHeight="1">
      <x:c r="A155" s="36" t="str">
        <x:v>MFE-582F5EAD3573EC</x:v>
      </x:c>
      <x:c r="B155" s="36" t="str">
        <x:v>built_in_catalog</x:v>
      </x:c>
      <x:c r="C155" s="36" t="str">
        <x:v>brand</x:v>
      </x:c>
      <x:c r="D155" s="36" t="str">
        <x:v>TEMARED</x:v>
      </x:c>
      <x:c r="E155" s="36" t="str">
        <x:v>Temared</x:v>
      </x:c>
      <x:c r="F155" s="36" t="str">
        <x:v>Temared</x:v>
      </x:c>
      <x:c r="G155" s="36" t="str">
        <x:v>vehicle_manufacturer</x:v>
      </x:c>
      <x:c r="H155" s="36" t="str">
        <x:v>vehicle_manufacturer</x:v>
      </x:c>
      <x:c r="I155" s="36" t="str">
        <x:v>use_entity</x:v>
      </x:c>
      <x:c r="J155" s="36" t="str">
        <x:v>use_entity</x:v>
      </x:c>
      <x:c r="K155" s="36" t="str">
        <x:v>exact</x:v>
      </x:c>
      <x:c r="L155" s="36" t="n">
        <x:v>0</x:v>
      </x:c>
      <x:c r="M155" s="38" t="str">
        <x:v>[]</x:v>
      </x:c>
      <x:c r="N155" s="38" t="str">
        <x:v>[]</x:v>
      </x:c>
      <x:c r="O155" s="42" t="b">
        <x:v>0</x:v>
      </x:c>
      <x:c r="P155" s="42" t="b">
        <x:v>0</x:v>
      </x:c>
      <x:c r="Q155" s="36"/>
      <x:c r="R155" s="36"/>
      <x:c r="S155" s="36"/>
      <x:c r="T155" s="38" t="str">
        <x:v>{"entity_id":"MFE-582F5EAD3573EC","source_field":"brand","source_term":"TEMARED","active_canonical_name":"Temared","effective_canonical_name":"Temare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6" ht="18" customHeight="1">
      <x:c r="A156" s="36" t="str">
        <x:v>MFE-7405F8A8F71349</x:v>
      </x:c>
      <x:c r="B156" s="36" t="str">
        <x:v>built_in_catalog</x:v>
      </x:c>
      <x:c r="C156" s="36" t="str">
        <x:v>manufacturer</x:v>
      </x:c>
      <x:c r="D156" s="36" t="str">
        <x:v>TEMARED SP Z O O</x:v>
      </x:c>
      <x:c r="E156" s="36" t="str">
        <x:v>Temared</x:v>
      </x:c>
      <x:c r="F156" s="36" t="str">
        <x:v>Temared</x:v>
      </x:c>
      <x:c r="G156" s="36" t="str">
        <x:v>vehicle_manufacturer</x:v>
      </x:c>
      <x:c r="H156" s="36" t="str">
        <x:v>vehicle_manufacturer</x:v>
      </x:c>
      <x:c r="I156" s="36" t="str">
        <x:v>use_entity</x:v>
      </x:c>
      <x:c r="J156" s="36" t="str">
        <x:v>use_entity</x:v>
      </x:c>
      <x:c r="K156" s="36" t="str">
        <x:v>exact</x:v>
      </x:c>
      <x:c r="L156" s="36" t="n">
        <x:v>0</x:v>
      </x:c>
      <x:c r="M156" s="38" t="str">
        <x:v>[]</x:v>
      </x:c>
      <x:c r="N156" s="38" t="str">
        <x:v>[]</x:v>
      </x:c>
      <x:c r="O156" s="42" t="b">
        <x:v>0</x:v>
      </x:c>
      <x:c r="P156" s="42" t="b">
        <x:v>0</x:v>
      </x:c>
      <x:c r="Q156" s="36"/>
      <x:c r="R156" s="36"/>
      <x:c r="S156" s="36"/>
      <x:c r="T156" s="38" t="str">
        <x:v>{"entity_id":"MFE-7405F8A8F71349","source_field":"manufacturer","source_term":"TEMARED SP Z O O","active_canonical_name":"Temared","effective_canonical_name":"Temare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7" ht="18" customHeight="1">
      <x:c r="A157" s="36" t="str">
        <x:v>MFE-32EDCDF0FA02CF</x:v>
      </x:c>
      <x:c r="B157" s="36" t="str">
        <x:v>built_in_catalog</x:v>
      </x:c>
      <x:c r="C157" s="36" t="str">
        <x:v>manufacturer</x:v>
      </x:c>
      <x:c r="D157" s="36" t="str">
        <x:v>TESLA</x:v>
      </x:c>
      <x:c r="E157" s="36" t="str">
        <x:v>Tesla</x:v>
      </x:c>
      <x:c r="F157" s="36" t="str">
        <x:v>Tesla</x:v>
      </x:c>
      <x:c r="G157" s="36" t="str">
        <x:v>vehicle_manufacturer</x:v>
      </x:c>
      <x:c r="H157" s="36" t="str">
        <x:v>vehicle_manufacturer</x:v>
      </x:c>
      <x:c r="I157" s="36" t="str">
        <x:v>use_entity</x:v>
      </x:c>
      <x:c r="J157" s="36" t="str">
        <x:v>use_entity</x:v>
      </x:c>
      <x:c r="K157" s="36" t="str">
        <x:v>exact</x:v>
      </x:c>
      <x:c r="L157" s="36" t="n">
        <x:v>0</x:v>
      </x:c>
      <x:c r="M157" s="38" t="str">
        <x:v>[]</x:v>
      </x:c>
      <x:c r="N157" s="38" t="str">
        <x:v>[]</x:v>
      </x:c>
      <x:c r="O157" s="42" t="b">
        <x:v>0</x:v>
      </x:c>
      <x:c r="P157" s="42" t="b">
        <x:v>0</x:v>
      </x:c>
      <x:c r="Q157" s="36"/>
      <x:c r="R157" s="36"/>
      <x:c r="S157" s="36"/>
      <x:c r="T157" s="38" t="str">
        <x:v>{"entity_id":"MFE-32EDCDF0FA02CF","source_field":"manufacturer","source_term":"TESLA","active_canonical_name":"Tesla","effective_canonical_name":"Tesl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8" ht="18" customHeight="1">
      <x:c r="A158" s="36" t="str">
        <x:v>MFE-E39E920EF53187</x:v>
      </x:c>
      <x:c r="B158" s="36" t="str">
        <x:v>built_in_catalog</x:v>
      </x:c>
      <x:c r="C158" s="36" t="str">
        <x:v>manufacturer</x:v>
      </x:c>
      <x:c r="D158" s="36" t="str">
        <x:v>TESLA INC</x:v>
      </x:c>
      <x:c r="E158" s="36" t="str">
        <x:v>Tesla</x:v>
      </x:c>
      <x:c r="F158" s="36" t="str">
        <x:v>Tesla</x:v>
      </x:c>
      <x:c r="G158" s="36" t="str">
        <x:v>vehicle_manufacturer</x:v>
      </x:c>
      <x:c r="H158" s="36" t="str">
        <x:v>vehicle_manufacturer</x:v>
      </x:c>
      <x:c r="I158" s="36" t="str">
        <x:v>use_entity</x:v>
      </x:c>
      <x:c r="J158" s="36" t="str">
        <x:v>use_entity</x:v>
      </x:c>
      <x:c r="K158" s="36" t="str">
        <x:v>exact</x:v>
      </x:c>
      <x:c r="L158" s="36" t="n">
        <x:v>0</x:v>
      </x:c>
      <x:c r="M158" s="38" t="str">
        <x:v>[]</x:v>
      </x:c>
      <x:c r="N158" s="38" t="str">
        <x:v>[]</x:v>
      </x:c>
      <x:c r="O158" s="42" t="b">
        <x:v>0</x:v>
      </x:c>
      <x:c r="P158" s="42" t="b">
        <x:v>0</x:v>
      </x:c>
      <x:c r="Q158" s="36"/>
      <x:c r="R158" s="36"/>
      <x:c r="S158" s="36"/>
      <x:c r="T158" s="38" t="str">
        <x:v>{"entity_id":"MFE-E39E920EF53187","source_field":"manufacturer","source_term":"TESLA INC","active_canonical_name":"Tesla","effective_canonical_name":"Tesl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9" ht="18" customHeight="1">
      <x:c r="A159" s="36" t="str">
        <x:v>MFE-32A8F39602F30F</x:v>
      </x:c>
      <x:c r="B159" s="36" t="str">
        <x:v>built_in_catalog</x:v>
      </x:c>
      <x:c r="C159" s="36" t="str">
        <x:v>brand</x:v>
      </x:c>
      <x:c r="D159" s="36" t="str">
        <x:v>THULE 0600UVSL</x:v>
      </x:c>
      <x:c r="E159" s="36" t="str">
        <x:v>Thule</x:v>
      </x:c>
      <x:c r="F159" s="36" t="str">
        <x:v>Thule</x:v>
      </x:c>
      <x:c r="G159" s="36" t="str">
        <x:v>vehicle_manufacturer</x:v>
      </x:c>
      <x:c r="H159" s="36" t="str">
        <x:v>vehicle_manufacturer</x:v>
      </x:c>
      <x:c r="I159" s="36" t="str">
        <x:v>use_entity</x:v>
      </x:c>
      <x:c r="J159" s="36" t="str">
        <x:v>use_entity</x:v>
      </x:c>
      <x:c r="K159" s="36" t="str">
        <x:v>exact</x:v>
      </x:c>
      <x:c r="L159" s="36" t="n">
        <x:v>0</x:v>
      </x:c>
      <x:c r="M159" s="38" t="str">
        <x:v>[]</x:v>
      </x:c>
      <x:c r="N159" s="38" t="str">
        <x:v>[]</x:v>
      </x:c>
      <x:c r="O159" s="42" t="b">
        <x:v>0</x:v>
      </x:c>
      <x:c r="P159" s="42" t="b">
        <x:v>0</x:v>
      </x:c>
      <x:c r="Q159" s="36"/>
      <x:c r="R159" s="36"/>
      <x:c r="S159" s="36"/>
      <x:c r="T159" s="38" t="str">
        <x:v>{"entity_id":"MFE-32A8F39602F30F","source_field":"brand","source_term":"THULE 0600UVSL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0" ht="18" customHeight="1">
      <x:c r="A160" s="36" t="str">
        <x:v>MFE-2DC2F5FCE81D1B</x:v>
      </x:c>
      <x:c r="B160" s="36" t="str">
        <x:v>built_in_catalog</x:v>
      </x:c>
      <x:c r="C160" s="36" t="str">
        <x:v>brand</x:v>
      </x:c>
      <x:c r="D160" s="36" t="str">
        <x:v>THULE B01</x:v>
      </x:c>
      <x:c r="E160" s="36" t="str">
        <x:v>Thule</x:v>
      </x:c>
      <x:c r="F160" s="36" t="str">
        <x:v>Thule</x:v>
      </x:c>
      <x:c r="G160" s="36" t="str">
        <x:v>vehicle_manufacturer</x:v>
      </x:c>
      <x:c r="H160" s="36" t="str">
        <x:v>vehicle_manufacturer</x:v>
      </x:c>
      <x:c r="I160" s="36" t="str">
        <x:v>use_entity</x:v>
      </x:c>
      <x:c r="J160" s="36" t="str">
        <x:v>use_entity</x:v>
      </x:c>
      <x:c r="K160" s="36" t="str">
        <x:v>exact</x:v>
      </x:c>
      <x:c r="L160" s="36" t="n">
        <x:v>0</x:v>
      </x:c>
      <x:c r="M160" s="38" t="str">
        <x:v>[]</x:v>
      </x:c>
      <x:c r="N160" s="38" t="str">
        <x:v>[]</x:v>
      </x:c>
      <x:c r="O160" s="42" t="b">
        <x:v>0</x:v>
      </x:c>
      <x:c r="P160" s="42" t="b">
        <x:v>0</x:v>
      </x:c>
      <x:c r="Q160" s="36"/>
      <x:c r="R160" s="36"/>
      <x:c r="S160" s="36"/>
      <x:c r="T160" s="38" t="str">
        <x:v>{"entity_id":"MFE-2DC2F5FCE81D1B","source_field":"brand","source_term":"THULE B01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1" ht="18" customHeight="1">
      <x:c r="A161" s="36" t="str">
        <x:v>MFE-2F8308EAE6AE86</x:v>
      </x:c>
      <x:c r="B161" s="36" t="str">
        <x:v>built_in_catalog</x:v>
      </x:c>
      <x:c r="C161" s="36" t="str">
        <x:v>brand</x:v>
      </x:c>
      <x:c r="D161" s="36" t="str">
        <x:v>THULE F1425650U</x:v>
      </x:c>
      <x:c r="E161" s="36" t="str">
        <x:v>Thule</x:v>
      </x:c>
      <x:c r="F161" s="36" t="str">
        <x:v>Thule</x:v>
      </x:c>
      <x:c r="G161" s="36" t="str">
        <x:v>vehicle_manufacturer</x:v>
      </x:c>
      <x:c r="H161" s="36" t="str">
        <x:v>vehicle_manufacturer</x:v>
      </x:c>
      <x:c r="I161" s="36" t="str">
        <x:v>use_entity</x:v>
      </x:c>
      <x:c r="J161" s="36" t="str">
        <x:v>use_entity</x:v>
      </x:c>
      <x:c r="K161" s="36" t="str">
        <x:v>exact</x:v>
      </x:c>
      <x:c r="L161" s="36" t="n">
        <x:v>0</x:v>
      </x:c>
      <x:c r="M161" s="38" t="str">
        <x:v>[]</x:v>
      </x:c>
      <x:c r="N161" s="38" t="str">
        <x:v>[]</x:v>
      </x:c>
      <x:c r="O161" s="42" t="b">
        <x:v>0</x:v>
      </x:c>
      <x:c r="P161" s="42" t="b">
        <x:v>0</x:v>
      </x:c>
      <x:c r="Q161" s="36"/>
      <x:c r="R161" s="36"/>
      <x:c r="S161" s="36"/>
      <x:c r="T161" s="38" t="str">
        <x:v>{"entity_id":"MFE-2F8308EAE6AE86","source_field":"brand","source_term":"THULE F1425650U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2" ht="18" customHeight="1">
      <x:c r="A162" s="36" t="str">
        <x:v>MFE-F25538659E8734</x:v>
      </x:c>
      <x:c r="B162" s="36" t="str">
        <x:v>built_in_catalog</x:v>
      </x:c>
      <x:c r="C162" s="36" t="str">
        <x:v>brand</x:v>
      </x:c>
      <x:c r="D162" s="36" t="str">
        <x:v>TIAB 7910</x:v>
      </x:c>
      <x:c r="E162" s="36" t="str">
        <x:v>TIAB</x:v>
      </x:c>
      <x:c r="F162" s="36" t="str">
        <x:v>TIAB</x:v>
      </x:c>
      <x:c r="G162" s="36" t="str">
        <x:v>vehicle_manufacturer</x:v>
      </x:c>
      <x:c r="H162" s="36" t="str">
        <x:v>vehicle_manufacturer</x:v>
      </x:c>
      <x:c r="I162" s="36" t="str">
        <x:v>use_entity</x:v>
      </x:c>
      <x:c r="J162" s="36" t="str">
        <x:v>use_entity</x:v>
      </x:c>
      <x:c r="K162" s="36" t="str">
        <x:v>exact</x:v>
      </x:c>
      <x:c r="L162" s="36" t="n">
        <x:v>0</x:v>
      </x:c>
      <x:c r="M162" s="38" t="str">
        <x:v>[]</x:v>
      </x:c>
      <x:c r="N162" s="38" t="str">
        <x:v>[]</x:v>
      </x:c>
      <x:c r="O162" s="42" t="b">
        <x:v>0</x:v>
      </x:c>
      <x:c r="P162" s="42" t="b">
        <x:v>0</x:v>
      </x:c>
      <x:c r="Q162" s="36"/>
      <x:c r="R162" s="36"/>
      <x:c r="S162" s="36"/>
      <x:c r="T162" s="38" t="str">
        <x:v>{"entity_id":"MFE-F25538659E8734","source_field":"brand","source_term":"TIAB 7910","active_canonical_name":"TIAB","effective_canonical_name":"TIAB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3" ht="18" customHeight="1">
      <x:c r="A163" s="36" t="str">
        <x:v>MFE-4A88CCAAA0C199</x:v>
      </x:c>
      <x:c r="B163" s="36" t="str">
        <x:v>built_in_catalog</x:v>
      </x:c>
      <x:c r="C163" s="36" t="str">
        <x:v>brand</x:v>
      </x:c>
      <x:c r="D163" s="36" t="str">
        <x:v>TIKI</x:v>
      </x:c>
      <x:c r="E163" s="36" t="str">
        <x:v>Tiki Treiler</x:v>
      </x:c>
      <x:c r="F163" s="36" t="str">
        <x:v>Tiki Treiler</x:v>
      </x:c>
      <x:c r="G163" s="36" t="str">
        <x:v>vehicle_manufacturer</x:v>
      </x:c>
      <x:c r="H163" s="36" t="str">
        <x:v>vehicle_manufacturer</x:v>
      </x:c>
      <x:c r="I163" s="36" t="str">
        <x:v>use_entity</x:v>
      </x:c>
      <x:c r="J163" s="36" t="str">
        <x:v>use_entity</x:v>
      </x:c>
      <x:c r="K163" s="36" t="str">
        <x:v>exact</x:v>
      </x:c>
      <x:c r="L163" s="36" t="n">
        <x:v>0</x:v>
      </x:c>
      <x:c r="M163" s="38" t="str">
        <x:v>[]</x:v>
      </x:c>
      <x:c r="N163" s="38" t="str">
        <x:v>[]</x:v>
      </x:c>
      <x:c r="O163" s="42" t="b">
        <x:v>0</x:v>
      </x:c>
      <x:c r="P163" s="42" t="b">
        <x:v>0</x:v>
      </x:c>
      <x:c r="Q163" s="36"/>
      <x:c r="R163" s="36"/>
      <x:c r="S163" s="36"/>
      <x:c r="T163" s="38" t="str">
        <x:v>{"entity_id":"MFE-4A88CCAAA0C199","source_field":"brand","source_term":"TIKI","active_canonical_name":"Tiki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4" ht="18" customHeight="1">
      <x:c r="A164" s="36" t="str">
        <x:v>MFE-34EF6CC0A0002C</x:v>
      </x:c>
      <x:c r="B164" s="36" t="str">
        <x:v>built_in_catalog</x:v>
      </x:c>
      <x:c r="C164" s="36" t="str">
        <x:v>brand</x:v>
      </x:c>
      <x:c r="D164" s="36" t="str">
        <x:v>TIKI B131</x:v>
      </x:c>
      <x:c r="E164" s="36" t="str">
        <x:v>Tiki Treiler</x:v>
      </x:c>
      <x:c r="F164" s="36" t="str">
        <x:v>Tiki Treiler</x:v>
      </x:c>
      <x:c r="G164" s="36" t="str">
        <x:v>vehicle_manufacturer</x:v>
      </x:c>
      <x:c r="H164" s="36" t="str">
        <x:v>vehicle_manufacturer</x:v>
      </x:c>
      <x:c r="I164" s="36" t="str">
        <x:v>use_entity</x:v>
      </x:c>
      <x:c r="J164" s="36" t="str">
        <x:v>use_entity</x:v>
      </x:c>
      <x:c r="K164" s="36" t="str">
        <x:v>exact</x:v>
      </x:c>
      <x:c r="L164" s="36" t="n">
        <x:v>0</x:v>
      </x:c>
      <x:c r="M164" s="38" t="str">
        <x:v>[]</x:v>
      </x:c>
      <x:c r="N164" s="38" t="str">
        <x:v>[]</x:v>
      </x:c>
      <x:c r="O164" s="42" t="b">
        <x:v>0</x:v>
      </x:c>
      <x:c r="P164" s="42" t="b">
        <x:v>0</x:v>
      </x:c>
      <x:c r="Q164" s="36"/>
      <x:c r="R164" s="36"/>
      <x:c r="S164" s="36"/>
      <x:c r="T164" s="38" t="str">
        <x:v>{"entity_id":"MFE-34EF6CC0A0002C","source_field":"brand","source_term":"TIKI B131","active_canonical_name":"Tiki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5" ht="18" customHeight="1">
      <x:c r="A165" s="36" t="str">
        <x:v>MFE-DF6BDC49A2B575</x:v>
      </x:c>
      <x:c r="B165" s="36" t="str">
        <x:v>built_in_catalog</x:v>
      </x:c>
      <x:c r="C165" s="36" t="str">
        <x:v>brand</x:v>
      </x:c>
      <x:c r="D165" s="36" t="str">
        <x:v>TIKI TREILER B 350P</x:v>
      </x:c>
      <x:c r="E165" s="36" t="str">
        <x:v>Tiki Treiler</x:v>
      </x:c>
      <x:c r="F165" s="36" t="str">
        <x:v>Tiki Treiler</x:v>
      </x:c>
      <x:c r="G165" s="36" t="str">
        <x:v>vehicle_manufacturer</x:v>
      </x:c>
      <x:c r="H165" s="36" t="str">
        <x:v>vehicle_manufacturer</x:v>
      </x:c>
      <x:c r="I165" s="36" t="str">
        <x:v>use_entity</x:v>
      </x:c>
      <x:c r="J165" s="36" t="str">
        <x:v>use_entity</x:v>
      </x:c>
      <x:c r="K165" s="36" t="str">
        <x:v>exact</x:v>
      </x:c>
      <x:c r="L165" s="36" t="n">
        <x:v>0</x:v>
      </x:c>
      <x:c r="M165" s="38" t="str">
        <x:v>[]</x:v>
      </x:c>
      <x:c r="N165" s="38" t="str">
        <x:v>[]</x:v>
      </x:c>
      <x:c r="O165" s="42" t="b">
        <x:v>0</x:v>
      </x:c>
      <x:c r="P165" s="42" t="b">
        <x:v>0</x:v>
      </x:c>
      <x:c r="Q165" s="36"/>
      <x:c r="R165" s="36"/>
      <x:c r="S165" s="36"/>
      <x:c r="T165" s="38" t="str">
        <x:v>{"entity_id":"MFE-DF6BDC49A2B575","source_field":"brand","source_term":"TIKI TREILER B 350P","active_canonical_name":"Tiki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6" ht="18" customHeight="1">
      <x:c r="A166" s="36" t="str">
        <x:v>MFE-DBD2FA29152BC4</x:v>
      </x:c>
      <x:c r="B166" s="36" t="str">
        <x:v>built_in_catalog</x:v>
      </x:c>
      <x:c r="C166" s="36" t="str">
        <x:v>brand</x:v>
      </x:c>
      <x:c r="D166" s="36" t="str">
        <x:v>TIKI TREILER BT 700</x:v>
      </x:c>
      <x:c r="E166" s="36" t="str">
        <x:v>Tiki Treiler</x:v>
      </x:c>
      <x:c r="F166" s="36" t="str">
        <x:v>Tiki Treiler</x:v>
      </x:c>
      <x:c r="G166" s="36" t="str">
        <x:v>vehicle_manufacturer</x:v>
      </x:c>
      <x:c r="H166" s="36" t="str">
        <x:v>vehicle_manufacturer</x:v>
      </x:c>
      <x:c r="I166" s="36" t="str">
        <x:v>use_entity</x:v>
      </x:c>
      <x:c r="J166" s="36" t="str">
        <x:v>use_entity</x:v>
      </x:c>
      <x:c r="K166" s="36" t="str">
        <x:v>exact</x:v>
      </x:c>
      <x:c r="L166" s="36" t="n">
        <x:v>0</x:v>
      </x:c>
      <x:c r="M166" s="38" t="str">
        <x:v>[]</x:v>
      </x:c>
      <x:c r="N166" s="38" t="str">
        <x:v>[]</x:v>
      </x:c>
      <x:c r="O166" s="42" t="b">
        <x:v>0</x:v>
      </x:c>
      <x:c r="P166" s="42" t="b">
        <x:v>0</x:v>
      </x:c>
      <x:c r="Q166" s="36"/>
      <x:c r="R166" s="36"/>
      <x:c r="S166" s="36"/>
      <x:c r="T166" s="38" t="str">
        <x:v>{"entity_id":"MFE-DBD2FA29152BC4","source_field":"brand","source_term":"TIKI TREILER BT 700","active_canonical_name":"Tiki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7" ht="18" customHeight="1">
      <x:c r="A167" s="36" t="str">
        <x:v>MFE-DEDBC52E5812BC</x:v>
      </x:c>
      <x:c r="B167" s="36" t="str">
        <x:v>built_in_catalog</x:v>
      </x:c>
      <x:c r="C167" s="36" t="str">
        <x:v>brand</x:v>
      </x:c>
      <x:c r="D167" s="36" t="str">
        <x:v>TIKI TREILER C121</x:v>
      </x:c>
      <x:c r="E167" s="36" t="str">
        <x:v>Tiki Treiler</x:v>
      </x:c>
      <x:c r="F167" s="36" t="str">
        <x:v>Tiki Treiler</x:v>
      </x:c>
      <x:c r="G167" s="36" t="str">
        <x:v>vehicle_manufacturer</x:v>
      </x:c>
      <x:c r="H167" s="36" t="str">
        <x:v>vehicle_manufacturer</x:v>
      </x:c>
      <x:c r="I167" s="36" t="str">
        <x:v>use_entity</x:v>
      </x:c>
      <x:c r="J167" s="36" t="str">
        <x:v>use_entity</x:v>
      </x:c>
      <x:c r="K167" s="36" t="str">
        <x:v>exact</x:v>
      </x:c>
      <x:c r="L167" s="36" t="n">
        <x:v>0</x:v>
      </x:c>
      <x:c r="M167" s="38" t="str">
        <x:v>[]</x:v>
      </x:c>
      <x:c r="N167" s="38" t="str">
        <x:v>[]</x:v>
      </x:c>
      <x:c r="O167" s="42" t="b">
        <x:v>0</x:v>
      </x:c>
      <x:c r="P167" s="42" t="b">
        <x:v>0</x:v>
      </x:c>
      <x:c r="Q167" s="36"/>
      <x:c r="R167" s="36"/>
      <x:c r="S167" s="36"/>
      <x:c r="T167" s="38" t="str">
        <x:v>{"entity_id":"MFE-DEDBC52E5812BC","source_field":"brand","source_term":"TIKI TREILER C121","active_canonical_name":"Tiki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8" ht="18" customHeight="1">
      <x:c r="A168" s="36" t="str">
        <x:v>MFE-C48AD1F1478C5F</x:v>
      </x:c>
      <x:c r="B168" s="36" t="str">
        <x:v>built_in_catalog</x:v>
      </x:c>
      <x:c r="C168" s="36" t="str">
        <x:v>brand</x:v>
      </x:c>
      <x:c r="D168" s="36" t="str">
        <x:v>TIKI TREILER C163</x:v>
      </x:c>
      <x:c r="E168" s="36" t="str">
        <x:v>Tiki Treiler</x:v>
      </x:c>
      <x:c r="F168" s="36" t="str">
        <x:v>Tiki Treiler</x:v>
      </x:c>
      <x:c r="G168" s="36" t="str">
        <x:v>vehicle_manufacturer</x:v>
      </x:c>
      <x:c r="H168" s="36" t="str">
        <x:v>vehicle_manufacturer</x:v>
      </x:c>
      <x:c r="I168" s="36" t="str">
        <x:v>use_entity</x:v>
      </x:c>
      <x:c r="J168" s="36" t="str">
        <x:v>use_entity</x:v>
      </x:c>
      <x:c r="K168" s="36" t="str">
        <x:v>exact</x:v>
      </x:c>
      <x:c r="L168" s="36" t="n">
        <x:v>0</x:v>
      </x:c>
      <x:c r="M168" s="38" t="str">
        <x:v>[]</x:v>
      </x:c>
      <x:c r="N168" s="38" t="str">
        <x:v>[]</x:v>
      </x:c>
      <x:c r="O168" s="42" t="b">
        <x:v>0</x:v>
      </x:c>
      <x:c r="P168" s="42" t="b">
        <x:v>0</x:v>
      </x:c>
      <x:c r="Q168" s="36"/>
      <x:c r="R168" s="36"/>
      <x:c r="S168" s="36"/>
      <x:c r="T168" s="38" t="str">
        <x:v>{"entity_id":"MFE-C48AD1F1478C5F","source_field":"brand","source_term":"TIKI TREILER C163","active_canonical_name":"Tiki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9" ht="18" customHeight="1">
      <x:c r="A169" s="36" t="str">
        <x:v>MFE-5326FD93F23A8E</x:v>
      </x:c>
      <x:c r="B169" s="36" t="str">
        <x:v>built_in_catalog</x:v>
      </x:c>
      <x:c r="C169" s="36" t="str">
        <x:v>brand</x:v>
      </x:c>
      <x:c r="D169" s="36" t="str">
        <x:v>TK TRAILER ES</x:v>
      </x:c>
      <x:c r="E169" s="36" t="str">
        <x:v>TK Trailer</x:v>
      </x:c>
      <x:c r="F169" s="36" t="str">
        <x:v>TK Trailer</x:v>
      </x:c>
      <x:c r="G169" s="36" t="str">
        <x:v>vehicle_manufacturer</x:v>
      </x:c>
      <x:c r="H169" s="36" t="str">
        <x:v>vehicle_manufacturer</x:v>
      </x:c>
      <x:c r="I169" s="36" t="str">
        <x:v>use_entity</x:v>
      </x:c>
      <x:c r="J169" s="36" t="str">
        <x:v>use_entity</x:v>
      </x:c>
      <x:c r="K169" s="36" t="str">
        <x:v>exact</x:v>
      </x:c>
      <x:c r="L169" s="36" t="n">
        <x:v>0</x:v>
      </x:c>
      <x:c r="M169" s="38" t="str">
        <x:v>[]</x:v>
      </x:c>
      <x:c r="N169" s="38" t="str">
        <x:v>[]</x:v>
      </x:c>
      <x:c r="O169" s="42" t="b">
        <x:v>0</x:v>
      </x:c>
      <x:c r="P169" s="42" t="b">
        <x:v>0</x:v>
      </x:c>
      <x:c r="Q169" s="36"/>
      <x:c r="R169" s="36"/>
      <x:c r="S169" s="36"/>
      <x:c r="T169" s="38" t="str">
        <x:v>{"entity_id":"MFE-5326FD93F23A8E","source_field":"brand","source_term":"TK TRAILER ES","active_canonical_name":"TK Trailer","effective_canonical_name":"TK Tra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0" ht="18" customHeight="1">
      <x:c r="A170" s="36" t="str">
        <x:v>MFE-C31D2D0E927FA9</x:v>
      </x:c>
      <x:c r="B170" s="36" t="str">
        <x:v>built_in_catalog</x:v>
      </x:c>
      <x:c r="C170" s="36" t="str">
        <x:v>manufacturer</x:v>
      </x:c>
      <x:c r="D170" s="36" t="str">
        <x:v>TOYOTA</x:v>
      </x:c>
      <x:c r="E170" s="36" t="str">
        <x:v>Toyota</x:v>
      </x:c>
      <x:c r="F170" s="36" t="str">
        <x:v>Toyota</x:v>
      </x:c>
      <x:c r="G170" s="36" t="str">
        <x:v>vehicle_manufacturer</x:v>
      </x:c>
      <x:c r="H170" s="36" t="str">
        <x:v>vehicle_manufacturer</x:v>
      </x:c>
      <x:c r="I170" s="36" t="str">
        <x:v>use_entity</x:v>
      </x:c>
      <x:c r="J170" s="36" t="str">
        <x:v>use_entity</x:v>
      </x:c>
      <x:c r="K170" s="36" t="str">
        <x:v>exact</x:v>
      </x:c>
      <x:c r="L170" s="36" t="n">
        <x:v>0</x:v>
      </x:c>
      <x:c r="M170" s="38" t="str">
        <x:v>[]</x:v>
      </x:c>
      <x:c r="N170" s="38" t="str">
        <x:v>[]</x:v>
      </x:c>
      <x:c r="O170" s="42" t="b">
        <x:v>0</x:v>
      </x:c>
      <x:c r="P170" s="42" t="b">
        <x:v>0</x:v>
      </x:c>
      <x:c r="Q170" s="36"/>
      <x:c r="R170" s="36"/>
      <x:c r="S170" s="36"/>
      <x:c r="T170" s="38" t="str">
        <x:v>{"entity_id":"MFE-C31D2D0E927FA9","source_field":"manufacturer","source_term":"TOYOTA","active_canonical_name":"Toyota","effective_canonical_name":"Toyot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1" ht="18" customHeight="1">
      <x:c r="A171" s="36" t="str">
        <x:v>MFE-00C660024AE12E</x:v>
      </x:c>
      <x:c r="B171" s="36" t="str">
        <x:v>built_in_catalog</x:v>
      </x:c>
      <x:c r="C171" s="36" t="str">
        <x:v>manufacturer</x:v>
      </x:c>
      <x:c r="D171" s="36" t="str">
        <x:v>TOYOTA MOTOR CORPORATION</x:v>
      </x:c>
      <x:c r="E171" s="36" t="str">
        <x:v>Toyota</x:v>
      </x:c>
      <x:c r="F171" s="36" t="str">
        <x:v>Toyota</x:v>
      </x:c>
      <x:c r="G171" s="36" t="str">
        <x:v>vehicle_manufacturer</x:v>
      </x:c>
      <x:c r="H171" s="36" t="str">
        <x:v>vehicle_manufacturer</x:v>
      </x:c>
      <x:c r="I171" s="36" t="str">
        <x:v>use_entity</x:v>
      </x:c>
      <x:c r="J171" s="36" t="str">
        <x:v>use_entity</x:v>
      </x:c>
      <x:c r="K171" s="36" t="str">
        <x:v>exact</x:v>
      </x:c>
      <x:c r="L171" s="36" t="n">
        <x:v>0</x:v>
      </x:c>
      <x:c r="M171" s="38" t="str">
        <x:v>[]</x:v>
      </x:c>
      <x:c r="N171" s="38" t="str">
        <x:v>[]</x:v>
      </x:c>
      <x:c r="O171" s="42" t="b">
        <x:v>0</x:v>
      </x:c>
      <x:c r="P171" s="42" t="b">
        <x:v>0</x:v>
      </x:c>
      <x:c r="Q171" s="36"/>
      <x:c r="R171" s="36"/>
      <x:c r="S171" s="36"/>
      <x:c r="T171" s="38" t="str">
        <x:v>{"entity_id":"MFE-00C660024AE12E","source_field":"manufacturer","source_term":"TOYOTA MOTOR CORPORATION","active_canonical_name":"Toyota","effective_canonical_name":"Toyot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2" ht="18" customHeight="1">
      <x:c r="A172" s="36" t="str">
        <x:v>MFE-A38B04E8C51F83</x:v>
      </x:c>
      <x:c r="B172" s="36" t="str">
        <x:v>built_in_catalog</x:v>
      </x:c>
      <x:c r="C172" s="36" t="str">
        <x:v>brand</x:v>
      </x:c>
      <x:c r="D172" s="36" t="str">
        <x:v>TRAILERGRUPPEN L 1001</x:v>
      </x:c>
      <x:c r="E172" s="36" t="str">
        <x:v>Trailergruppen</x:v>
      </x:c>
      <x:c r="F172" s="36" t="str">
        <x:v>Trailergruppen</x:v>
      </x:c>
      <x:c r="G172" s="36" t="str">
        <x:v>vehicle_manufacturer</x:v>
      </x:c>
      <x:c r="H172" s="36" t="str">
        <x:v>vehicle_manufacturer</x:v>
      </x:c>
      <x:c r="I172" s="36" t="str">
        <x:v>use_entity</x:v>
      </x:c>
      <x:c r="J172" s="36" t="str">
        <x:v>use_entity</x:v>
      </x:c>
      <x:c r="K172" s="36" t="str">
        <x:v>exact</x:v>
      </x:c>
      <x:c r="L172" s="36" t="n">
        <x:v>0</x:v>
      </x:c>
      <x:c r="M172" s="38" t="str">
        <x:v>[]</x:v>
      </x:c>
      <x:c r="N172" s="38" t="str">
        <x:v>[]</x:v>
      </x:c>
      <x:c r="O172" s="42" t="b">
        <x:v>0</x:v>
      </x:c>
      <x:c r="P172" s="42" t="b">
        <x:v>0</x:v>
      </x:c>
      <x:c r="Q172" s="36"/>
      <x:c r="R172" s="36"/>
      <x:c r="S172" s="36"/>
      <x:c r="T172" s="38" t="str">
        <x:v>{"entity_id":"MFE-A38B04E8C51F83","source_field":"brand","source_term":"TRAILERGRUPPEN L 1001","active_canonical_name":"Trailergruppen","effective_canonical_name":"Trailergrupp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3" ht="18" customHeight="1">
      <x:c r="A173" s="36" t="str">
        <x:v>MFE-CF9DD7007D8126</x:v>
      </x:c>
      <x:c r="B173" s="36" t="str">
        <x:v>built_in_catalog</x:v>
      </x:c>
      <x:c r="C173" s="36" t="str">
        <x:v>brand</x:v>
      </x:c>
      <x:c r="D173" s="36" t="str">
        <x:v>TRANSPORTMEKANO</x:v>
      </x:c>
      <x:c r="E173" s="36" t="str">
        <x:v>Transportmekano</x:v>
      </x:c>
      <x:c r="F173" s="36" t="str">
        <x:v>Transportmekano</x:v>
      </x:c>
      <x:c r="G173" s="36" t="str">
        <x:v>vehicle_manufacturer</x:v>
      </x:c>
      <x:c r="H173" s="36" t="str">
        <x:v>vehicle_manufacturer</x:v>
      </x:c>
      <x:c r="I173" s="36" t="str">
        <x:v>use_entity</x:v>
      </x:c>
      <x:c r="J173" s="36" t="str">
        <x:v>use_entity</x:v>
      </x:c>
      <x:c r="K173" s="36" t="str">
        <x:v>exact</x:v>
      </x:c>
      <x:c r="L173" s="36" t="n">
        <x:v>0</x:v>
      </x:c>
      <x:c r="M173" s="38" t="str">
        <x:v>[]</x:v>
      </x:c>
      <x:c r="N173" s="38" t="str">
        <x:v>[]</x:v>
      </x:c>
      <x:c r="O173" s="42" t="b">
        <x:v>0</x:v>
      </x:c>
      <x:c r="P173" s="42" t="b">
        <x:v>0</x:v>
      </x:c>
      <x:c r="Q173" s="36"/>
      <x:c r="R173" s="36"/>
      <x:c r="S173" s="36"/>
      <x:c r="T173" s="38" t="str">
        <x:v>{"entity_id":"MFE-CF9DD7007D8126","source_field":"brand","source_term":"TRANSPORTMEKANO","active_canonical_name":"Transportmekano","effective_canonical_name":"Transportmekan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4" ht="18" customHeight="1">
      <x:c r="A174" s="36" t="str">
        <x:v>MFE-AB667ABD7D8F28</x:v>
      </x:c>
      <x:c r="B174" s="36" t="str">
        <x:v>built_in_catalog</x:v>
      </x:c>
      <x:c r="C174" s="36" t="str">
        <x:v>brand</x:v>
      </x:c>
      <x:c r="D174" s="36" t="str">
        <x:v>TRI STAR TSF SD CHASSI</x:v>
      </x:c>
      <x:c r="E174" s="36" t="str">
        <x:v>Tri-Star</x:v>
      </x:c>
      <x:c r="F174" s="36" t="str">
        <x:v>Tri-Star</x:v>
      </x:c>
      <x:c r="G174" s="36" t="str">
        <x:v>vehicle_manufacturer</x:v>
      </x:c>
      <x:c r="H174" s="36" t="str">
        <x:v>vehicle_manufacturer</x:v>
      </x:c>
      <x:c r="I174" s="36" t="str">
        <x:v>use_entity</x:v>
      </x:c>
      <x:c r="J174" s="36" t="str">
        <x:v>use_entity</x:v>
      </x:c>
      <x:c r="K174" s="36" t="str">
        <x:v>exact</x:v>
      </x:c>
      <x:c r="L174" s="36" t="n">
        <x:v>0</x:v>
      </x:c>
      <x:c r="M174" s="38" t="str">
        <x:v>[]</x:v>
      </x:c>
      <x:c r="N174" s="38" t="str">
        <x:v>[]</x:v>
      </x:c>
      <x:c r="O174" s="42" t="b">
        <x:v>0</x:v>
      </x:c>
      <x:c r="P174" s="42" t="b">
        <x:v>0</x:v>
      </x:c>
      <x:c r="Q174" s="36"/>
      <x:c r="R174" s="36"/>
      <x:c r="S174" s="36"/>
      <x:c r="T174" s="38" t="str">
        <x:v>{"entity_id":"MFE-AB667ABD7D8F28","source_field":"brand","source_term":"TRI STAR TSF SD CHASSI","active_canonical_name":"Tri-Star","effective_canonical_name":"Tri-St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5" ht="18" customHeight="1">
      <x:c r="A175" s="36" t="str">
        <x:v>MFE-353D9BBB7C66C0</x:v>
      </x:c>
      <x:c r="B175" s="36" t="str">
        <x:v>built_in_catalog</x:v>
      </x:c>
      <x:c r="C175" s="36" t="str">
        <x:v>brand</x:v>
      </x:c>
      <x:c r="D175" s="36" t="str">
        <x:v>TRIUMPH TIGER 900</x:v>
      </x:c>
      <x:c r="E175" s="36" t="str">
        <x:v>Triumph</x:v>
      </x:c>
      <x:c r="F175" s="36" t="str">
        <x:v>Triumph</x:v>
      </x:c>
      <x:c r="G175" s="36" t="str">
        <x:v>vehicle_manufacturer</x:v>
      </x:c>
      <x:c r="H175" s="36" t="str">
        <x:v>vehicle_manufacturer</x:v>
      </x:c>
      <x:c r="I175" s="36" t="str">
        <x:v>use_entity</x:v>
      </x:c>
      <x:c r="J175" s="36" t="str">
        <x:v>use_entity</x:v>
      </x:c>
      <x:c r="K175" s="36" t="str">
        <x:v>exact</x:v>
      </x:c>
      <x:c r="L175" s="36" t="n">
        <x:v>0</x:v>
      </x:c>
      <x:c r="M175" s="38" t="str">
        <x:v>[]</x:v>
      </x:c>
      <x:c r="N175" s="38" t="str">
        <x:v>[]</x:v>
      </x:c>
      <x:c r="O175" s="42" t="b">
        <x:v>0</x:v>
      </x:c>
      <x:c r="P175" s="42" t="b">
        <x:v>0</x:v>
      </x:c>
      <x:c r="Q175" s="36"/>
      <x:c r="R175" s="36"/>
      <x:c r="S175" s="36"/>
      <x:c r="T175" s="38" t="str">
        <x:v>{"entity_id":"MFE-353D9BBB7C66C0","source_field":"brand","source_term":"TRIUMPH TIGER 900","active_canonical_name":"Triumph","effective_canonical_name":"Triumph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6" ht="18" customHeight="1">
      <x:c r="A176" s="36" t="str">
        <x:v>MFE-4BBC9D2FDFDA69</x:v>
      </x:c>
      <x:c r="B176" s="36" t="str">
        <x:v>built_in_catalog</x:v>
      </x:c>
      <x:c r="C176" s="36" t="str">
        <x:v>brand</x:v>
      </x:c>
      <x:c r="D176" s="36" t="str">
        <x:v>VALERYD FAVÖR 1300</x:v>
      </x:c>
      <x:c r="E176" s="36" t="str">
        <x:v>Valeryd</x:v>
      </x:c>
      <x:c r="F176" s="36" t="str">
        <x:v>Valeryd</x:v>
      </x:c>
      <x:c r="G176" s="36" t="str">
        <x:v>vehicle_manufacturer</x:v>
      </x:c>
      <x:c r="H176" s="36" t="str">
        <x:v>vehicle_manufacturer</x:v>
      </x:c>
      <x:c r="I176" s="36" t="str">
        <x:v>use_entity</x:v>
      </x:c>
      <x:c r="J176" s="36" t="str">
        <x:v>use_entity</x:v>
      </x:c>
      <x:c r="K176" s="36" t="str">
        <x:v>exact</x:v>
      </x:c>
      <x:c r="L176" s="36" t="n">
        <x:v>0</x:v>
      </x:c>
      <x:c r="M176" s="38" t="str">
        <x:v>[]</x:v>
      </x:c>
      <x:c r="N176" s="38" t="str">
        <x:v>[]</x:v>
      </x:c>
      <x:c r="O176" s="42" t="b">
        <x:v>0</x:v>
      </x:c>
      <x:c r="P176" s="42" t="b">
        <x:v>0</x:v>
      </x:c>
      <x:c r="Q176" s="36"/>
      <x:c r="R176" s="36"/>
      <x:c r="S176" s="36"/>
      <x:c r="T176" s="38" t="str">
        <x:v>{"entity_id":"MFE-4BBC9D2FDFDA69","source_field":"brand","source_term":"VALERYD FAVÖR 1300","active_canonical_name":"Valeryd","effective_canonical_name":"Valery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7" ht="18" customHeight="1">
      <x:c r="A177" s="36" t="str">
        <x:v>MFE-0C3C02E69F532E</x:v>
      </x:c>
      <x:c r="B177" s="36" t="str">
        <x:v>built_in_catalog</x:v>
      </x:c>
      <x:c r="C177" s="36" t="str">
        <x:v>brand</x:v>
      </x:c>
      <x:c r="D177" s="36" t="str">
        <x:v>VALTRA</x:v>
      </x:c>
      <x:c r="E177" s="36" t="str">
        <x:v>Valtra</x:v>
      </x:c>
      <x:c r="F177" s="36" t="str">
        <x:v>Valtra</x:v>
      </x:c>
      <x:c r="G177" s="36" t="str">
        <x:v>vehicle_manufacturer</x:v>
      </x:c>
      <x:c r="H177" s="36" t="str">
        <x:v>vehicle_manufacturer</x:v>
      </x:c>
      <x:c r="I177" s="36" t="str">
        <x:v>use_entity</x:v>
      </x:c>
      <x:c r="J177" s="36" t="str">
        <x:v>use_entity</x:v>
      </x:c>
      <x:c r="K177" s="36" t="str">
        <x:v>exact</x:v>
      </x:c>
      <x:c r="L177" s="36" t="n">
        <x:v>0</x:v>
      </x:c>
      <x:c r="M177" s="38" t="str">
        <x:v>[]</x:v>
      </x:c>
      <x:c r="N177" s="38" t="str">
        <x:v>[]</x:v>
      </x:c>
      <x:c r="O177" s="42" t="b">
        <x:v>0</x:v>
      </x:c>
      <x:c r="P177" s="42" t="b">
        <x:v>0</x:v>
      </x:c>
      <x:c r="Q177" s="36"/>
      <x:c r="R177" s="36"/>
      <x:c r="S177" s="36"/>
      <x:c r="T177" s="38" t="str">
        <x:v>{"entity_id":"MFE-0C3C02E69F532E","source_field":"brand","source_term":"VALTRA","active_canonical_name":"Valtra","effective_canonical_name":"Valtr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8" ht="18" customHeight="1">
      <x:c r="A178" s="36" t="str">
        <x:v>MFE-AFC7E5ECA1C156</x:v>
      </x:c>
      <x:c r="B178" s="36" t="str">
        <x:v>built_in_catalog</x:v>
      </x:c>
      <x:c r="C178" s="36" t="str">
        <x:v>manufacturer</x:v>
      </x:c>
      <x:c r="D178" s="36" t="str">
        <x:v>VARIANT A S</x:v>
      </x:c>
      <x:c r="E178" s="36" t="str">
        <x:v>Variant</x:v>
      </x:c>
      <x:c r="F178" s="36" t="str">
        <x:v>Variant</x:v>
      </x:c>
      <x:c r="G178" s="36" t="str">
        <x:v>vehicle_manufacturer</x:v>
      </x:c>
      <x:c r="H178" s="36" t="str">
        <x:v>vehicle_manufacturer</x:v>
      </x:c>
      <x:c r="I178" s="36" t="str">
        <x:v>use_entity</x:v>
      </x:c>
      <x:c r="J178" s="36" t="str">
        <x:v>use_entity</x:v>
      </x:c>
      <x:c r="K178" s="36" t="str">
        <x:v>exact</x:v>
      </x:c>
      <x:c r="L178" s="36" t="n">
        <x:v>0</x:v>
      </x:c>
      <x:c r="M178" s="38" t="str">
        <x:v>[]</x:v>
      </x:c>
      <x:c r="N178" s="38" t="str">
        <x:v>[]</x:v>
      </x:c>
      <x:c r="O178" s="42" t="b">
        <x:v>0</x:v>
      </x:c>
      <x:c r="P178" s="42" t="b">
        <x:v>0</x:v>
      </x:c>
      <x:c r="Q178" s="36"/>
      <x:c r="R178" s="36"/>
      <x:c r="S178" s="36"/>
      <x:c r="T178" s="38" t="str">
        <x:v>{"entity_id":"MFE-AFC7E5ECA1C156","source_field":"manufacturer","source_term":"VARIANT A S","active_canonical_name":"Variant","effective_canonical_name":"Varian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9" ht="18" customHeight="1">
      <x:c r="A179" s="36" t="str">
        <x:v>MFE-10F01B0F538F32</x:v>
      </x:c>
      <x:c r="B179" s="36" t="str">
        <x:v>active_database_override</x:v>
      </x:c>
      <x:c r="C179" s="36" t="str">
        <x:v>brand</x:v>
      </x:c>
      <x:c r="D179" s="36" t="str">
        <x:v>VAUXHALL</x:v>
      </x:c>
      <x:c r="E179" s="36" t="str">
        <x:v>Vauxhall</x:v>
      </x:c>
      <x:c r="F179" s="36" t="str">
        <x:v>Vauxhall</x:v>
      </x:c>
      <x:c r="G179" s="36" t="str">
        <x:v>vehicle_manufacturer</x:v>
      </x:c>
      <x:c r="H179" s="36" t="str">
        <x:v>vehicle_manufacturer</x:v>
      </x:c>
      <x:c r="I179" s="36" t="str">
        <x:v>use_entity</x:v>
      </x:c>
      <x:c r="J179" s="36" t="str">
        <x:v>use_entity</x:v>
      </x:c>
      <x:c r="K179" s="36" t="str">
        <x:v>whole_token_prefix</x:v>
      </x:c>
      <x:c r="L179" s="36" t="n">
        <x:v>0</x:v>
      </x:c>
      <x:c r="M179" s="38" t="str">
        <x:v>[]</x:v>
      </x:c>
      <x:c r="N179" s="38" t="str">
        <x:v>[]</x:v>
      </x:c>
      <x:c r="O179" s="42" t="b">
        <x:v>0</x:v>
      </x:c>
      <x:c r="P179" s="42" t="b">
        <x:v>0</x:v>
      </x:c>
      <x:c r="Q179" s="36"/>
      <x:c r="R179" s="36" t="n">
        <x:v>46239.752050324074</x:v>
      </x:c>
      <x:c r="S179" s="36" t="n">
        <x:v>46239.752050324074</x:v>
      </x:c>
      <x:c r="T179" s="38" t="str">
        <x:v>{"entity_id":"MFE-10F01B0F538F32","source_field":"brand","source_term":"VAUXHALL","active_canonical_name":"Vauxhall","effective_canonical_name":"Vauxhal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80" ht="18" customHeight="1">
      <x:c r="A180" s="36" t="str">
        <x:v>MFE-28972C898D3839</x:v>
      </x:c>
      <x:c r="B180" s="36" t="str">
        <x:v>built_in_catalog</x:v>
      </x:c>
      <x:c r="C180" s="36" t="str">
        <x:v>brand</x:v>
      </x:c>
      <x:c r="D180" s="36" t="str">
        <x:v>VESPA SUPER</x:v>
      </x:c>
      <x:c r="E180" s="36" t="str">
        <x:v>Vespa</x:v>
      </x:c>
      <x:c r="F180" s="36" t="str">
        <x:v>Vespa</x:v>
      </x:c>
      <x:c r="G180" s="36" t="str">
        <x:v>vehicle_manufacturer</x:v>
      </x:c>
      <x:c r="H180" s="36" t="str">
        <x:v>vehicle_manufacturer</x:v>
      </x:c>
      <x:c r="I180" s="36" t="str">
        <x:v>use_entity</x:v>
      </x:c>
      <x:c r="J180" s="36" t="str">
        <x:v>use_entity</x:v>
      </x:c>
      <x:c r="K180" s="36" t="str">
        <x:v>exact</x:v>
      </x:c>
      <x:c r="L180" s="36" t="n">
        <x:v>0</x:v>
      </x:c>
      <x:c r="M180" s="38" t="str">
        <x:v>[]</x:v>
      </x:c>
      <x:c r="N180" s="38" t="str">
        <x:v>[]</x:v>
      </x:c>
      <x:c r="O180" s="42" t="b">
        <x:v>0</x:v>
      </x:c>
      <x:c r="P180" s="42" t="b">
        <x:v>0</x:v>
      </x:c>
      <x:c r="Q180" s="36"/>
      <x:c r="R180" s="36"/>
      <x:c r="S180" s="36"/>
      <x:c r="T180" s="38" t="str">
        <x:v>{"entity_id":"MFE-28972C898D3839","source_field":"brand","source_term":"VESPA SUPER","active_canonical_name":"Vespa","effective_canonical_name":"Vesp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1" ht="18" customHeight="1">
      <x:c r="A181" s="36" t="str">
        <x:v>MFE-3A4C7C8B8C74D7</x:v>
      </x:c>
      <x:c r="B181" s="36" t="str">
        <x:v>built_in_catalog</x:v>
      </x:c>
      <x:c r="C181" s="36" t="str">
        <x:v>brand</x:v>
      </x:c>
      <x:c r="D181" s="36" t="str">
        <x:v>VOLKSW 1500LIM113 AVK</x:v>
      </x:c>
      <x:c r="E181" s="36" t="str">
        <x:v>Volkswagen</x:v>
      </x:c>
      <x:c r="F181" s="36" t="str">
        <x:v>Volkswagen</x:v>
      </x:c>
      <x:c r="G181" s="36" t="str">
        <x:v>vehicle_manufacturer</x:v>
      </x:c>
      <x:c r="H181" s="36" t="str">
        <x:v>vehicle_manufacturer</x:v>
      </x:c>
      <x:c r="I181" s="36" t="str">
        <x:v>use_entity</x:v>
      </x:c>
      <x:c r="J181" s="36" t="str">
        <x:v>use_entity</x:v>
      </x:c>
      <x:c r="K181" s="36" t="str">
        <x:v>exact</x:v>
      </x:c>
      <x:c r="L181" s="36" t="n">
        <x:v>0</x:v>
      </x:c>
      <x:c r="M181" s="38" t="str">
        <x:v>[]</x:v>
      </x:c>
      <x:c r="N181" s="38" t="str">
        <x:v>[]</x:v>
      </x:c>
      <x:c r="O181" s="42" t="b">
        <x:v>0</x:v>
      </x:c>
      <x:c r="P181" s="42" t="b">
        <x:v>0</x:v>
      </x:c>
      <x:c r="Q181" s="36"/>
      <x:c r="R181" s="36"/>
      <x:c r="S181" s="36"/>
      <x:c r="T181" s="38" t="str">
        <x:v>{"entity_id":"MFE-3A4C7C8B8C74D7","source_field":"brand","source_term":"VOLKSW 1500LIM113 AVK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2" ht="18" customHeight="1">
      <x:c r="A182" s="36" t="str">
        <x:v>MFE-5383A329AAD32E</x:v>
      </x:c>
      <x:c r="B182" s="36" t="str">
        <x:v>built_in_catalog</x:v>
      </x:c>
      <x:c r="C182" s="36" t="str">
        <x:v>manufacturer</x:v>
      </x:c>
      <x:c r="D182" s="36" t="str">
        <x:v>VOLKSWAGEN</x:v>
      </x:c>
      <x:c r="E182" s="36" t="str">
        <x:v>Volkswagen</x:v>
      </x:c>
      <x:c r="F182" s="36" t="str">
        <x:v>Volkswagen</x:v>
      </x:c>
      <x:c r="G182" s="36" t="str">
        <x:v>vehicle_manufacturer</x:v>
      </x:c>
      <x:c r="H182" s="36" t="str">
        <x:v>vehicle_manufacturer</x:v>
      </x:c>
      <x:c r="I182" s="36" t="str">
        <x:v>use_entity</x:v>
      </x:c>
      <x:c r="J182" s="36" t="str">
        <x:v>use_entity</x:v>
      </x:c>
      <x:c r="K182" s="36" t="str">
        <x:v>exact</x:v>
      </x:c>
      <x:c r="L182" s="36" t="n">
        <x:v>0</x:v>
      </x:c>
      <x:c r="M182" s="38" t="str">
        <x:v>[]</x:v>
      </x:c>
      <x:c r="N182" s="38" t="str">
        <x:v>[]</x:v>
      </x:c>
      <x:c r="O182" s="42" t="b">
        <x:v>0</x:v>
      </x:c>
      <x:c r="P182" s="42" t="b">
        <x:v>0</x:v>
      </x:c>
      <x:c r="Q182" s="36"/>
      <x:c r="R182" s="36"/>
      <x:c r="S182" s="36"/>
      <x:c r="T182" s="38" t="str">
        <x:v>{"entity_id":"MFE-5383A329AAD32E","source_field":"manufacturer","source_term":"VOLKSWAGEN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3" ht="18" customHeight="1">
      <x:c r="A183" s="36" t="str">
        <x:v>MFE-BAEF9F13A10CD6</x:v>
      </x:c>
      <x:c r="B183" s="36" t="str">
        <x:v>built_in_catalog</x:v>
      </x:c>
      <x:c r="C183" s="36" t="str">
        <x:v>manufacturer</x:v>
      </x:c>
      <x:c r="D183" s="36" t="str">
        <x:v>VOLKSWAGEN AG</x:v>
      </x:c>
      <x:c r="E183" s="36" t="str">
        <x:v>Volkswagen</x:v>
      </x:c>
      <x:c r="F183" s="36" t="str">
        <x:v>Volkswagen</x:v>
      </x:c>
      <x:c r="G183" s="36" t="str">
        <x:v>vehicle_manufacturer</x:v>
      </x:c>
      <x:c r="H183" s="36" t="str">
        <x:v>vehicle_manufacturer</x:v>
      </x:c>
      <x:c r="I183" s="36" t="str">
        <x:v>use_entity</x:v>
      </x:c>
      <x:c r="J183" s="36" t="str">
        <x:v>use_entity</x:v>
      </x:c>
      <x:c r="K183" s="36" t="str">
        <x:v>exact</x:v>
      </x:c>
      <x:c r="L183" s="36" t="n">
        <x:v>0</x:v>
      </x:c>
      <x:c r="M183" s="38" t="str">
        <x:v>[]</x:v>
      </x:c>
      <x:c r="N183" s="38" t="str">
        <x:v>[]</x:v>
      </x:c>
      <x:c r="O183" s="42" t="b">
        <x:v>0</x:v>
      </x:c>
      <x:c r="P183" s="42" t="b">
        <x:v>0</x:v>
      </x:c>
      <x:c r="Q183" s="36"/>
      <x:c r="R183" s="36"/>
      <x:c r="S183" s="36"/>
      <x:c r="T183" s="38" t="str">
        <x:v>{"entity_id":"MFE-BAEF9F13A10CD6","source_field":"manufacturer","source_term":"VOLKSWAGEN AG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4" ht="18" customHeight="1">
      <x:c r="A184" s="36" t="str">
        <x:v>MFE-C7220C1F8E62AA</x:v>
      </x:c>
      <x:c r="B184" s="36" t="str">
        <x:v>built_in_catalog</x:v>
      </x:c>
      <x:c r="C184" s="36" t="str">
        <x:v>manufacturer</x:v>
      </x:c>
      <x:c r="D184" s="36" t="str">
        <x:v>VOLVO</x:v>
      </x:c>
      <x:c r="E184" s="36" t="str">
        <x:v>Volvo</x:v>
      </x:c>
      <x:c r="F184" s="36" t="str">
        <x:v>Volvo</x:v>
      </x:c>
      <x:c r="G184" s="36" t="str">
        <x:v>vehicle_manufacturer</x:v>
      </x:c>
      <x:c r="H184" s="36" t="str">
        <x:v>vehicle_manufacturer</x:v>
      </x:c>
      <x:c r="I184" s="36" t="str">
        <x:v>use_entity</x:v>
      </x:c>
      <x:c r="J184" s="36" t="str">
        <x:v>use_entity</x:v>
      </x:c>
      <x:c r="K184" s="36" t="str">
        <x:v>exact</x:v>
      </x:c>
      <x:c r="L184" s="36" t="n">
        <x:v>0</x:v>
      </x:c>
      <x:c r="M184" s="38" t="str">
        <x:v>[]</x:v>
      </x:c>
      <x:c r="N184" s="38" t="str">
        <x:v>[]</x:v>
      </x:c>
      <x:c r="O184" s="42" t="b">
        <x:v>0</x:v>
      </x:c>
      <x:c r="P184" s="42" t="b">
        <x:v>0</x:v>
      </x:c>
      <x:c r="Q184" s="36"/>
      <x:c r="R184" s="36"/>
      <x:c r="S184" s="36"/>
      <x:c r="T184" s="38" t="str">
        <x:v>{"entity_id":"MFE-C7220C1F8E62AA","source_field":"manufacturer","source_term":"VOLVO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5" ht="18" customHeight="1">
      <x:c r="A185" s="36" t="str">
        <x:v>MFE-E5D77F775FADC3</x:v>
      </x:c>
      <x:c r="B185" s="36" t="str">
        <x:v>built_in_catalog</x:v>
      </x:c>
      <x:c r="C185" s="36" t="str">
        <x:v>manufacturer</x:v>
      </x:c>
      <x:c r="D185" s="36" t="str">
        <x:v>VOLVO CAR</x:v>
      </x:c>
      <x:c r="E185" s="36" t="str">
        <x:v>Volvo</x:v>
      </x:c>
      <x:c r="F185" s="36" t="str">
        <x:v>Volvo</x:v>
      </x:c>
      <x:c r="G185" s="36" t="str">
        <x:v>vehicle_manufacturer</x:v>
      </x:c>
      <x:c r="H185" s="36" t="str">
        <x:v>vehicle_manufacturer</x:v>
      </x:c>
      <x:c r="I185" s="36" t="str">
        <x:v>use_entity</x:v>
      </x:c>
      <x:c r="J185" s="36" t="str">
        <x:v>use_entity</x:v>
      </x:c>
      <x:c r="K185" s="36" t="str">
        <x:v>exact</x:v>
      </x:c>
      <x:c r="L185" s="36" t="n">
        <x:v>0</x:v>
      </x:c>
      <x:c r="M185" s="38" t="str">
        <x:v>[]</x:v>
      </x:c>
      <x:c r="N185" s="38" t="str">
        <x:v>[]</x:v>
      </x:c>
      <x:c r="O185" s="42" t="b">
        <x:v>0</x:v>
      </x:c>
      <x:c r="P185" s="42" t="b">
        <x:v>0</x:v>
      </x:c>
      <x:c r="Q185" s="36"/>
      <x:c r="R185" s="36"/>
      <x:c r="S185" s="36"/>
      <x:c r="T185" s="38" t="str">
        <x:v>{"entity_id":"MFE-E5D77F775FADC3","source_field":"manufacturer","source_term":"VOLVO CAR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6" ht="18" customHeight="1">
      <x:c r="A186" s="36" t="str">
        <x:v>MFE-BCDBE601028893</x:v>
      </x:c>
      <x:c r="B186" s="36" t="str">
        <x:v>built_in_catalog</x:v>
      </x:c>
      <x:c r="C186" s="36" t="str">
        <x:v>manufacturer</x:v>
      </x:c>
      <x:c r="D186" s="36" t="str">
        <x:v>VOLVO CAR CORPORATION</x:v>
      </x:c>
      <x:c r="E186" s="36" t="str">
        <x:v>Volvo</x:v>
      </x:c>
      <x:c r="F186" s="36" t="str">
        <x:v>Volvo</x:v>
      </x:c>
      <x:c r="G186" s="36" t="str">
        <x:v>vehicle_manufacturer</x:v>
      </x:c>
      <x:c r="H186" s="36" t="str">
        <x:v>vehicle_manufacturer</x:v>
      </x:c>
      <x:c r="I186" s="36" t="str">
        <x:v>use_entity</x:v>
      </x:c>
      <x:c r="J186" s="36" t="str">
        <x:v>use_entity</x:v>
      </x:c>
      <x:c r="K186" s="36" t="str">
        <x:v>exact</x:v>
      </x:c>
      <x:c r="L186" s="36" t="n">
        <x:v>0</x:v>
      </x:c>
      <x:c r="M186" s="38" t="str">
        <x:v>[]</x:v>
      </x:c>
      <x:c r="N186" s="38" t="str">
        <x:v>[]</x:v>
      </x:c>
      <x:c r="O186" s="42" t="b">
        <x:v>0</x:v>
      </x:c>
      <x:c r="P186" s="42" t="b">
        <x:v>0</x:v>
      </x:c>
      <x:c r="Q186" s="36"/>
      <x:c r="R186" s="36"/>
      <x:c r="S186" s="36"/>
      <x:c r="T186" s="38" t="str">
        <x:v>{"entity_id":"MFE-BCDBE601028893","source_field":"manufacturer","source_term":"VOLVO CAR CORPORATION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7" ht="18" customHeight="1">
      <x:c r="A187" s="36" t="str">
        <x:v>MFE-7F644480BE4FAB</x:v>
      </x:c>
      <x:c r="B187" s="36" t="str">
        <x:v>built_in_catalog</x:v>
      </x:c>
      <x:c r="C187" s="36" t="str">
        <x:v>manufacturer</x:v>
      </x:c>
      <x:c r="D187" s="36" t="str">
        <x:v>VOLVO PERSONVAGNAR</x:v>
      </x:c>
      <x:c r="E187" s="36" t="str">
        <x:v>Volvo</x:v>
      </x:c>
      <x:c r="F187" s="36" t="str">
        <x:v>Volvo</x:v>
      </x:c>
      <x:c r="G187" s="36" t="str">
        <x:v>vehicle_manufacturer</x:v>
      </x:c>
      <x:c r="H187" s="36" t="str">
        <x:v>vehicle_manufacturer</x:v>
      </x:c>
      <x:c r="I187" s="36" t="str">
        <x:v>use_entity</x:v>
      </x:c>
      <x:c r="J187" s="36" t="str">
        <x:v>use_entity</x:v>
      </x:c>
      <x:c r="K187" s="36" t="str">
        <x:v>exact</x:v>
      </x:c>
      <x:c r="L187" s="36" t="n">
        <x:v>0</x:v>
      </x:c>
      <x:c r="M187" s="38" t="str">
        <x:v>[]</x:v>
      </x:c>
      <x:c r="N187" s="38" t="str">
        <x:v>[]</x:v>
      </x:c>
      <x:c r="O187" s="42" t="b">
        <x:v>0</x:v>
      </x:c>
      <x:c r="P187" s="42" t="b">
        <x:v>0</x:v>
      </x:c>
      <x:c r="Q187" s="36"/>
      <x:c r="R187" s="36"/>
      <x:c r="S187" s="36"/>
      <x:c r="T187" s="38" t="str">
        <x:v>{"entity_id":"MFE-7F644480BE4FAB","source_field":"manufacturer","source_term":"VOLVO PERSONVAGNAR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8" ht="18" customHeight="1">
      <x:c r="A188" s="36" t="str">
        <x:v>MFE-BE046E6885C1B5</x:v>
      </x:c>
      <x:c r="B188" s="36" t="str">
        <x:v>active_database_override</x:v>
      </x:c>
      <x:c r="C188" s="36" t="str">
        <x:v>brand</x:v>
      </x:c>
      <x:c r="D188" s="36" t="str">
        <x:v>VW</x:v>
      </x:c>
      <x:c r="E188" s="36" t="str">
        <x:v>Volkswagen</x:v>
      </x:c>
      <x:c r="F188" s="36" t="str">
        <x:v>Volkswagen</x:v>
      </x:c>
      <x:c r="G188" s="36" t="str">
        <x:v>vehicle_manufacturer</x:v>
      </x:c>
      <x:c r="H188" s="36" t="str">
        <x:v>vehicle_manufacturer</x:v>
      </x:c>
      <x:c r="I188" s="36" t="str">
        <x:v>use_entity</x:v>
      </x:c>
      <x:c r="J188" s="36" t="str">
        <x:v>use_entity</x:v>
      </x:c>
      <x:c r="K188" s="36" t="str">
        <x:v>whole_token_prefix</x:v>
      </x:c>
      <x:c r="L188" s="36" t="n">
        <x:v>0</x:v>
      </x:c>
      <x:c r="M188" s="38" t="str">
        <x:v>[]</x:v>
      </x:c>
      <x:c r="N188" s="38" t="str">
        <x:v>["VW CADDY SKÅP","VW CARAVELLE","VW PASSAT VAR TDI"]</x:v>
      </x:c>
      <x:c r="O188" s="42" t="b">
        <x:v>0</x:v>
      </x:c>
      <x:c r="P188" s="42" t="b">
        <x:v>0</x:v>
      </x:c>
      <x:c r="Q188" s="36"/>
      <x:c r="R188" s="36" t="n">
        <x:v>46239.752050324074</x:v>
      </x:c>
      <x:c r="S188" s="36" t="n">
        <x:v>46239.7710441088</x:v>
      </x:c>
      <x:c r="T188" s="38" t="str">
        <x:v>{"entity_id":"MFE-BE046E6885C1B5","source_field":"brand","source_term":"VW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VW CADDY SKÅP","VW CARAVELLE","VW PASSAT VAR TDI"]}</x:v>
      </x:c>
    </x:row>
    <x:row r="189" ht="18" customHeight="1">
      <x:c r="A189" s="36" t="str">
        <x:v>MFE-CE6D98C7EA5C22</x:v>
      </x:c>
      <x:c r="B189" s="36" t="str">
        <x:v>built_in_catalog</x:v>
      </x:c>
      <x:c r="C189" s="36" t="str">
        <x:v>brand</x:v>
      </x:c>
      <x:c r="D189" s="36" t="str">
        <x:v>WILK S4 500</x:v>
      </x:c>
      <x:c r="E189" s="36" t="str">
        <x:v>Wilk</x:v>
      </x:c>
      <x:c r="F189" s="36" t="str">
        <x:v>Wilk</x:v>
      </x:c>
      <x:c r="G189" s="36" t="str">
        <x:v>vehicle_manufacturer</x:v>
      </x:c>
      <x:c r="H189" s="36" t="str">
        <x:v>vehicle_manufacturer</x:v>
      </x:c>
      <x:c r="I189" s="36" t="str">
        <x:v>use_entity</x:v>
      </x:c>
      <x:c r="J189" s="36" t="str">
        <x:v>use_entity</x:v>
      </x:c>
      <x:c r="K189" s="36" t="str">
        <x:v>exact</x:v>
      </x:c>
      <x:c r="L189" s="36" t="n">
        <x:v>0</x:v>
      </x:c>
      <x:c r="M189" s="38" t="str">
        <x:v>[]</x:v>
      </x:c>
      <x:c r="N189" s="38" t="str">
        <x:v>[]</x:v>
      </x:c>
      <x:c r="O189" s="42" t="b">
        <x:v>0</x:v>
      </x:c>
      <x:c r="P189" s="42" t="b">
        <x:v>0</x:v>
      </x:c>
      <x:c r="Q189" s="36"/>
      <x:c r="R189" s="36"/>
      <x:c r="S189" s="36"/>
      <x:c r="T189" s="38" t="str">
        <x:v>{"entity_id":"MFE-CE6D98C7EA5C22","source_field":"brand","source_term":"WILK S4 500","active_canonical_name":"Wilk","effective_canonical_name":"Wil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0" ht="18" customHeight="1">
      <x:c r="A190" s="36" t="str">
        <x:v>MFE-A94F5A3F8266BC</x:v>
      </x:c>
      <x:c r="B190" s="36" t="str">
        <x:v>built_in_catalog</x:v>
      </x:c>
      <x:c r="C190" s="36" t="str">
        <x:v>brand</x:v>
      </x:c>
      <x:c r="D190" s="36" t="str">
        <x:v>WILK S4 560</x:v>
      </x:c>
      <x:c r="E190" s="36" t="str">
        <x:v>Wilk</x:v>
      </x:c>
      <x:c r="F190" s="36" t="str">
        <x:v>Wilk</x:v>
      </x:c>
      <x:c r="G190" s="36" t="str">
        <x:v>vehicle_manufacturer</x:v>
      </x:c>
      <x:c r="H190" s="36" t="str">
        <x:v>vehicle_manufacturer</x:v>
      </x:c>
      <x:c r="I190" s="36" t="str">
        <x:v>use_entity</x:v>
      </x:c>
      <x:c r="J190" s="36" t="str">
        <x:v>use_entity</x:v>
      </x:c>
      <x:c r="K190" s="36" t="str">
        <x:v>exact</x:v>
      </x:c>
      <x:c r="L190" s="36" t="n">
        <x:v>0</x:v>
      </x:c>
      <x:c r="M190" s="38" t="str">
        <x:v>[]</x:v>
      </x:c>
      <x:c r="N190" s="38" t="str">
        <x:v>[]</x:v>
      </x:c>
      <x:c r="O190" s="42" t="b">
        <x:v>0</x:v>
      </x:c>
      <x:c r="P190" s="42" t="b">
        <x:v>0</x:v>
      </x:c>
      <x:c r="Q190" s="36"/>
      <x:c r="R190" s="36"/>
      <x:c r="S190" s="36"/>
      <x:c r="T190" s="38" t="str">
        <x:v>{"entity_id":"MFE-A94F5A3F8266BC","source_field":"brand","source_term":"WILK S4 560","active_canonical_name":"Wilk","effective_canonical_name":"Wil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1" ht="18" customHeight="1">
      <x:c r="A191" s="36" t="str">
        <x:v>MFE-EB251741FC4DEA</x:v>
      </x:c>
      <x:c r="B191" s="36" t="str">
        <x:v>built_in_catalog</x:v>
      </x:c>
      <x:c r="C191" s="36" t="str">
        <x:v>brand</x:v>
      </x:c>
      <x:c r="D191" s="36" t="str">
        <x:v>YAMAHA YZF1000R 4VD</x:v>
      </x:c>
      <x:c r="E191" s="36" t="str">
        <x:v>Yamaha</x:v>
      </x:c>
      <x:c r="F191" s="36" t="str">
        <x:v>Yamaha</x:v>
      </x:c>
      <x:c r="G191" s="36" t="str">
        <x:v>vehicle_manufacturer</x:v>
      </x:c>
      <x:c r="H191" s="36" t="str">
        <x:v>vehicle_manufacturer</x:v>
      </x:c>
      <x:c r="I191" s="36" t="str">
        <x:v>use_entity</x:v>
      </x:c>
      <x:c r="J191" s="36" t="str">
        <x:v>use_entity</x:v>
      </x:c>
      <x:c r="K191" s="36" t="str">
        <x:v>exact</x:v>
      </x:c>
      <x:c r="L191" s="36" t="n">
        <x:v>0</x:v>
      </x:c>
      <x:c r="M191" s="38" t="str">
        <x:v>[]</x:v>
      </x:c>
      <x:c r="N191" s="38" t="str">
        <x:v>[]</x:v>
      </x:c>
      <x:c r="O191" s="42" t="b">
        <x:v>0</x:v>
      </x:c>
      <x:c r="P191" s="42" t="b">
        <x:v>0</x:v>
      </x:c>
      <x:c r="Q191" s="36"/>
      <x:c r="R191" s="36"/>
      <x:c r="S191" s="36"/>
      <x:c r="T191" s="38" t="str">
        <x:v>{"entity_id":"MFE-EB251741FC4DEA","source_field":"brand","source_term":"YAMAHA YZF1000R 4VD","active_canonical_name":"Yamaha","effective_canonical_name":"Yamah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2" ht="18" customHeight="1">
      <x:c r="A192" s="36" t="str">
        <x:v>MFE-728890BDBD3E50</x:v>
      </x:c>
      <x:c r="B192" s="36" t="str">
        <x:v>built_in_catalog</x:v>
      </x:c>
      <x:c r="C192" s="36" t="str">
        <x:v>brand</x:v>
      </x:c>
      <x:c r="D192" s="36" t="str">
        <x:v>ÅTM 10014</x:v>
      </x:c>
      <x:c r="E192" s="36" t="str">
        <x:v>ÅTM</x:v>
      </x:c>
      <x:c r="F192" s="36" t="str">
        <x:v>ÅTM</x:v>
      </x:c>
      <x:c r="G192" s="36" t="str">
        <x:v>vehicle_manufacturer</x:v>
      </x:c>
      <x:c r="H192" s="36" t="str">
        <x:v>vehicle_manufacturer</x:v>
      </x:c>
      <x:c r="I192" s="36" t="str">
        <x:v>use_entity</x:v>
      </x:c>
      <x:c r="J192" s="36" t="str">
        <x:v>use_entity</x:v>
      </x:c>
      <x:c r="K192" s="36" t="str">
        <x:v>exact</x:v>
      </x:c>
      <x:c r="L192" s="36" t="n">
        <x:v>0</x:v>
      </x:c>
      <x:c r="M192" s="38" t="str">
        <x:v>[]</x:v>
      </x:c>
      <x:c r="N192" s="38" t="str">
        <x:v>[]</x:v>
      </x:c>
      <x:c r="O192" s="42" t="b">
        <x:v>0</x:v>
      </x:c>
      <x:c r="P192" s="42" t="b">
        <x:v>0</x:v>
      </x:c>
      <x:c r="Q192" s="36"/>
      <x:c r="R192" s="36"/>
      <x:c r="S192" s="36"/>
      <x:c r="T192" s="38" t="str">
        <x:v>{"entity_id":"MFE-728890BDBD3E50","source_field":"brand","source_term":"ÅTM 10014","active_canonical_name":"ÅTM","effective_canonical_name":"ÅT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3" ht="18" customHeight="1">
      <x:c r="A193" s="36" t="str">
        <x:v>MFE-2D9F02CB112D44</x:v>
      </x:c>
      <x:c r="B193" s="36" t="str">
        <x:v>built_in_catalog</x:v>
      </x:c>
      <x:c r="C193" s="36" t="str">
        <x:v>brand</x:v>
      </x:c>
      <x:c r="D193" s="36" t="str">
        <x:v>ÅTM 7512</x:v>
      </x:c>
      <x:c r="E193" s="36" t="str">
        <x:v>ÅTM</x:v>
      </x:c>
      <x:c r="F193" s="36" t="str">
        <x:v>ÅTM</x:v>
      </x:c>
      <x:c r="G193" s="36" t="str">
        <x:v>vehicle_manufacturer</x:v>
      </x:c>
      <x:c r="H193" s="36" t="str">
        <x:v>vehicle_manufacturer</x:v>
      </x:c>
      <x:c r="I193" s="36" t="str">
        <x:v>use_entity</x:v>
      </x:c>
      <x:c r="J193" s="36" t="str">
        <x:v>use_entity</x:v>
      </x:c>
      <x:c r="K193" s="36" t="str">
        <x:v>exact</x:v>
      </x:c>
      <x:c r="L193" s="36" t="n">
        <x:v>0</x:v>
      </x:c>
      <x:c r="M193" s="38" t="str">
        <x:v>[]</x:v>
      </x:c>
      <x:c r="N193" s="38" t="str">
        <x:v>[]</x:v>
      </x:c>
      <x:c r="O193" s="42" t="b">
        <x:v>0</x:v>
      </x:c>
      <x:c r="P193" s="42" t="b">
        <x:v>0</x:v>
      </x:c>
      <x:c r="Q193" s="36"/>
      <x:c r="R193" s="36"/>
      <x:c r="S193" s="36"/>
      <x:c r="T193" s="38" t="str">
        <x:v>{"entity_id":"MFE-2D9F02CB112D44","source_field":"brand","source_term":"ÅTM 7512","active_canonical_name":"ÅTM","effective_canonical_name":"ÅT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</x:sheetData>
  <x:mergeCells>
    <x:mergeCell ref="A1:T1"/>
    <x:mergeCell ref="A2:T2"/>
  </x:mergeCells>
  <x:conditionalFormatting sqref="B5:B193">
    <x:cfRule type="containsText" dxfId="2" priority="1" operator="containsText" text="active_database_override"/>
  </x:conditionalFormatting>
  <x:pageMargins left="0.7" right="0.7" top="0.75" bottom="0.75" header="0.3" footer="0.3"/>
  <x:tableParts count="1">
    <x:tablePart xmlns:r="http://schemas.openxmlformats.org/officeDocument/2006/relationships" r:id="Rf18dbe4030ae44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8" hidden="0" customWidth="1"/>
    <x:col min="5" max="5" width="24" hidden="0" customWidth="1"/>
    <x:col min="6" max="6" width="24" hidden="0" customWidth="1"/>
    <x:col min="7" max="7" width="28" hidden="0" customWidth="1"/>
    <x:col min="8" max="8" width="30" hidden="0" customWidth="1"/>
    <x:col min="9" max="9" width="18" hidden="0" customWidth="1"/>
    <x:col min="10" max="10" width="55" hidden="0" customWidth="1"/>
    <x:col min="11" max="11" width="75" hidden="0" customWidth="1"/>
  </x:cols>
  <x:sheetData>
    <x:row r="1" ht="34" customHeight="1">
      <x:c r="A1" s="28" t="str">
        <x:v>Active database manufacturer overrides</x:v>
      </x:c>
    </x:row>
    <x:row r="2" ht="34" customHeight="1">
      <x:c r="A2" s="31" t="str">
        <x:v>Exact Manufacturer entity overrides stored in the active immutable version. Known incorrect Adria/Dethleffs definitions are highlighted and listed in Known Issues.</x:v>
      </x:c>
    </x:row>
    <x:row r="4" ht="30" customHeight="1">
      <x:c r="A4" s="34" t="str">
        <x:v>rule_id</x:v>
      </x:c>
      <x:c r="B4" s="34" t="str">
        <x:v>kind</x:v>
      </x:c>
      <x:c r="C4" s="34" t="str">
        <x:v>source_field</x:v>
      </x:c>
      <x:c r="D4" s="34" t="str">
        <x:v>source_term</x:v>
      </x:c>
      <x:c r="E4" s="34" t="str">
        <x:v>canonical_value</x:v>
      </x:c>
      <x:c r="F4" s="34" t="str">
        <x:v>entity_role</x:v>
      </x:c>
      <x:c r="G4" s="34" t="str">
        <x:v>base_behavior</x:v>
      </x:c>
      <x:c r="H4" s="34" t="str">
        <x:v>match_type</x:v>
      </x:c>
      <x:c r="I4" s="34" t="str">
        <x:v>decision</x:v>
      </x:c>
      <x:c r="J4" s="34" t="str">
        <x:v>change_note</x:v>
      </x:c>
      <x:c r="K4" s="34" t="str">
        <x:v>definition_json</x:v>
      </x:c>
    </x:row>
    <x:row r="5" ht="18" customHeight="1">
      <x:c r="A5" s="36" t="str">
        <x:v>MFE-10F01B0F538F32</x:v>
      </x:c>
      <x:c r="B5" s="36" t="str">
        <x:v>manufacturer_entity</x:v>
      </x:c>
      <x:c r="C5" s="36" t="str">
        <x:v>brand</x:v>
      </x:c>
      <x:c r="D5" s="36" t="str">
        <x:v>VAUXHALL</x:v>
      </x:c>
      <x:c r="E5" s="36" t="str">
        <x:v>Vauxhall</x:v>
      </x:c>
      <x:c r="F5" s="36" t="str">
        <x:v>vehicle_manufacturer</x:v>
      </x:c>
      <x:c r="G5" s="36" t="str">
        <x:v>use_entity</x:v>
      </x:c>
      <x:c r="H5" s="36" t="str">
        <x:v>whole_token_prefix</x:v>
      </x:c>
      <x:c r="I5" s="36"/>
      <x:c r="J5" s="36" t="str">
        <x:v>Approved passenger-car Brand prefix alias</x:v>
      </x:c>
      <x:c r="K5" s="38" t="str">
        <x:v>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</x:v>
      </x:c>
    </x:row>
    <x:row r="6" ht="18" customHeight="1">
      <x:c r="A6" s="36" t="str">
        <x:v>MFE-199D2C91D9EB65</x:v>
      </x:c>
      <x:c r="B6" s="36" t="str">
        <x:v>manufacturer_entity</x:v>
      </x:c>
      <x:c r="C6" s="36" t="str">
        <x:v>brand</x:v>
      </x:c>
      <x:c r="D6" s="36" t="str">
        <x:v>BUICK</x:v>
      </x:c>
      <x:c r="E6" s="36" t="str">
        <x:v>Buick</x:v>
      </x:c>
      <x:c r="F6" s="36" t="str">
        <x:v>vehicle_manufacturer</x:v>
      </x:c>
      <x:c r="G6" s="36" t="str">
        <x:v>use_entity</x:v>
      </x:c>
      <x:c r="H6" s="36" t="str">
        <x:v>whole_token_prefix</x:v>
      </x:c>
      <x:c r="I6" s="36"/>
      <x:c r="J6" s="36" t="str">
        <x:v>Approved passenger-car Brand prefix alias</x:v>
      </x:c>
      <x:c r="K6" s="38" t="str">
        <x:v>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</x:v>
      </x:c>
    </x:row>
    <x:row r="7" ht="18" customHeight="1">
      <x:c r="A7" s="36" t="str">
        <x:v>MFE-2138A984B1BA5F</x:v>
      </x:c>
      <x:c r="B7" s="36" t="str">
        <x:v>manufacturer_entity</x:v>
      </x:c>
      <x:c r="C7" s="36" t="str">
        <x:v>brand</x:v>
      </x:c>
      <x:c r="D7" s="36" t="str">
        <x:v>PONTIAC</x:v>
      </x:c>
      <x:c r="E7" s="36" t="str">
        <x:v>Pontiac</x:v>
      </x:c>
      <x:c r="F7" s="36" t="str">
        <x:v>vehicle_manufacturer</x:v>
      </x:c>
      <x:c r="G7" s="36" t="str">
        <x:v>use_entity</x:v>
      </x:c>
      <x:c r="H7" s="36" t="str">
        <x:v>whole_token_prefix</x:v>
      </x:c>
      <x:c r="I7" s="36"/>
      <x:c r="J7" s="36" t="str">
        <x:v>Approved passenger-car Brand prefix alias</x:v>
      </x:c>
      <x:c r="K7" s="38" t="str">
        <x:v>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</x:v>
      </x:c>
    </x:row>
    <x:row r="8" ht="18" customHeight="1">
      <x:c r="A8" s="36" t="str">
        <x:v>MFE-241A4A6B11D7C9</x:v>
      </x:c>
      <x:c r="B8" s="36" t="str">
        <x:v>manufacturer_entity</x:v>
      </x:c>
      <x:c r="C8" s="36" t="str">
        <x:v>brand</x:v>
      </x:c>
      <x:c r="D8" s="36" t="str">
        <x:v>SKODA</x:v>
      </x:c>
      <x:c r="E8" s="36" t="str">
        <x:v>Škoda</x:v>
      </x:c>
      <x:c r="F8" s="36" t="str">
        <x:v>vehicle_manufacturer</x:v>
      </x:c>
      <x:c r="G8" s="36" t="str">
        <x:v>use_entity</x:v>
      </x:c>
      <x:c r="H8" s="36" t="str">
        <x:v>whole_token_prefix</x:v>
      </x:c>
      <x:c r="I8" s="36"/>
      <x:c r="J8" s="36" t="str">
        <x:v>Approved passenger-car Brand prefix alias</x:v>
      </x:c>
      <x:c r="K8" s="38" t="str">
        <x:v>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</x:v>
      </x:c>
    </x:row>
    <x:row r="9" ht="18" customHeight="1">
      <x:c r="A9" s="36" t="str">
        <x:v>MFE-329EF04E45F8EF</x:v>
      </x:c>
      <x:c r="B9" s="36" t="str">
        <x:v>manufacturer_entity</x:v>
      </x:c>
      <x:c r="C9" s="36" t="str">
        <x:v>brand</x:v>
      </x:c>
      <x:c r="D9" s="36" t="str">
        <x:v>MITSUBISHI</x:v>
      </x:c>
      <x:c r="E9" s="36" t="str">
        <x:v>Mitsubishi</x:v>
      </x:c>
      <x:c r="F9" s="36" t="str">
        <x:v>vehicle_manufacturer</x:v>
      </x:c>
      <x:c r="G9" s="36" t="str">
        <x:v>use_entity</x:v>
      </x:c>
      <x:c r="H9" s="36" t="str">
        <x:v>whole_token_prefix</x:v>
      </x:c>
      <x:c r="I9" s="36"/>
      <x:c r="J9" s="36" t="str">
        <x:v>Approved passenger-car Brand prefix alias</x:v>
      </x:c>
      <x:c r="K9" s="38" t="str">
        <x:v>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</x:v>
      </x:c>
    </x:row>
    <x:row r="10" ht="18" customHeight="1">
      <x:c r="A10" s="45" t="str">
        <x:v>MFE-35E07EE90D94E4</x:v>
      </x:c>
      <x:c r="B10" s="45" t="str">
        <x:v>manufacturer_entity</x:v>
      </x:c>
      <x:c r="C10" s="45" t="str">
        <x:v>brand</x:v>
      </x:c>
      <x:c r="D10" s="45" t="str">
        <x:v>FIAT ADRIA</x:v>
      </x:c>
      <x:c r="E10" s="45" t="str">
        <x:v>Adria</x:v>
      </x:c>
      <x:c r="F10" s="45" t="str">
        <x:v>bodybuilder_converter</x:v>
      </x:c>
      <x:c r="G10" s="45" t="str">
        <x:v>use_base_manufacturer</x:v>
      </x:c>
      <x:c r="H10" s="45" t="str">
        <x:v>diacritic_insensitive_prefix</x:v>
      </x:c>
      <x:c r="I10" s="45"/>
      <x:c r="J10" s="45" t="str">
        <x:v>Approved Fiat/Adria compound Brand: Fiat manufacturer with Adria retained as converter</x:v>
      </x:c>
      <x:c r="K10" s="46" t="str">
        <x:v>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</x:v>
      </x:c>
    </x:row>
    <x:row r="11" ht="18" customHeight="1">
      <x:c r="A11" s="36" t="str">
        <x:v>MFE-4D882BD3D59195</x:v>
      </x:c>
      <x:c r="B11" s="36" t="str">
        <x:v>manufacturer_entity</x:v>
      </x:c>
      <x:c r="C11" s="36" t="str">
        <x:v>brand</x:v>
      </x:c>
      <x:c r="D11" s="36" t="str">
        <x:v>JAGUAR</x:v>
      </x:c>
      <x:c r="E11" s="36" t="str">
        <x:v>Jaguar</x:v>
      </x:c>
      <x:c r="F11" s="36" t="str">
        <x:v>vehicle_manufacturer</x:v>
      </x:c>
      <x:c r="G11" s="36" t="str">
        <x:v>use_entity</x:v>
      </x:c>
      <x:c r="H11" s="36" t="str">
        <x:v>whole_token_prefix</x:v>
      </x:c>
      <x:c r="I11" s="36"/>
      <x:c r="J11" s="36" t="str">
        <x:v>Approved passenger-car Brand prefix alias</x:v>
      </x:c>
      <x:c r="K11" s="38" t="str">
        <x:v>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</x:v>
      </x:c>
    </x:row>
    <x:row r="12" ht="18" customHeight="1">
      <x:c r="A12" s="36" t="str">
        <x:v>MFE-6B860A1FB36454</x:v>
      </x:c>
      <x:c r="B12" s="36" t="str">
        <x:v>manufacturer_entity</x:v>
      </x:c>
      <x:c r="C12" s="36" t="str">
        <x:v>manufacturer</x:v>
      </x:c>
      <x:c r="D12" s="36" t="str">
        <x:v>SKODA AUTO</x:v>
      </x:c>
      <x:c r="E12" s="36" t="str">
        <x:v>Škoda</x:v>
      </x:c>
      <x:c r="F12" s="36" t="str">
        <x:v>vehicle_manufacturer</x:v>
      </x:c>
      <x:c r="G12" s="36" t="str">
        <x:v>use_entity</x:v>
      </x:c>
      <x:c r="H12" s="36" t="str">
        <x:v>diacritic_insensitive_prefix</x:v>
      </x:c>
      <x:c r="I12" s="36"/>
      <x:c r="J12" s="36" t="str">
        <x:v>Approved general Škoda legal-entity prefix; punctuation and accents are normalized for matching</x:v>
      </x:c>
      <x:c r="K12" s="38" t="str">
        <x:v>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</x:v>
      </x:c>
    </x:row>
    <x:row r="13" ht="18" customHeight="1">
      <x:c r="A13" s="45" t="str">
        <x:v>MFE-83C7791BD5DE63</x:v>
      </x:c>
      <x:c r="B13" s="45" t="str">
        <x:v>manufacturer_entity</x:v>
      </x:c>
      <x:c r="C13" s="45" t="str">
        <x:v>brand</x:v>
      </x:c>
      <x:c r="D13" s="45" t="str">
        <x:v>FIAT DETHLEFFS</x:v>
      </x:c>
      <x:c r="E13" s="45" t="str">
        <x:v>Dethleffs</x:v>
      </x:c>
      <x:c r="F13" s="45" t="str">
        <x:v>bodybuilder_converter</x:v>
      </x:c>
      <x:c r="G13" s="45" t="str">
        <x:v>use_base_manufacturer</x:v>
      </x:c>
      <x:c r="H13" s="45" t="str">
        <x:v>diacritic_insensitive_prefix</x:v>
      </x:c>
      <x:c r="I13" s="45"/>
      <x:c r="J13" s="45" t="str">
        <x:v>Approved Fiat/Dethleffs compound Brand: Fiat manufacturer with Dethleffs retained as converter</x:v>
      </x:c>
      <x:c r="K13" s="46" t="str">
        <x:v>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</x:v>
      </x:c>
    </x:row>
    <x:row r="14" ht="18" customHeight="1">
      <x:c r="A14" s="36" t="str">
        <x:v>MFE-8DB3252A955C99</x:v>
      </x:c>
      <x:c r="B14" s="36" t="str">
        <x:v>manufacturer_entity</x:v>
      </x:c>
      <x:c r="C14" s="36" t="str">
        <x:v>manufacturer</x:v>
      </x:c>
      <x:c r="D14" s="36" t="str">
        <x:v>PSA AUTOMOBILES</x:v>
      </x:c>
      <x:c r="E14" s="36" t="str">
        <x:v>PSA Automobiles</x:v>
      </x:c>
      <x:c r="F14" s="36" t="str">
        <x:v>corporate_group</x:v>
      </x:c>
      <x:c r="G14" s="36" t="str">
        <x:v>require_evidence_review</x:v>
      </x:c>
      <x:c r="H14" s="36" t="str">
        <x:v>diacritic_insensitive_prefix</x:v>
      </x:c>
      <x:c r="I14" s="36"/>
      <x:c r="J14" s="36" t="str">
        <x:v>Approved PSA corporate-parent rule for explicitly allow-listed Citroën Brand evidence</x:v>
      </x:c>
      <x:c r="K14" s="38" t="str">
        <x:v>{"kind":"manufacturer_entity","aliases":["P.S.A. AUTOMOBILES"],"entity_id":"MFE-8DB3252A955C99","match_type":"diacritic_insensitive_prefix","change_note":"Approved PSA corporate-parent rule for explicitly allow-listed Citroën Brand evidence","entity_role":"corporate_group","source_term":"PSA AUTOMOBILES","source_field":"manufacturer","base_behavior":"require_evidence_review","canonical_name":"PSA Automobiles","reviewed_examples":["PSA AUTOMOBILES SA"],"marketed_brand_overrides":{"CITROEN":"Citroën","CITROËN":"Citroën"}}</x:v>
      </x:c>
    </x:row>
    <x:row r="15" ht="18" customHeight="1">
      <x:c r="A15" s="36" t="str">
        <x:v>MFE-93F566BF966539</x:v>
      </x:c>
      <x:c r="B15" s="36" t="str">
        <x:v>manufacturer_entity</x:v>
      </x:c>
      <x:c r="C15" s="36" t="str">
        <x:v>brand</x:v>
      </x:c>
      <x:c r="D15" s="36" t="str">
        <x:v>MAZDA</x:v>
      </x:c>
      <x:c r="E15" s="36" t="str">
        <x:v>Mazda</x:v>
      </x:c>
      <x:c r="F15" s="36" t="str">
        <x:v>vehicle_manufacturer</x:v>
      </x:c>
      <x:c r="G15" s="36" t="str">
        <x:v>use_entity</x:v>
      </x:c>
      <x:c r="H15" s="36" t="str">
        <x:v>whole_token_prefix</x:v>
      </x:c>
      <x:c r="I15" s="36"/>
      <x:c r="J15" s="36" t="str">
        <x:v>Approved passenger-car Brand prefix alias</x:v>
      </x:c>
      <x:c r="K15" s="38" t="str">
        <x:v>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</x:v>
      </x:c>
    </x:row>
    <x:row r="16" ht="18" customHeight="1">
      <x:c r="A16" s="36" t="str">
        <x:v>MFE-B1E0B47F0A881D</x:v>
      </x:c>
      <x:c r="B16" s="36" t="str">
        <x:v>manufacturer_entity</x:v>
      </x:c>
      <x:c r="C16" s="36" t="str">
        <x:v>brand</x:v>
      </x:c>
      <x:c r="D16" s="36" t="str">
        <x:v>DACIA</x:v>
      </x:c>
      <x:c r="E16" s="36" t="str">
        <x:v>Dacia</x:v>
      </x:c>
      <x:c r="F16" s="36" t="str">
        <x:v>vehicle_manufacturer</x:v>
      </x:c>
      <x:c r="G16" s="36" t="str">
        <x:v>use_entity</x:v>
      </x:c>
      <x:c r="H16" s="36" t="str">
        <x:v>whole_token_prefix</x:v>
      </x:c>
      <x:c r="I16" s="36"/>
      <x:c r="J16" s="36" t="str">
        <x:v>Approved passenger-car Brand prefix alias</x:v>
      </x:c>
      <x:c r="K16" s="38" t="str">
        <x:v>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</x:v>
      </x:c>
    </x:row>
    <x:row r="17" ht="18" customHeight="1">
      <x:c r="A17" s="36" t="str">
        <x:v>MFE-BE046E6885C1B5</x:v>
      </x:c>
      <x:c r="B17" s="36" t="str">
        <x:v>manufacturer_entity</x:v>
      </x:c>
      <x:c r="C17" s="36" t="str">
        <x:v>brand</x:v>
      </x:c>
      <x:c r="D17" s="36" t="str">
        <x:v>VW</x:v>
      </x:c>
      <x:c r="E17" s="36" t="str">
        <x:v>Volkswagen</x:v>
      </x:c>
      <x:c r="F17" s="36" t="str">
        <x:v>vehicle_manufacturer</x:v>
      </x:c>
      <x:c r="G17" s="36" t="str">
        <x:v>use_entity</x:v>
      </x:c>
      <x:c r="H17" s="36" t="str">
        <x:v>whole_token_prefix</x:v>
      </x:c>
      <x:c r="I17" s="36"/>
      <x:c r="J17" s="36" t="str">
        <x:v>Approved passenger-car Brand prefix alias</x:v>
      </x:c>
      <x:c r="K17" s="38" t="str">
        <x:v>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</x:v>
      </x:c>
    </x:row>
    <x:row r="18" ht="18" customHeight="1">
      <x:c r="A18" s="36" t="str">
        <x:v>MFE-CC8089323A8D5F</x:v>
      </x:c>
      <x:c r="B18" s="36" t="str">
        <x:v>manufacturer_entity</x:v>
      </x:c>
      <x:c r="C18" s="36" t="str">
        <x:v>brand</x:v>
      </x:c>
      <x:c r="D18" s="36" t="str">
        <x:v>SAAB</x:v>
      </x:c>
      <x:c r="E18" s="36" t="str">
        <x:v>Saab</x:v>
      </x:c>
      <x:c r="F18" s="36" t="str">
        <x:v>vehicle_manufacturer</x:v>
      </x:c>
      <x:c r="G18" s="36" t="str">
        <x:v>use_entity</x:v>
      </x:c>
      <x:c r="H18" s="36" t="str">
        <x:v>whole_token_prefix</x:v>
      </x:c>
      <x:c r="I18" s="36"/>
      <x:c r="J18" s="36" t="str">
        <x:v>Approved passenger-car Brand prefix alias</x:v>
      </x:c>
      <x:c r="K18" s="38" t="str">
        <x:v>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</x:v>
      </x:c>
    </x:row>
    <x:row r="19" ht="18" customHeight="1">
      <x:c r="A19" s="36" t="str">
        <x:v>MFE-E9DEB9601DD217</x:v>
      </x:c>
      <x:c r="B19" s="36" t="str">
        <x:v>manufacturer_entity</x:v>
      </x:c>
      <x:c r="C19" s="36" t="str">
        <x:v>brand</x:v>
      </x:c>
      <x:c r="D19" s="36" t="str">
        <x:v>BMC</x:v>
      </x:c>
      <x:c r="E19" s="36" t="str">
        <x:v>BMC</x:v>
      </x:c>
      <x:c r="F19" s="36" t="str">
        <x:v>vehicle_manufacturer</x:v>
      </x:c>
      <x:c r="G19" s="36" t="str">
        <x:v>use_entity</x:v>
      </x:c>
      <x:c r="H19" s="36" t="str">
        <x:v>whole_token_prefix</x:v>
      </x:c>
      <x:c r="I19" s="36"/>
      <x:c r="J19" s="36" t="str">
        <x:v>Approved passenger-car Brand prefix alias</x:v>
      </x:c>
      <x:c r="K19" s="38" t="str">
        <x:v>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</x:v>
      </x:c>
    </x:row>
    <x:row r="20" ht="18" customHeight="1">
      <x:c r="A20" s="36" t="str">
        <x:v>MFE-EAD33F31080133</x:v>
      </x:c>
      <x:c r="B20" s="36" t="str">
        <x:v>manufacturer_entity</x:v>
      </x:c>
      <x:c r="C20" s="36" t="str">
        <x:v>manufacturer</x:v>
      </x:c>
      <x:c r="D20" s="36" t="str">
        <x:v>KNAUS TABBERT</x:v>
      </x:c>
      <x:c r="E20" s="36" t="str">
        <x:v>Knaus</x:v>
      </x:c>
      <x:c r="F20" s="36" t="str">
        <x:v>bodybuilder_converter</x:v>
      </x:c>
      <x:c r="G20" s="36" t="str">
        <x:v>use_base_manufacturer</x:v>
      </x:c>
      <x:c r="H20" s="36" t="str">
        <x:v>diacritic_insensitive_prefix</x:v>
      </x:c>
      <x:c r="I20" s="36"/>
      <x:c r="J20" s="36" t="str">
        <x:v>Approved Knaus Tabbert as bodybuilder/converter; use the reviewed base manufacturer</x:v>
      </x:c>
      <x:c r="K20" s="38" t="str">
        <x:v>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</x:v>
      </x:c>
    </x:row>
    <x:row r="21" ht="18" customHeight="1">
      <x:c r="A21" s="36" t="str">
        <x:v>MFE-ED4F87B49282AD</x:v>
      </x:c>
      <x:c r="B21" s="36" t="str">
        <x:v>manufacturer_entity</x:v>
      </x:c>
      <x:c r="C21" s="36" t="str">
        <x:v>brand</x:v>
      </x:c>
      <x:c r="D21" s="36" t="str">
        <x:v>CHRYSLER</x:v>
      </x:c>
      <x:c r="E21" s="36" t="str">
        <x:v>Chrysler</x:v>
      </x:c>
      <x:c r="F21" s="36" t="str">
        <x:v>vehicle_manufacturer</x:v>
      </x:c>
      <x:c r="G21" s="36" t="str">
        <x:v>use_entity</x:v>
      </x:c>
      <x:c r="H21" s="36" t="str">
        <x:v>whole_token_prefix</x:v>
      </x:c>
      <x:c r="I21" s="36"/>
      <x:c r="J21" s="36" t="str">
        <x:v>Approved passenger-car Brand prefix alias</x:v>
      </x:c>
      <x:c r="K21" s="38" t="str">
        <x:v>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</x:v>
      </x:c>
    </x:row>
    <x:row r="22" ht="18" customHeight="1">
      <x:c r="A22" s="36" t="str">
        <x:v>MFE-F50057C156C9E4</x:v>
      </x:c>
      <x:c r="B22" s="36" t="str">
        <x:v>manufacturer_entity</x:v>
      </x:c>
      <x:c r="C22" s="36" t="str">
        <x:v>brand</x:v>
      </x:c>
      <x:c r="D22" s="36" t="str">
        <x:v>LAND ROVERLW</x:v>
      </x:c>
      <x:c r="E22" s="36" t="str">
        <x:v>Land Rover</x:v>
      </x:c>
      <x:c r="F22" s="36" t="str">
        <x:v>vehicle_manufacturer</x:v>
      </x:c>
      <x:c r="G22" s="36" t="str">
        <x:v>use_entity</x:v>
      </x:c>
      <x:c r="H22" s="36" t="str">
        <x:v>whole_token_prefix</x:v>
      </x:c>
      <x:c r="I22" s="36"/>
      <x:c r="J22" s="36" t="str">
        <x:v>Approved passenger-car Brand prefix alias</x:v>
      </x:c>
      <x:c r="K22" s="38" t="str">
        <x:v>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993376563b94b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  <x:col min="11" max="11" width="80" hidden="0" customWidth="1"/>
  </x:cols>
  <x:sheetData>
    <x:row r="1" ht="34" customHeight="1">
      <x:c r="A1" s="28" t="str">
        <x:v>Other active rule-version overrides</x:v>
      </x:c>
    </x:row>
    <x:row r="2" ht="34" customHeight="1">
      <x:c r="A2" s="31" t="str">
        <x:v>Non-Manufacturer overrides stored alongside the Manufacturer definitions in overrides_json.</x:v>
      </x:c>
    </x:row>
    <x:row r="4" ht="30" customHeight="1">
      <x:c r="A4" s="34" t="str">
        <x:v>rule_id</x:v>
      </x:c>
      <x:c r="B4" s="34" t="str">
        <x:v>kind</x:v>
      </x:c>
      <x:c r="C4" s="34" t="str">
        <x:v>source_field</x:v>
      </x:c>
      <x:c r="D4" s="34" t="str">
        <x:v>source_term</x:v>
      </x:c>
      <x:c r="E4" s="34" t="str">
        <x:v>canonical_value</x:v>
      </x:c>
      <x:c r="F4" s="34" t="str">
        <x:v>entity_role</x:v>
      </x:c>
      <x:c r="G4" s="34" t="str">
        <x:v>base_behavior</x:v>
      </x:c>
      <x:c r="H4" s="34" t="str">
        <x:v>match_type</x:v>
      </x:c>
      <x:c r="I4" s="34" t="str">
        <x:v>decision</x:v>
      </x:c>
      <x:c r="J4" s="34" t="str">
        <x:v>change_note</x:v>
      </x:c>
      <x:c r="K4" s="34" t="str">
        <x:v>definition_json</x:v>
      </x:c>
    </x:row>
    <x:row r="5" ht="18" customHeight="1">
      <x:c r="A5" s="36" t="str">
        <x:v>BDY-110</x:v>
      </x:c>
      <x:c r="B5" s="36"/>
      <x:c r="C5" s="36"/>
      <x:c r="D5" s="36"/>
      <x:c r="E5" s="36" t="str">
        <x:v>estate</x:v>
      </x:c>
      <x:c r="F5" s="36"/>
      <x:c r="G5" s="36"/>
      <x:c r="H5" s="36"/>
      <x:c r="I5" s="36" t="str">
        <x:v>accepted</x:v>
      </x:c>
      <x:c r="J5" s="36" t="str">
        <x:v>Browser verification of safe rule activation</x:v>
      </x:c>
      <x:c r="K5" s="38" t="str">
        <x:v>{"decision":"accepted","change_note":"Browser verification of safe rule activation","display_value":"Stationsvagn (kombivagn)","canonical_value":"estate"}</x:v>
      </x:c>
    </x:row>
    <x:row r="6" ht="18" customHeight="1">
      <x:c r="A6" s="36" t="str">
        <x:v>MFR-BRAND-PREFIX-FALLBACK</x:v>
      </x:c>
      <x:c r="B6" s="36" t="str">
        <x:v>manufacturer_match_policy</x:v>
      </x:c>
      <x:c r="C6" s="36"/>
      <x:c r="D6" s="36"/>
      <x:c r="E6" s="36"/>
      <x:c r="F6" s="36"/>
      <x:c r="G6" s="36"/>
      <x:c r="H6" s="36" t="str">
        <x:v>whole_token_prefix</x:v>
      </x:c>
      <x:c r="I6" s="36"/>
      <x:c r="J6" s="36" t="str">
        <x:v>Approved reviewed Manufacturer entity prefix lookup from TS Brand</x:v>
      </x:c>
      <x:c r="K6" s="38" t="str">
        <x:v>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</x:v>
      </x:c>
    </x:row>
    <x:row r="7" ht="18" customHeight="1">
      <x:c r="A7" s="36" t="str">
        <x:v>MFR-MODEL-VARIANT-FALLBACK</x:v>
      </x:c>
      <x:c r="B7" s="36" t="str">
        <x:v>manufacturer_match_policy</x:v>
      </x:c>
      <x:c r="C7" s="36"/>
      <x:c r="D7" s="36"/>
      <x:c r="E7" s="36"/>
      <x:c r="F7" s="36"/>
      <x:c r="G7" s="36"/>
      <x:c r="H7" s="36" t="str">
        <x:v>whole_token_prefix</x:v>
      </x:c>
      <x:c r="I7" s="36"/>
      <x:c r="J7" s="36" t="str">
        <x:v>Approved manufacturer-entity alias fallback for missing TS manufacturer and Brand</x:v>
      </x:c>
      <x:c r="K7" s="38" t="str">
        <x:v>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8c362fcdda547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70" hidden="0" customWidth="1"/>
    <x:col min="4" max="4" width="26" hidden="0" customWidth="1"/>
    <x:col min="5" max="5" width="36" hidden="0" customWidth="1"/>
    <x:col min="6" max="6" width="90" hidden="0" customWidth="1"/>
  </x:cols>
  <x:sheetData>
    <x:row r="1" ht="34" customHeight="1">
      <x:c r="A1" s="28" t="str">
        <x:v>Immutable active rule-version row</x:v>
      </x:c>
    </x:row>
    <x:row r="2" ht="34" customHeight="1">
      <x:c r="A2" s="31" t="str">
        <x:v>Target: core.translation_rule_versions. Parse overrides_json as JSONB. The recipient application must contain the matching base_rule_version.</x:v>
      </x:c>
    </x:row>
    <x:row r="4" ht="30" customHeight="1">
      <x:c r="A4" s="34" t="str">
        <x:v>version</x:v>
      </x:c>
      <x:c r="B4" s="34" t="str">
        <x:v>base_rule_version</x:v>
      </x:c>
      <x:c r="C4" s="34" t="str">
        <x:v>activation_note</x:v>
      </x:c>
      <x:c r="D4" s="34" t="str">
        <x:v>activated_at</x:v>
      </x:c>
      <x:c r="E4" s="34" t="str">
        <x:v>activated_at_json</x:v>
      </x:c>
      <x:c r="F4" s="34" t="str">
        <x:v>overrides_json</x:v>
      </x:c>
    </x:row>
    <x:row r="5" ht="18" customHeight="1">
      <x:c r="A5" s="36" t="str">
        <x:v>ts-review-20260805T184254528647Z</x:v>
      </x:c>
      <x:c r="B5" s="36" t="str">
        <x:v>ts-translation-v4</x:v>
      </x:c>
      <x:c r="C5" s="36" t="str">
        <x:v>Approve general punctuation/accent-tolerant Škoda and PSA manufacturer rules plus Knaus, Adria, and Dethleffs converter handling.</x:v>
      </x:c>
      <x:c r="D5" s="36" t="n">
        <x:v>46239.77979774305</x:v>
      </x:c>
      <x:c r="E5" s="38" t="str">
        <x:v>"2026-08-05T18:42:54.525968+00:00"</x:v>
      </x:c>
      <x:c r="F5" s="38" t="str">
        <x:v>{"BDY-110":{"decision":"accepted","change_note":"Browser verification of safe rule activation","display_value":"Stationsvagn (kombivagn)","canonical_value":"estate"},"MFE-10F01B0F538F32":{"kind":"manufacturer_entity","entity_id":"MFE-10F01B0F538F32","match_type":"whole_token_prefix","change_note":"Approved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,"MFE-199D2C91D9EB65":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,"MFE-2138A984B1BA5F":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,"MFE-241A4A6B11D7C9":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FELICIA"]},"MFE-329EF04E45F8EF":{"kind":"manufacturer_entity","entity_id":"MFE-329EF04E45F8EF","match_type":"whole_token_prefix","change_note":"Approved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,"MFE-35E07EE90D94E4":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A"],"fallback_manufacturer":"Fiat"},"MFE-4D882BD3D59195":{"kind":"manufacturer_entity","entity_id":"MFE-4D882BD3D59195","match_type":"whole_token_prefix","change_note":"Approved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alias","entity_role":"vehicle_manufacturer","source_term":"JAGUAR","source_field":"brand","base_behavior":"use_entity","canonical_name":"Jaguar"},"MFE-6B860A1FB36454":{"kind":"manufacturer_entity","aliases":["ŠKODA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BOLESLAV"]},"MFE-83C7791BD5DE63":{"kind":"manufacturer_entity","entity_id":"MFE-83C7791BD5DE63","match_type":"diacritic_insensitive_prefix","change_note":"Approved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DETHLEFFS"],"fallback_manufacturer":"Fiat"},"MFE-8DB3252A955C99":{"kind":"manufacturer_entity","aliases":["P.S.A. AUTOMOBILES"],"entity_id":"MFE-8DB3252A955C99","match_type":"diacritic_insensitive_prefix","change_note":"Approved PSA corporate-parent rule for explicitly allow-listed Citroën Brand evidence","entity_role":"corporate_group","source_term":"PSA AUTOMOBILES","source_field":"manufacturer","base_behavior":"require_evidence_review","canonical_name":"PSA Automobiles","reviewed_examples":["PSA AUTOMOBILES SA"],"marketed_brand_overrides":{"CITROEN":"Citroën","CITROËN":"Citroën"}},"MFE-93F566BF966539":{"kind":"manufacturer_entity","entity_id":"MFE-93F566BF966539","match_type":"whole_token_prefix","change_note":"Approved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GLX"]},"MFE-B1E0B47F0A881D":{"kind":"manufacturer_entity","entity_id":"MFE-B1E0B47F0A881D","match_type":"whole_token_prefix","change_note":"Approved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,"MFE-BE046E6885C1B5":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TDI"]},"MFE-CC8089323A8D5F":{"kind":"manufacturer_entity","entity_id":"MFE-CC8089323A8D5F","match_type":"whole_token_prefix","change_note":"Approved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4"]},"MFE-E9DEB9601DD217":{"kind":"manufacturer_entity","entity_id":"MFE-E9DEB9601DD217","match_type":"whole_token_prefix","change_note":"Approved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,"MFE-EAD33F31080133":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GMBH"]},"MFE-ED4F87B49282AD":{"kind":"manufacturer_entity","entity_id":"MFE-ED4F87B49282AD","match_type":"whole_token_prefix","change_note":"Approved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,"MFE-F50057C156C9E4":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Rover"},"MFR-BRAND-PREFIX-FALLBACK":{"kind":"manufacturer_match_policy","rule_id":"MFR-BRAND-PREFIX-FALLBACK","match_type":"whole_token_prefix","change_note":"Approved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,"MFR-MODEL-VARIANT-FALLBACK":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Brand","result_status":"provisional_until_corroborated","allowed_fields":["model","variant"],"requires_missing":["manufacturer","brand"]}}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7c9de6e672345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6" hidden="0" customWidth="1"/>
    <x:col min="4" max="4" width="55" hidden="0" customWidth="1"/>
    <x:col min="5" max="5" width="65" hidden="0" customWidth="1"/>
    <x:col min="6" max="6" width="28" hidden="0" customWidth="1"/>
    <x:col min="7" max="7" width="70" hidden="0" customWidth="1"/>
  </x:cols>
  <x:sheetData>
    <x:row r="1" ht="34" customHeight="1">
      <x:c r="A1" s="28" t="str">
        <x:v>Known issues and approval exclusions</x:v>
      </x:c>
    </x:row>
    <x:row r="2" ht="34" customHeight="1">
      <x:c r="A2" s="31" t="str">
        <x:v>These rows are intentionally included so recipients can reproduce the current database snapshot without mistaking known defects for accepted target behavior.</x:v>
      </x:c>
    </x:row>
    <x:row r="4" ht="30" customHeight="1">
      <x:c r="A4" s="34" t="str">
        <x:v>severity</x:v>
      </x:c>
      <x:c r="B4" s="34" t="str">
        <x:v>rule_id</x:v>
      </x:c>
      <x:c r="C4" s="34" t="str">
        <x:v>current_source</x:v>
      </x:c>
      <x:c r="D4" s="34" t="str">
        <x:v>current_behavior</x:v>
      </x:c>
      <x:c r="E4" s="34" t="str">
        <x:v>expected_behavior</x:v>
      </x:c>
      <x:c r="F4" s="34" t="str">
        <x:v>affected_source_example</x:v>
      </x:c>
      <x:c r="G4" s="34" t="str">
        <x:v>reason</x:v>
      </x:c>
    </x:row>
    <x:row r="5" ht="54" customHeight="1">
      <x:c r="A5" s="47" t="str">
        <x:v>Must correct before approval</x:v>
      </x:c>
      <x:c r="B5" s="47" t="str">
        <x:v>MFE-35E07EE90D94E4</x:v>
      </x:c>
      <x:c r="C5" s="47" t="str">
        <x:v>FIAT ADRIA</x:v>
      </x:c>
      <x:c r="D5" s="47" t="str">
        <x:v>Fiat as main manufacturer; Adria retained as converter</x:v>
      </x:c>
      <x:c r="E5" s="47" t="str">
        <x:v>Adria as main manufacturer; Fiat only as base/chassis evidence when independently supported</x:v>
      </x:c>
      <x:c r="F5" s="47" t="str">
        <x:v>FIAT ADRIA A</x:v>
      </x:c>
      <x:c r="G5" s="47" t="str">
        <x:v>TS Tillverkare and Tillverkare grundfordonet are blank; stakeholder workbook says FIAT ADRIA = ADRIA.</x:v>
      </x:c>
    </x:row>
    <x:row r="6" ht="54" customHeight="1">
      <x:c r="A6" s="47" t="str">
        <x:v>Must correct before approval</x:v>
      </x:c>
      <x:c r="B6" s="47" t="str">
        <x:v>MFE-83C7791BD5DE63</x:v>
      </x:c>
      <x:c r="C6" s="47" t="str">
        <x:v>FIAT DETHLEFFS</x:v>
      </x:c>
      <x:c r="D6" s="47" t="str">
        <x:v>Fiat as main manufacturer; Dethleffs retained as converter</x:v>
      </x:c>
      <x:c r="E6" s="47" t="str">
        <x:v>Dethleffs as main manufacturer; Fiat only as base/chassis evidence when independently supported</x:v>
      </x:c>
      <x:c r="F6" s="47" t="str">
        <x:v>FIAT DETHLEFFS</x:v>
      </x:c>
      <x:c r="G6" s="47" t="str">
        <x:v>TS Tillverkare and Tillverkare grundfordonet are blank; stakeholder workbook says Manufacturer DETHLEFFS.</x:v>
      </x:c>
    </x:row>
    <x:row r="7" ht="54" customHeight="1">
      <x:c r="A7" s="50" t="str">
        <x:v>Manual review remains</x:v>
      </x:c>
      <x:c r="B7" s="50" t="str">
        <x:v>MFR-BRAND-PREFIX-FALLBACK</x:v>
      </x:c>
      <x:c r="C7" s="50" t="str">
        <x:v>JAGUAR DAIMLER SOU</x:v>
      </x:c>
      <x:c r="D7" s="50" t="str">
        <x:v>Protected in review queue</x:v>
      </x:c>
      <x:c r="E7" s="50" t="str">
        <x:v>Keep unresolved until stronger marque/model evidence is available</x:v>
      </x:c>
      <x:c r="F7" s="50" t="str">
        <x:v>JAGUAR DAIMLER SOU</x:v>
      </x:c>
      <x:c r="G7" s="50" t="str">
        <x:v>Compound Jaguar/Daimler Brand remains ambiguous.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691508698e64b7c"/>
  </x:tableParts>
</x:worksheet>
</file>